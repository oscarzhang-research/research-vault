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3.xml" ContentType="application/vnd.openxmlformats-officedocument.drawing+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4.xml" ContentType="application/vnd.openxmlformats-officedocument.drawing+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5.xml" ContentType="application/vnd.openxmlformats-officedocument.drawing+xml"/>
  <Override PartName="/xl/ctrlProps/ctrlProp29.xml" ContentType="application/vnd.ms-excel.controlproperties+xml"/>
  <Override PartName="/xl/charts/chart1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baich\Downloads\"/>
    </mc:Choice>
  </mc:AlternateContent>
  <xr:revisionPtr revIDLastSave="0" documentId="13_ncr:1_{49126F22-D7ED-4FBC-9930-55A02344710F}" xr6:coauthVersionLast="47" xr6:coauthVersionMax="47" xr10:uidLastSave="{00000000-0000-0000-0000-000000000000}"/>
  <bookViews>
    <workbookView xWindow="-98" yWindow="-98" windowWidth="21795" windowHeight="12975" tabRatio="500" firstSheet="5" activeTab="5" xr2:uid="{00000000-000D-0000-FFFF-FFFF00000000}"/>
  </bookViews>
  <sheets>
    <sheet name="00-Overview" sheetId="1" r:id="rId1"/>
    <sheet name="01-DRAM-Model" sheetId="2" r:id="rId2"/>
    <sheet name="02-NAND-Model" sheetId="3" r:id="rId3"/>
    <sheet name="03-Demand-BottomUp" sheetId="4" r:id="rId4"/>
    <sheet name="04-NVDA-Calibration" sheetId="5" r:id="rId5"/>
    <sheet name="05-Audit-v3" sheetId="6" r:id="rId6"/>
    <sheet name="06-Inventory-Burn-v4" sheetId="7" r:id="rId7"/>
    <sheet name="07-HBM-8High-Math-v4" sheetId="8" r:id="rId8"/>
    <sheet name="08-Tracking-List-v4" sheetId="9" r:id="rId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3" i="3" l="1"/>
  <c r="C39" i="8"/>
  <c r="D39" i="8" s="1"/>
  <c r="B39" i="8"/>
  <c r="D38" i="8"/>
  <c r="C38" i="8"/>
  <c r="B38" i="8"/>
  <c r="D37" i="8"/>
  <c r="C37" i="8"/>
  <c r="B37" i="8"/>
  <c r="C36" i="8"/>
  <c r="D36" i="8" s="1"/>
  <c r="B36" i="8"/>
  <c r="B29" i="8"/>
  <c r="B25" i="8"/>
  <c r="B27" i="8" s="1"/>
  <c r="C19" i="8"/>
  <c r="B19" i="8"/>
  <c r="D19" i="8" s="1"/>
  <c r="C18" i="8"/>
  <c r="B18" i="8"/>
  <c r="D18" i="8" s="1"/>
  <c r="F18" i="8" s="1"/>
  <c r="G18" i="8" s="1"/>
  <c r="D17" i="8"/>
  <c r="C17" i="8"/>
  <c r="B17" i="8"/>
  <c r="E16" i="8"/>
  <c r="D16" i="8"/>
  <c r="F16" i="8" s="1"/>
  <c r="G16" i="8" s="1"/>
  <c r="C16" i="8"/>
  <c r="B16" i="8"/>
  <c r="C15" i="8"/>
  <c r="B15" i="8"/>
  <c r="D15" i="8" s="1"/>
  <c r="D10" i="8"/>
  <c r="C10" i="8"/>
  <c r="D9" i="8"/>
  <c r="C9" i="8"/>
  <c r="D8" i="8"/>
  <c r="E18" i="8" s="1"/>
  <c r="C8" i="8"/>
  <c r="B52" i="7"/>
  <c r="B53" i="7" s="1"/>
  <c r="B51" i="7"/>
  <c r="B14" i="7"/>
  <c r="B13" i="7"/>
  <c r="B12" i="7"/>
  <c r="B11" i="7"/>
  <c r="B10" i="7"/>
  <c r="B9" i="7"/>
  <c r="B54" i="7" s="1"/>
  <c r="G25" i="5"/>
  <c r="G27" i="5" s="1"/>
  <c r="G28" i="5" s="1"/>
  <c r="B11" i="4"/>
  <c r="G11" i="4" s="1"/>
  <c r="F10" i="4"/>
  <c r="E10" i="4"/>
  <c r="F9" i="4"/>
  <c r="E9" i="4"/>
  <c r="F8" i="4"/>
  <c r="E8" i="4"/>
  <c r="F7" i="4"/>
  <c r="E7" i="4"/>
  <c r="F6" i="4"/>
  <c r="E6" i="4"/>
  <c r="B86" i="3"/>
  <c r="B33" i="3" s="1"/>
  <c r="B85" i="3"/>
  <c r="B32" i="3" s="1"/>
  <c r="B84" i="3"/>
  <c r="B31" i="3" s="1"/>
  <c r="B66" i="3" s="1"/>
  <c r="B83" i="3"/>
  <c r="B30" i="3" s="1"/>
  <c r="C30" i="3" s="1"/>
  <c r="B81" i="3"/>
  <c r="E68" i="3" s="1"/>
  <c r="B80" i="3"/>
  <c r="B79" i="3"/>
  <c r="B78" i="3"/>
  <c r="G18" i="3" s="1"/>
  <c r="B77" i="3"/>
  <c r="B76" i="3"/>
  <c r="I16" i="3" s="1"/>
  <c r="B155" i="2"/>
  <c r="B52" i="2" s="1"/>
  <c r="B154" i="2"/>
  <c r="B51" i="2" s="1"/>
  <c r="B21" i="7" s="1"/>
  <c r="B33" i="7" s="1"/>
  <c r="B153" i="2"/>
  <c r="B50" i="2" s="1"/>
  <c r="B152" i="2"/>
  <c r="B49" i="2" s="1"/>
  <c r="B101" i="2" s="1"/>
  <c r="B151" i="2"/>
  <c r="B149" i="2"/>
  <c r="J31" i="7" s="1"/>
  <c r="B148" i="2"/>
  <c r="B147" i="2"/>
  <c r="B146" i="2"/>
  <c r="B145" i="2"/>
  <c r="B9" i="2" s="1"/>
  <c r="G29" i="2" s="1"/>
  <c r="B144" i="2"/>
  <c r="B14" i="2" s="1"/>
  <c r="B143" i="2"/>
  <c r="B6" i="2" s="1"/>
  <c r="B79" i="2"/>
  <c r="C72" i="2"/>
  <c r="B72" i="2"/>
  <c r="B71" i="2"/>
  <c r="O42" i="2"/>
  <c r="O41" i="2"/>
  <c r="O39" i="2"/>
  <c r="O36" i="2"/>
  <c r="O35" i="2"/>
  <c r="O34" i="2"/>
  <c r="O32" i="2"/>
  <c r="O31" i="2"/>
  <c r="O29" i="2"/>
  <c r="O27" i="2"/>
  <c r="O26" i="2"/>
  <c r="O25" i="2"/>
  <c r="O24" i="2"/>
  <c r="O22" i="2"/>
  <c r="O21" i="2"/>
  <c r="O20" i="2"/>
  <c r="O19" i="2"/>
  <c r="B13" i="2"/>
  <c r="B7" i="2"/>
  <c r="I21" i="3" l="1"/>
  <c r="D42" i="3" s="1"/>
  <c r="C31" i="3"/>
  <c r="B40" i="3"/>
  <c r="B42" i="3"/>
  <c r="B68" i="3"/>
  <c r="G19" i="3"/>
  <c r="H19" i="3" s="1"/>
  <c r="F32" i="3" s="1"/>
  <c r="G9" i="3"/>
  <c r="G24" i="3"/>
  <c r="C57" i="3"/>
  <c r="B59" i="3"/>
  <c r="C59" i="3"/>
  <c r="H9" i="3"/>
  <c r="F30" i="3" s="1"/>
  <c r="H24" i="3"/>
  <c r="F33" i="3" s="1"/>
  <c r="E65" i="3"/>
  <c r="F65" i="3"/>
  <c r="E66" i="3"/>
  <c r="F66" i="3"/>
  <c r="E67" i="3"/>
  <c r="F67" i="3"/>
  <c r="F68" i="3"/>
  <c r="G27" i="2"/>
  <c r="G31" i="2"/>
  <c r="H21" i="7"/>
  <c r="I21" i="7" s="1"/>
  <c r="J34" i="7"/>
  <c r="J33" i="7"/>
  <c r="B81" i="2"/>
  <c r="P29" i="2"/>
  <c r="P21" i="2"/>
  <c r="Q21" i="2" s="1"/>
  <c r="P20" i="2"/>
  <c r="P27" i="2"/>
  <c r="B8" i="2"/>
  <c r="P25" i="2"/>
  <c r="H27" i="2"/>
  <c r="I27" i="2" s="1"/>
  <c r="J27" i="2" s="1"/>
  <c r="P31" i="2"/>
  <c r="P19" i="2"/>
  <c r="Q20" i="2" s="1"/>
  <c r="R20" i="2" s="1"/>
  <c r="S20" i="2" s="1"/>
  <c r="D87" i="2" s="1"/>
  <c r="P42" i="2"/>
  <c r="P26" i="2"/>
  <c r="P32" i="2"/>
  <c r="Q32" i="2" s="1"/>
  <c r="R32" i="2" s="1"/>
  <c r="S32" i="2" s="1"/>
  <c r="F89" i="2" s="1"/>
  <c r="P35" i="2"/>
  <c r="H29" i="2"/>
  <c r="H31" i="2"/>
  <c r="P34" i="2"/>
  <c r="P41" i="2"/>
  <c r="Q41" i="2" s="1"/>
  <c r="R41" i="2" s="1"/>
  <c r="S41" i="2" s="1"/>
  <c r="E91" i="2" s="1"/>
  <c r="G19" i="2"/>
  <c r="H19" i="2" s="1"/>
  <c r="G32" i="2"/>
  <c r="H32" i="2" s="1"/>
  <c r="I32" i="2" s="1"/>
  <c r="J32" i="2" s="1"/>
  <c r="L32" i="2" s="1"/>
  <c r="F50" i="2" s="1"/>
  <c r="G39" i="2"/>
  <c r="H39" i="2" s="1"/>
  <c r="G25" i="2"/>
  <c r="H25" i="2" s="1"/>
  <c r="G42" i="2"/>
  <c r="H42" i="2" s="1"/>
  <c r="G26" i="2"/>
  <c r="H26" i="2" s="1"/>
  <c r="G21" i="2"/>
  <c r="H21" i="2" s="1"/>
  <c r="G35" i="2"/>
  <c r="H35" i="2" s="1"/>
  <c r="I26" i="2"/>
  <c r="E78" i="2" s="1"/>
  <c r="G34" i="2"/>
  <c r="H34" i="2" s="1"/>
  <c r="G36" i="2"/>
  <c r="H36" i="2" s="1"/>
  <c r="G24" i="2"/>
  <c r="H24" i="2" s="1"/>
  <c r="C39" i="6"/>
  <c r="B134" i="2"/>
  <c r="B22" i="7"/>
  <c r="B34" i="7" s="1"/>
  <c r="C27" i="6"/>
  <c r="B63" i="2"/>
  <c r="B91" i="2"/>
  <c r="B104" i="2"/>
  <c r="T19" i="2"/>
  <c r="M29" i="2"/>
  <c r="D61" i="2" s="1"/>
  <c r="M19" i="2"/>
  <c r="D59" i="2" s="1"/>
  <c r="T39" i="2"/>
  <c r="M39" i="2"/>
  <c r="D63" i="2" s="1"/>
  <c r="M34" i="2"/>
  <c r="M24" i="2"/>
  <c r="T29" i="2"/>
  <c r="H18" i="3"/>
  <c r="E32" i="3" s="1"/>
  <c r="D67" i="3"/>
  <c r="C67" i="3"/>
  <c r="B41" i="3"/>
  <c r="B67" i="3"/>
  <c r="C32" i="3"/>
  <c r="C33" i="3" s="1"/>
  <c r="C37" i="6"/>
  <c r="B20" i="7"/>
  <c r="B32" i="7" s="1"/>
  <c r="B132" i="2"/>
  <c r="B61" i="2"/>
  <c r="B89" i="2"/>
  <c r="B102" i="2"/>
  <c r="C25" i="6"/>
  <c r="P36" i="2"/>
  <c r="B48" i="2"/>
  <c r="B156" i="2"/>
  <c r="C156" i="2" s="1"/>
  <c r="D41" i="3"/>
  <c r="B88" i="2"/>
  <c r="B131" i="2"/>
  <c r="B60" i="2"/>
  <c r="B19" i="7"/>
  <c r="B31" i="7" s="1"/>
  <c r="C24" i="6"/>
  <c r="C36" i="6"/>
  <c r="I31" i="7"/>
  <c r="E31" i="7" s="1"/>
  <c r="D60" i="2"/>
  <c r="D62" i="2"/>
  <c r="B34" i="3"/>
  <c r="E11" i="4"/>
  <c r="B17" i="4" s="1"/>
  <c r="B25" i="4" s="1"/>
  <c r="P24" i="2"/>
  <c r="Q25" i="2" s="1"/>
  <c r="R25" i="2" s="1"/>
  <c r="S25" i="2" s="1"/>
  <c r="D88" i="2" s="1"/>
  <c r="I11" i="3"/>
  <c r="F11" i="4"/>
  <c r="B18" i="4" s="1"/>
  <c r="B26" i="4" s="1"/>
  <c r="B26" i="8"/>
  <c r="B28" i="8" s="1"/>
  <c r="B30" i="8" s="1"/>
  <c r="B31" i="8" s="1"/>
  <c r="B32" i="8" s="1"/>
  <c r="C26" i="6"/>
  <c r="B103" i="2"/>
  <c r="B133" i="2"/>
  <c r="B62" i="2"/>
  <c r="E36" i="8"/>
  <c r="E37" i="8"/>
  <c r="B65" i="3"/>
  <c r="C38" i="6"/>
  <c r="P39" i="2"/>
  <c r="G37" i="2"/>
  <c r="H37" i="2" s="1"/>
  <c r="G20" i="2"/>
  <c r="H20" i="2" s="1"/>
  <c r="G41" i="2"/>
  <c r="H41" i="2" s="1"/>
  <c r="G22" i="2"/>
  <c r="H22" i="2" s="1"/>
  <c r="B90" i="2"/>
  <c r="B78" i="2"/>
  <c r="R21" i="2"/>
  <c r="S21" i="2" s="1"/>
  <c r="E87" i="2" s="1"/>
  <c r="C71" i="2"/>
  <c r="B73" i="2"/>
  <c r="C73" i="2"/>
  <c r="I6" i="3"/>
  <c r="E38" i="8"/>
  <c r="G40" i="2"/>
  <c r="H40" i="2" s="1"/>
  <c r="D59" i="3"/>
  <c r="G12" i="3"/>
  <c r="H12" i="3" s="1"/>
  <c r="D31" i="3" s="1"/>
  <c r="D35" i="3" s="1"/>
  <c r="G14" i="3"/>
  <c r="H14" i="3" s="1"/>
  <c r="F31" i="3" s="1"/>
  <c r="G8" i="3"/>
  <c r="G17" i="3"/>
  <c r="H17" i="3" s="1"/>
  <c r="D32" i="3" s="1"/>
  <c r="D58" i="3"/>
  <c r="G23" i="3"/>
  <c r="C58" i="3"/>
  <c r="B58" i="3"/>
  <c r="D57" i="3"/>
  <c r="G22" i="3"/>
  <c r="H22" i="3" s="1"/>
  <c r="D33" i="3" s="1"/>
  <c r="G7" i="3"/>
  <c r="H7" i="3" s="1"/>
  <c r="D30" i="3" s="1"/>
  <c r="B57" i="3"/>
  <c r="P22" i="2"/>
  <c r="Q22" i="2" s="1"/>
  <c r="R22" i="2" s="1"/>
  <c r="S22" i="2" s="1"/>
  <c r="F87" i="2" s="1"/>
  <c r="G30" i="2"/>
  <c r="O30" i="2"/>
  <c r="P30" i="2" s="1"/>
  <c r="Q30" i="2" s="1"/>
  <c r="R30" i="2" s="1"/>
  <c r="O37" i="2"/>
  <c r="P37" i="2" s="1"/>
  <c r="Q37" i="2" s="1"/>
  <c r="R37" i="2" s="1"/>
  <c r="S37" i="2" s="1"/>
  <c r="F90" i="2" s="1"/>
  <c r="O40" i="2"/>
  <c r="P40" i="2" s="1"/>
  <c r="B39" i="3"/>
  <c r="B35" i="3"/>
  <c r="H18" i="7"/>
  <c r="J30" i="7"/>
  <c r="H22" i="7"/>
  <c r="B16" i="4"/>
  <c r="J32" i="7"/>
  <c r="H19" i="7"/>
  <c r="H20" i="7"/>
  <c r="B87" i="3"/>
  <c r="C87" i="3" s="1"/>
  <c r="G29" i="5"/>
  <c r="T24" i="2"/>
  <c r="T34" i="2"/>
  <c r="E17" i="8"/>
  <c r="F17" i="8" s="1"/>
  <c r="G17" i="8" s="1"/>
  <c r="B15" i="7"/>
  <c r="C15" i="7" s="1"/>
  <c r="E15" i="8"/>
  <c r="F15" i="8" s="1"/>
  <c r="G15" i="8" s="1"/>
  <c r="E19" i="8"/>
  <c r="F19" i="8" s="1"/>
  <c r="G19" i="8" s="1"/>
  <c r="E39" i="8"/>
  <c r="E59" i="3" l="1"/>
  <c r="E57" i="3"/>
  <c r="F34" i="3"/>
  <c r="D91" i="3" s="1"/>
  <c r="H67" i="3"/>
  <c r="J67" i="3" s="1"/>
  <c r="G67" i="3"/>
  <c r="I32" i="7"/>
  <c r="I33" i="7"/>
  <c r="J19" i="7"/>
  <c r="K19" i="7" s="1"/>
  <c r="E33" i="7"/>
  <c r="T20" i="2"/>
  <c r="Q42" i="2"/>
  <c r="R42" i="2" s="1"/>
  <c r="S42" i="2" s="1"/>
  <c r="F91" i="2" s="1"/>
  <c r="Q35" i="2"/>
  <c r="R35" i="2" s="1"/>
  <c r="S35" i="2" s="1"/>
  <c r="D90" i="2" s="1"/>
  <c r="Q26" i="2"/>
  <c r="R26" i="2" s="1"/>
  <c r="S26" i="2" s="1"/>
  <c r="E88" i="2" s="1"/>
  <c r="E79" i="2"/>
  <c r="I42" i="2"/>
  <c r="J42" i="2" s="1"/>
  <c r="L42" i="2" s="1"/>
  <c r="F52" i="2" s="1"/>
  <c r="Q40" i="2"/>
  <c r="R40" i="2" s="1"/>
  <c r="S40" i="2" s="1"/>
  <c r="D91" i="2" s="1"/>
  <c r="Q36" i="2"/>
  <c r="R36" i="2" s="1"/>
  <c r="S36" i="2" s="1"/>
  <c r="E90" i="2" s="1"/>
  <c r="Q31" i="2"/>
  <c r="R31" i="2" s="1"/>
  <c r="S31" i="2" s="1"/>
  <c r="E89" i="2" s="1"/>
  <c r="Q27" i="2"/>
  <c r="R27" i="2" s="1"/>
  <c r="S27" i="2" s="1"/>
  <c r="F88" i="2" s="1"/>
  <c r="T40" i="2"/>
  <c r="I21" i="2"/>
  <c r="J21" i="2" s="1"/>
  <c r="C18" i="7" s="1"/>
  <c r="E18" i="7" s="1"/>
  <c r="C79" i="2"/>
  <c r="F80" i="2"/>
  <c r="J18" i="7"/>
  <c r="K18" i="7" s="1"/>
  <c r="I40" i="2"/>
  <c r="J40" i="2" s="1"/>
  <c r="L40" i="2" s="1"/>
  <c r="D52" i="2" s="1"/>
  <c r="I25" i="2"/>
  <c r="J25" i="2" s="1"/>
  <c r="J7" i="3" s="1"/>
  <c r="K7" i="3" s="1"/>
  <c r="G78" i="2"/>
  <c r="I36" i="2"/>
  <c r="J36" i="2" s="1"/>
  <c r="L36" i="2" s="1"/>
  <c r="F78" i="2"/>
  <c r="G79" i="2"/>
  <c r="D80" i="2"/>
  <c r="G80" i="2"/>
  <c r="C80" i="2"/>
  <c r="E80" i="2"/>
  <c r="B80" i="2"/>
  <c r="D72" i="2"/>
  <c r="E72" i="2" s="1"/>
  <c r="J26" i="2"/>
  <c r="J23" i="3" s="1"/>
  <c r="K23" i="3" s="1"/>
  <c r="F79" i="2"/>
  <c r="I22" i="2"/>
  <c r="J22" i="2" s="1"/>
  <c r="L22" i="2" s="1"/>
  <c r="F48" i="2" s="1"/>
  <c r="I41" i="2"/>
  <c r="J41" i="2" s="1"/>
  <c r="C22" i="7" s="1"/>
  <c r="E22" i="7" s="1"/>
  <c r="I30" i="7"/>
  <c r="E30" i="7" s="1"/>
  <c r="D79" i="2"/>
  <c r="J21" i="7"/>
  <c r="K21" i="7" s="1"/>
  <c r="G21" i="7" s="1"/>
  <c r="D33" i="7" s="1"/>
  <c r="K33" i="7" s="1"/>
  <c r="I37" i="2"/>
  <c r="J37" i="2" s="1"/>
  <c r="L37" i="2" s="1"/>
  <c r="F51" i="2" s="1"/>
  <c r="I35" i="2"/>
  <c r="J35" i="2" s="1"/>
  <c r="J22" i="7"/>
  <c r="K22" i="7" s="1"/>
  <c r="C78" i="2"/>
  <c r="I34" i="7"/>
  <c r="E34" i="7" s="1"/>
  <c r="D78" i="2"/>
  <c r="J19" i="3"/>
  <c r="K19" i="3" s="1"/>
  <c r="F17" i="6"/>
  <c r="F52" i="6" s="1"/>
  <c r="J14" i="3"/>
  <c r="K14" i="3" s="1"/>
  <c r="J24" i="3"/>
  <c r="K24" i="3" s="1"/>
  <c r="F59" i="3"/>
  <c r="L27" i="2"/>
  <c r="F49" i="2" s="1"/>
  <c r="J9" i="3"/>
  <c r="K9" i="3" s="1"/>
  <c r="I18" i="7"/>
  <c r="G32" i="3"/>
  <c r="D73" i="2"/>
  <c r="E73" i="2" s="1"/>
  <c r="T41" i="2"/>
  <c r="G91" i="2"/>
  <c r="T21" i="2"/>
  <c r="G87" i="2"/>
  <c r="I20" i="7"/>
  <c r="D66" i="3"/>
  <c r="H66" i="3" s="1"/>
  <c r="C66" i="3"/>
  <c r="G66" i="3" s="1"/>
  <c r="H13" i="3"/>
  <c r="E31" i="3" s="1"/>
  <c r="E35" i="3" s="1"/>
  <c r="E91" i="3" s="1"/>
  <c r="I22" i="3"/>
  <c r="I19" i="7"/>
  <c r="G19" i="7" s="1"/>
  <c r="D31" i="7" s="1"/>
  <c r="K31" i="7" s="1"/>
  <c r="I22" i="7"/>
  <c r="E58" i="3"/>
  <c r="E32" i="7"/>
  <c r="H23" i="3"/>
  <c r="E33" i="3" s="1"/>
  <c r="G33" i="3" s="1"/>
  <c r="D68" i="3"/>
  <c r="H68" i="3" s="1"/>
  <c r="C68" i="3"/>
  <c r="G68" i="3" s="1"/>
  <c r="F35" i="3"/>
  <c r="F91" i="3" s="1"/>
  <c r="I17" i="3"/>
  <c r="H8" i="3"/>
  <c r="E30" i="3" s="1"/>
  <c r="C65" i="3"/>
  <c r="G65" i="3" s="1"/>
  <c r="D65" i="3"/>
  <c r="H65" i="3" s="1"/>
  <c r="C39" i="3"/>
  <c r="C40" i="3" s="1"/>
  <c r="D34" i="3"/>
  <c r="B55" i="7"/>
  <c r="I20" i="2"/>
  <c r="J20" i="2" s="1"/>
  <c r="D40" i="3"/>
  <c r="I12" i="3"/>
  <c r="T35" i="2"/>
  <c r="H30" i="2"/>
  <c r="J20" i="7"/>
  <c r="K20" i="7" s="1"/>
  <c r="I7" i="3"/>
  <c r="D39" i="3"/>
  <c r="B27" i="4"/>
  <c r="B28" i="4"/>
  <c r="B100" i="2"/>
  <c r="B18" i="7"/>
  <c r="B130" i="2"/>
  <c r="C48" i="2"/>
  <c r="C49" i="2" s="1"/>
  <c r="C50" i="2" s="1"/>
  <c r="C23" i="6"/>
  <c r="C35" i="6"/>
  <c r="C40" i="6" s="1"/>
  <c r="B59" i="2"/>
  <c r="B53" i="2"/>
  <c r="B54" i="2"/>
  <c r="B87" i="2"/>
  <c r="T30" i="2"/>
  <c r="S30" i="2"/>
  <c r="D89" i="2" s="1"/>
  <c r="T25" i="2"/>
  <c r="J18" i="3"/>
  <c r="K18" i="3" s="1"/>
  <c r="D43" i="3" l="1"/>
  <c r="C45" i="1" s="1"/>
  <c r="G59" i="3"/>
  <c r="G31" i="3"/>
  <c r="I67" i="3"/>
  <c r="G69" i="3"/>
  <c r="C58" i="1"/>
  <c r="C51" i="3"/>
  <c r="F44" i="1"/>
  <c r="C69" i="3"/>
  <c r="G35" i="3"/>
  <c r="E34" i="3"/>
  <c r="G34" i="3" s="1"/>
  <c r="H78" i="2"/>
  <c r="I78" i="2" s="1"/>
  <c r="M40" i="2"/>
  <c r="E63" i="2" s="1"/>
  <c r="C34" i="7"/>
  <c r="H79" i="2"/>
  <c r="I79" i="2" s="1"/>
  <c r="H80" i="2"/>
  <c r="I80" i="2" s="1"/>
  <c r="D92" i="2"/>
  <c r="L25" i="2"/>
  <c r="C31" i="7" s="1"/>
  <c r="C36" i="7" s="1"/>
  <c r="D71" i="2"/>
  <c r="E71" i="2" s="1"/>
  <c r="B114" i="2"/>
  <c r="C114" i="2" s="1"/>
  <c r="D114" i="2" s="1"/>
  <c r="D16" i="6"/>
  <c r="E16" i="6" s="1"/>
  <c r="D17" i="6"/>
  <c r="D52" i="6" s="1"/>
  <c r="F57" i="3"/>
  <c r="G57" i="3" s="1"/>
  <c r="D15" i="6"/>
  <c r="D50" i="6" s="1"/>
  <c r="M25" i="2"/>
  <c r="B113" i="2" s="1"/>
  <c r="J22" i="3"/>
  <c r="K22" i="3" s="1"/>
  <c r="L41" i="2"/>
  <c r="E52" i="2" s="1"/>
  <c r="C134" i="2" s="1"/>
  <c r="J13" i="3"/>
  <c r="K13" i="3" s="1"/>
  <c r="D81" i="2"/>
  <c r="E81" i="2"/>
  <c r="C81" i="2"/>
  <c r="F81" i="2"/>
  <c r="L26" i="2"/>
  <c r="D19" i="7" s="1"/>
  <c r="D24" i="7" s="1"/>
  <c r="C19" i="7"/>
  <c r="E19" i="7" s="1"/>
  <c r="D131" i="2" s="1"/>
  <c r="L21" i="2"/>
  <c r="E48" i="2" s="1"/>
  <c r="J12" i="3"/>
  <c r="K12" i="3" s="1"/>
  <c r="E17" i="6"/>
  <c r="E52" i="6" s="1"/>
  <c r="B15" i="4"/>
  <c r="C16" i="4" s="1"/>
  <c r="J8" i="3"/>
  <c r="K8" i="3" s="1"/>
  <c r="F58" i="3"/>
  <c r="G58" i="3" s="1"/>
  <c r="G81" i="2"/>
  <c r="B115" i="2"/>
  <c r="C115" i="2" s="1"/>
  <c r="C21" i="7"/>
  <c r="E21" i="7" s="1"/>
  <c r="J17" i="3"/>
  <c r="K17" i="3" s="1"/>
  <c r="L35" i="2"/>
  <c r="M35" i="2"/>
  <c r="G22" i="7"/>
  <c r="D34" i="7" s="1"/>
  <c r="K34" i="7" s="1"/>
  <c r="F53" i="2"/>
  <c r="D160" i="2" s="1"/>
  <c r="I66" i="3"/>
  <c r="J66" i="3"/>
  <c r="C49" i="3"/>
  <c r="B91" i="3"/>
  <c r="D44" i="1"/>
  <c r="C56" i="1"/>
  <c r="B23" i="7"/>
  <c r="B30" i="7"/>
  <c r="C100" i="2"/>
  <c r="C101" i="2" s="1"/>
  <c r="C102" i="2" s="1"/>
  <c r="C103" i="2" s="1"/>
  <c r="C104" i="2" s="1"/>
  <c r="C41" i="3"/>
  <c r="C42" i="3" s="1"/>
  <c r="D44" i="3"/>
  <c r="G88" i="2"/>
  <c r="T26" i="2"/>
  <c r="T31" i="2"/>
  <c r="G89" i="2"/>
  <c r="E39" i="3"/>
  <c r="I8" i="3"/>
  <c r="I65" i="3"/>
  <c r="J65" i="3"/>
  <c r="H87" i="2"/>
  <c r="T22" i="2"/>
  <c r="I87" i="2" s="1"/>
  <c r="I23" i="3"/>
  <c r="E42" i="3"/>
  <c r="G20" i="7"/>
  <c r="D134" i="2"/>
  <c r="H91" i="2"/>
  <c r="T42" i="2"/>
  <c r="I91" i="2" s="1"/>
  <c r="C18" i="4"/>
  <c r="C17" i="4"/>
  <c r="I30" i="2"/>
  <c r="J30" i="2" s="1"/>
  <c r="I31" i="2"/>
  <c r="J31" i="2" s="1"/>
  <c r="M41" i="2"/>
  <c r="G90" i="2"/>
  <c r="T36" i="2"/>
  <c r="H69" i="3"/>
  <c r="C28" i="6"/>
  <c r="G24" i="7"/>
  <c r="D36" i="7"/>
  <c r="E162" i="2" s="1"/>
  <c r="E36" i="7"/>
  <c r="F54" i="2"/>
  <c r="F160" i="2" s="1"/>
  <c r="C51" i="2"/>
  <c r="C52" i="2" s="1"/>
  <c r="D69" i="3"/>
  <c r="D21" i="7"/>
  <c r="E51" i="2"/>
  <c r="J23" i="7"/>
  <c r="I23" i="7"/>
  <c r="I13" i="3"/>
  <c r="E40" i="3"/>
  <c r="E44" i="3" s="1"/>
  <c r="G30" i="3"/>
  <c r="D130" i="2"/>
  <c r="H23" i="7"/>
  <c r="F92" i="2"/>
  <c r="E92" i="2"/>
  <c r="C87" i="2"/>
  <c r="C88" i="2" s="1"/>
  <c r="C89" i="2" s="1"/>
  <c r="C90" i="2" s="1"/>
  <c r="C91" i="2" s="1"/>
  <c r="E41" i="3"/>
  <c r="I18" i="3"/>
  <c r="K23" i="7"/>
  <c r="G18" i="7"/>
  <c r="C59" i="2"/>
  <c r="C60" i="2" s="1"/>
  <c r="C61" i="2" s="1"/>
  <c r="D64" i="2"/>
  <c r="C43" i="1" s="1"/>
  <c r="J68" i="3"/>
  <c r="I68" i="3"/>
  <c r="L20" i="2"/>
  <c r="M20" i="2"/>
  <c r="C57" i="1" l="1"/>
  <c r="E44" i="1"/>
  <c r="C91" i="3"/>
  <c r="C50" i="3"/>
  <c r="D51" i="6"/>
  <c r="D104" i="2"/>
  <c r="G104" i="2" s="1"/>
  <c r="F34" i="7"/>
  <c r="G34" i="7" s="1"/>
  <c r="G134" i="2" s="1"/>
  <c r="F46" i="6"/>
  <c r="B116" i="2"/>
  <c r="D49" i="2"/>
  <c r="D54" i="2" s="1"/>
  <c r="B58" i="1"/>
  <c r="D58" i="1" s="1"/>
  <c r="L21" i="7"/>
  <c r="F93" i="2"/>
  <c r="F94" i="2" s="1"/>
  <c r="F31" i="7"/>
  <c r="G31" i="7" s="1"/>
  <c r="G36" i="7" s="1"/>
  <c r="D14" i="6"/>
  <c r="D18" i="6" s="1"/>
  <c r="M26" i="2"/>
  <c r="D22" i="7"/>
  <c r="F22" i="7" s="1"/>
  <c r="E60" i="2"/>
  <c r="D101" i="2"/>
  <c r="G101" i="2" s="1"/>
  <c r="F42" i="1"/>
  <c r="B51" i="3"/>
  <c r="D51" i="3" s="1"/>
  <c r="D121" i="2"/>
  <c r="D18" i="7"/>
  <c r="F18" i="7" s="1"/>
  <c r="H81" i="2"/>
  <c r="I81" i="2" s="1"/>
  <c r="E15" i="6"/>
  <c r="E49" i="2"/>
  <c r="C131" i="2" s="1"/>
  <c r="H131" i="2" s="1"/>
  <c r="E24" i="7"/>
  <c r="D136" i="2" s="1"/>
  <c r="F21" i="7"/>
  <c r="G52" i="2"/>
  <c r="D133" i="2"/>
  <c r="E62" i="2"/>
  <c r="M36" i="2"/>
  <c r="F33" i="7"/>
  <c r="G33" i="7" s="1"/>
  <c r="D103" i="2"/>
  <c r="G103" i="2" s="1"/>
  <c r="D51" i="2"/>
  <c r="G51" i="2" s="1"/>
  <c r="C33" i="7"/>
  <c r="D43" i="7"/>
  <c r="G92" i="2"/>
  <c r="D48" i="6" s="1"/>
  <c r="F16" i="6"/>
  <c r="F51" i="6" s="1"/>
  <c r="E51" i="6"/>
  <c r="D32" i="7"/>
  <c r="K32" i="7" s="1"/>
  <c r="D51" i="1"/>
  <c r="C62" i="2"/>
  <c r="C63" i="2" s="1"/>
  <c r="E65" i="2"/>
  <c r="H49" i="3" s="1"/>
  <c r="D65" i="2"/>
  <c r="F40" i="3"/>
  <c r="I14" i="3"/>
  <c r="F39" i="3"/>
  <c r="I9" i="3"/>
  <c r="I24" i="3"/>
  <c r="F42" i="3"/>
  <c r="H42" i="3" s="1"/>
  <c r="E43" i="3"/>
  <c r="L19" i="7"/>
  <c r="F19" i="7"/>
  <c r="L30" i="2"/>
  <c r="M30" i="2"/>
  <c r="D30" i="7"/>
  <c r="K30" i="7" s="1"/>
  <c r="G25" i="7"/>
  <c r="G23" i="7"/>
  <c r="H34" i="7"/>
  <c r="I49" i="3"/>
  <c r="F41" i="3"/>
  <c r="H41" i="3" s="1"/>
  <c r="I19" i="3"/>
  <c r="T37" i="2"/>
  <c r="I90" i="2" s="1"/>
  <c r="H90" i="2"/>
  <c r="E134" i="2"/>
  <c r="H134" i="2"/>
  <c r="F15" i="6"/>
  <c r="F50" i="6" s="1"/>
  <c r="E50" i="6"/>
  <c r="C20" i="7"/>
  <c r="L31" i="2"/>
  <c r="H89" i="2"/>
  <c r="T32" i="2"/>
  <c r="I89" i="2" s="1"/>
  <c r="I69" i="3"/>
  <c r="C93" i="3"/>
  <c r="D115" i="2"/>
  <c r="H31" i="7"/>
  <c r="H36" i="7" s="1"/>
  <c r="G131" i="2"/>
  <c r="E35" i="7"/>
  <c r="B35" i="7"/>
  <c r="C133" i="2"/>
  <c r="D44" i="7"/>
  <c r="L18" i="7"/>
  <c r="F30" i="7"/>
  <c r="G30" i="7" s="1"/>
  <c r="D100" i="2"/>
  <c r="G100" i="2" s="1"/>
  <c r="M21" i="2"/>
  <c r="E59" i="2"/>
  <c r="F63" i="2"/>
  <c r="M42" i="2"/>
  <c r="E104" i="2"/>
  <c r="H104" i="2" s="1"/>
  <c r="C130" i="2"/>
  <c r="E130" i="2" s="1"/>
  <c r="C30" i="7"/>
  <c r="D48" i="2"/>
  <c r="H88" i="2"/>
  <c r="T27" i="2"/>
  <c r="I88" i="2" s="1"/>
  <c r="C113" i="2"/>
  <c r="C116" i="2" s="1"/>
  <c r="M27" i="2"/>
  <c r="F60" i="2"/>
  <c r="F65" i="2" s="1"/>
  <c r="E101" i="2"/>
  <c r="E14" i="6"/>
  <c r="E18" i="6" s="1"/>
  <c r="L22" i="7" l="1"/>
  <c r="H101" i="2"/>
  <c r="G49" i="2"/>
  <c r="E131" i="2"/>
  <c r="F36" i="7"/>
  <c r="E54" i="2"/>
  <c r="E160" i="2" s="1"/>
  <c r="H133" i="2"/>
  <c r="G133" i="2"/>
  <c r="H33" i="7"/>
  <c r="D35" i="7"/>
  <c r="E53" i="6" s="1"/>
  <c r="M37" i="2"/>
  <c r="E103" i="2"/>
  <c r="H103" i="2" s="1"/>
  <c r="F62" i="2"/>
  <c r="F133" i="2" s="1"/>
  <c r="B123" i="2"/>
  <c r="I92" i="2"/>
  <c r="F48" i="6" s="1"/>
  <c r="H92" i="2"/>
  <c r="E48" i="6" s="1"/>
  <c r="D20" i="7"/>
  <c r="E50" i="2"/>
  <c r="I104" i="2"/>
  <c r="D50" i="2"/>
  <c r="C32" i="7"/>
  <c r="C35" i="7" s="1"/>
  <c r="E36" i="6"/>
  <c r="G40" i="3"/>
  <c r="G44" i="3" s="1"/>
  <c r="E61" i="2"/>
  <c r="E64" i="2" s="1"/>
  <c r="M31" i="2"/>
  <c r="F32" i="7"/>
  <c r="D102" i="2"/>
  <c r="G102" i="2" s="1"/>
  <c r="G105" i="2" s="1"/>
  <c r="H50" i="3"/>
  <c r="F136" i="2"/>
  <c r="E161" i="2"/>
  <c r="D27" i="6"/>
  <c r="E27" i="6" s="1"/>
  <c r="D39" i="6"/>
  <c r="G63" i="2"/>
  <c r="F104" i="2"/>
  <c r="F56" i="1"/>
  <c r="B92" i="3"/>
  <c r="F49" i="3"/>
  <c r="D45" i="1"/>
  <c r="F134" i="2"/>
  <c r="H63" i="2"/>
  <c r="G42" i="3"/>
  <c r="E39" i="6"/>
  <c r="E38" i="6"/>
  <c r="G39" i="3"/>
  <c r="E35" i="6"/>
  <c r="G41" i="3"/>
  <c r="E37" i="6"/>
  <c r="F43" i="3"/>
  <c r="G48" i="2"/>
  <c r="J49" i="3"/>
  <c r="H56" i="1"/>
  <c r="F131" i="2"/>
  <c r="F53" i="6"/>
  <c r="D162" i="2"/>
  <c r="H130" i="2"/>
  <c r="E20" i="7"/>
  <c r="C23" i="7"/>
  <c r="D42" i="7" s="1"/>
  <c r="F44" i="3"/>
  <c r="E133" i="2"/>
  <c r="D49" i="1"/>
  <c r="C45" i="7"/>
  <c r="E100" i="2"/>
  <c r="H100" i="2" s="1"/>
  <c r="M22" i="2"/>
  <c r="F59" i="2"/>
  <c r="H30" i="7"/>
  <c r="G130" i="2"/>
  <c r="D24" i="6"/>
  <c r="E24" i="6" s="1"/>
  <c r="D36" i="6"/>
  <c r="D113" i="2"/>
  <c r="D116" i="2" s="1"/>
  <c r="G60" i="2"/>
  <c r="G65" i="2" s="1"/>
  <c r="H65" i="2" s="1"/>
  <c r="F101" i="2"/>
  <c r="I101" i="2" s="1"/>
  <c r="F14" i="6"/>
  <c r="F18" i="6" s="1"/>
  <c r="D50" i="1"/>
  <c r="D164" i="2"/>
  <c r="H40" i="3" l="1"/>
  <c r="C162" i="2"/>
  <c r="G43" i="3"/>
  <c r="D92" i="3" s="1"/>
  <c r="G50" i="2"/>
  <c r="G54" i="2"/>
  <c r="C136" i="2"/>
  <c r="F103" i="2"/>
  <c r="I103" i="2" s="1"/>
  <c r="D26" i="6"/>
  <c r="E26" i="6" s="1"/>
  <c r="G62" i="2"/>
  <c r="H62" i="2" s="1"/>
  <c r="D38" i="6"/>
  <c r="F38" i="6" s="1"/>
  <c r="F36" i="6"/>
  <c r="H60" i="2"/>
  <c r="D123" i="2"/>
  <c r="F39" i="6"/>
  <c r="C123" i="2"/>
  <c r="D47" i="6"/>
  <c r="B161" i="2"/>
  <c r="E56" i="1"/>
  <c r="G56" i="1" s="1"/>
  <c r="E49" i="3"/>
  <c r="G49" i="3" s="1"/>
  <c r="B122" i="2"/>
  <c r="G93" i="2"/>
  <c r="G94" i="2" s="1"/>
  <c r="G106" i="2"/>
  <c r="G107" i="2" s="1"/>
  <c r="D43" i="1"/>
  <c r="D53" i="6"/>
  <c r="B162" i="2"/>
  <c r="B124" i="2"/>
  <c r="D49" i="6"/>
  <c r="G32" i="7"/>
  <c r="F35" i="7"/>
  <c r="B163" i="2" s="1"/>
  <c r="B51" i="1"/>
  <c r="C132" i="2"/>
  <c r="E51" i="1"/>
  <c r="E53" i="2"/>
  <c r="D29" i="6"/>
  <c r="E29" i="6"/>
  <c r="F161" i="2"/>
  <c r="H51" i="3"/>
  <c r="F20" i="7"/>
  <c r="D132" i="2"/>
  <c r="C51" i="1"/>
  <c r="L20" i="7"/>
  <c r="E23" i="7"/>
  <c r="E25" i="7"/>
  <c r="D53" i="2"/>
  <c r="F57" i="1"/>
  <c r="C92" i="3"/>
  <c r="F50" i="3"/>
  <c r="E45" i="1"/>
  <c r="H39" i="3"/>
  <c r="E102" i="2"/>
  <c r="H102" i="2" s="1"/>
  <c r="M32" i="2"/>
  <c r="F61" i="2"/>
  <c r="F64" i="2" s="1"/>
  <c r="F92" i="3"/>
  <c r="H58" i="1"/>
  <c r="I51" i="3"/>
  <c r="F130" i="2"/>
  <c r="D23" i="7"/>
  <c r="D25" i="7"/>
  <c r="G59" i="2"/>
  <c r="D23" i="6"/>
  <c r="D35" i="6"/>
  <c r="F35" i="6" s="1"/>
  <c r="F100" i="2"/>
  <c r="I100" i="2" s="1"/>
  <c r="H57" i="1"/>
  <c r="E92" i="3"/>
  <c r="I50" i="3"/>
  <c r="J50" i="3" s="1"/>
  <c r="H44" i="3"/>
  <c r="E40" i="6"/>
  <c r="H43" i="3" l="1"/>
  <c r="F51" i="3"/>
  <c r="F45" i="1"/>
  <c r="F58" i="1"/>
  <c r="E41" i="6"/>
  <c r="J51" i="3"/>
  <c r="H32" i="7"/>
  <c r="H35" i="7" s="1"/>
  <c r="D163" i="2" s="1"/>
  <c r="G132" i="2"/>
  <c r="G35" i="7"/>
  <c r="H59" i="2"/>
  <c r="D137" i="2"/>
  <c r="C164" i="2"/>
  <c r="C50" i="1"/>
  <c r="B50" i="3"/>
  <c r="D50" i="3" s="1"/>
  <c r="E46" i="6"/>
  <c r="C135" i="2"/>
  <c r="C41" i="7"/>
  <c r="B57" i="1"/>
  <c r="D57" i="1" s="1"/>
  <c r="E93" i="2"/>
  <c r="E94" i="2" s="1"/>
  <c r="E42" i="1"/>
  <c r="C121" i="2"/>
  <c r="B49" i="1"/>
  <c r="C160" i="2"/>
  <c r="E49" i="1"/>
  <c r="D45" i="7"/>
  <c r="C49" i="1"/>
  <c r="D46" i="7"/>
  <c r="D135" i="2"/>
  <c r="C46" i="7"/>
  <c r="F23" i="7"/>
  <c r="D47" i="7"/>
  <c r="F102" i="2"/>
  <c r="I102" i="2" s="1"/>
  <c r="I105" i="2" s="1"/>
  <c r="D37" i="6"/>
  <c r="F37" i="6" s="1"/>
  <c r="G61" i="2"/>
  <c r="H61" i="2" s="1"/>
  <c r="D25" i="6"/>
  <c r="E25" i="6" s="1"/>
  <c r="B164" i="2"/>
  <c r="C137" i="2"/>
  <c r="B50" i="1"/>
  <c r="E50" i="1"/>
  <c r="H105" i="2"/>
  <c r="E132" i="2"/>
  <c r="H132" i="2"/>
  <c r="C161" i="2"/>
  <c r="E47" i="6"/>
  <c r="F135" i="2"/>
  <c r="C122" i="2"/>
  <c r="H93" i="2"/>
  <c r="H94" i="2" s="1"/>
  <c r="E50" i="3"/>
  <c r="G50" i="3" s="1"/>
  <c r="E57" i="1"/>
  <c r="G57" i="1" s="1"/>
  <c r="H106" i="2"/>
  <c r="E43" i="1"/>
  <c r="D42" i="1"/>
  <c r="B160" i="2"/>
  <c r="D46" i="6"/>
  <c r="B56" i="1"/>
  <c r="D56" i="1" s="1"/>
  <c r="B121" i="2"/>
  <c r="B49" i="3"/>
  <c r="D49" i="3" s="1"/>
  <c r="D93" i="2"/>
  <c r="D94" i="2" s="1"/>
  <c r="G53" i="2"/>
  <c r="F132" i="2"/>
  <c r="E23" i="6"/>
  <c r="D124" i="2" l="1"/>
  <c r="F49" i="6"/>
  <c r="G64" i="2"/>
  <c r="E137" i="2"/>
  <c r="C163" i="2"/>
  <c r="G135" i="2"/>
  <c r="E135" i="2"/>
  <c r="D40" i="6"/>
  <c r="F40" i="6" s="1"/>
  <c r="D28" i="6"/>
  <c r="D30" i="6" s="1"/>
  <c r="E28" i="6"/>
  <c r="E30" i="6" s="1"/>
  <c r="C124" i="2"/>
  <c r="H107" i="2"/>
  <c r="E49" i="6"/>
  <c r="E51" i="3" l="1"/>
  <c r="G51" i="3" s="1"/>
  <c r="D161" i="2"/>
  <c r="F47" i="6"/>
  <c r="D41" i="6"/>
  <c r="F41" i="6" s="1"/>
  <c r="C42" i="6" s="1"/>
  <c r="D122" i="2"/>
  <c r="I93" i="2"/>
  <c r="I94" i="2" s="1"/>
  <c r="I106" i="2"/>
  <c r="I107" i="2" s="1"/>
  <c r="E58" i="1"/>
  <c r="G58" i="1" s="1"/>
  <c r="F43" i="1"/>
  <c r="H64" i="2"/>
</calcChain>
</file>

<file path=xl/sharedStrings.xml><?xml version="1.0" encoding="utf-8"?>
<sst xmlns="http://schemas.openxmlformats.org/spreadsheetml/2006/main" count="1422" uniqueCount="982">
  <si>
    <t>The Arithmetic of the Gap  ·  Memory Supply–Demand Model</t>
  </si>
  <si>
    <t>v4.0 Inventory-Exhaustion Edition  |  DRAM / NAND / HBM  |  flow basis (growth gap) + stock basis (horizontal adequacy)  |  data cut-off 2026-09-08  |  everything new in v4.0 is marked in amber</t>
  </si>
  <si>
    <t>How to use this workbook — read this first</t>
  </si>
  <si>
    <t>This workbook is the computable version of The Arithmetic of the Gap. Every number is a live formula. Sheets 01 and 02 each carry a PARAMETER CONSOLE at the bottom: drag a slider and the whole sheet and every chart recalculates. Sheet 06 carries a second console holding the three v4.0 corrections. This is a framework whose parameters you can replace and recompute — not a forecast.</t>
  </si>
  <si>
    <t>Blue text</t>
  </si>
  <si>
    <t>Editable input cell (slider link cells can also be typed into directly)</t>
  </si>
  <si>
    <t>Black text</t>
  </si>
  <si>
    <t>Formula output — do not overwrite</t>
  </si>
  <si>
    <t>Green text</t>
  </si>
  <si>
    <t>Cross-sheet reference</t>
  </si>
  <si>
    <t>Yellow fill</t>
  </si>
  <si>
    <t>Key assumption / current console value — the model is most sensitive to these</t>
  </si>
  <si>
    <t>Pink fill</t>
  </si>
  <si>
    <t>Model defect or basis risk found in the audit</t>
  </si>
  <si>
    <t>Amber fill</t>
  </si>
  <si>
    <t>Added or revised in v4.0 (2026-09-08) — new relative to the v3.0 workbook</t>
  </si>
  <si>
    <t>01   The two bit-supply formulas: everything starts here</t>
  </si>
  <si>
    <t>DRAM</t>
  </si>
  <si>
    <t>Effective bits = wafer starts × net good die per wafer × bits per die × yield × (1 − HBM wafer penalty)</t>
  </si>
  <si>
    <t>Growth form (used by this model): bit growth = (1 + wafer capacity growth) × (1 + node bit uplift) × (1 − HBM crowd-out) − 1</t>
  </si>
  <si>
    <t>NAND</t>
  </si>
  <si>
    <t>Effective bits = wafer starts × die per wafer × layer count × bits per cell × yield</t>
  </si>
  <si>
    <t>Growth form (used by this model): bit growth = (1 + wafer capacity growth) × (1 + layer uplift) × (1 + QLC mix uplift) − 1</t>
  </si>
  <si>
    <t>★ The whole difference sits in this line: NAND has two levers that need no new fab (layer stacking 232 → 400+ = +72%, TLC → QLC = +33%, 2.29× in theory when compounded); DRAM has none. That is the source of every conclusion below — the same demand meeting two different supply elasticities must produce two price paths.</t>
  </si>
  <si>
    <t>02   Four layers of 'gap': which one this model computes</t>
  </si>
  <si>
    <t>In the market the words 'memory gap' point to at least four different things whose values differ by up to 20×. Mixing them up is the root of most misreadings.</t>
  </si>
  <si>
    <t>Layer</t>
  </si>
  <si>
    <t>Basis</t>
  </si>
  <si>
    <t>Definition</t>
  </si>
  <si>
    <t>2026 value</t>
  </si>
  <si>
    <t>How this model uses it</t>
  </si>
  <si>
    <t>①</t>
  </si>
  <si>
    <t>LATENT</t>
  </si>
  <si>
    <t>What customers want but cannot buy (quota method). Micron: able to supply only 50%–2/3 of key-customer demand; buyers receive 60–70% of what they request. Known distortion: customers know they will be cut, so they systematically over-request.</t>
  </si>
  <si>
    <t>−30% ~ −40%</t>
  </si>
  <si>
    <t>Upper-bound reference, not used</t>
  </si>
  <si>
    <t>②</t>
  </si>
  <si>
    <t>STOCK</t>
  </si>
  <si>
    <t>Cumulative horizontal gap under an unconstrained-demand assumption. The v2.0 basis. Narrower than ① (over-requests removed), wider than ③ (demand destruction not removed).</t>
  </si>
  <si>
    <t>−15.6%</t>
  </si>
  <si>
    <t>★ Primary basis of this model</t>
  </si>
  <si>
    <t>③</t>
  </si>
  <si>
    <t>CLEARED</t>
  </si>
  <si>
    <t>The residual gap actually transacted after prices have risen and part of demand has been priced out. TrendForce's published 'sufficiency ratio' is this one.</t>
  </si>
  <si>
    <t>−1% ~ −2%</t>
  </si>
  <si>
    <t>External benchmark</t>
  </si>
  <si>
    <t>④</t>
  </si>
  <si>
    <t>FLOW</t>
  </si>
  <si>
    <t>The annual rate of change of the gap — the first derivative of ②. The v1.0 basis. It tells you whether the gap is widening or narrowing, not how big it is.</t>
  </si>
  <si>
    <t>−9.3%</t>
  </si>
  <si>
    <t>★ Secondary basis of this model</t>
  </si>
  <si>
    <t>Chain of logic: ① latent −(30~40)%  →  [strip customer over-requests]  →  ② stock −(15~16)%  →  [strip the consumer-electronics demand priced out: handsets −15~20%, notebooks −14.8%]  →  ③ cleared −(1~2)%.  ④ is not on this chain — it is the first derivative of ②.</t>
  </si>
  <si>
    <t>03   Inventory: the only physical anchor of the stock basis   ▲ rewritten in v4.0</t>
  </si>
  <si>
    <t>Point in time</t>
  </si>
  <si>
    <t>Inventory weeks</t>
  </si>
  <si>
    <t>Note</t>
  </si>
  <si>
    <t>Implication</t>
  </si>
  <si>
    <t>Early 2023</t>
  </si>
  <si>
    <t>Peak of the glut — the legacy of 2020–22 double-ordering and the pandemic demand reversal.</t>
  </si>
  <si>
    <t>End 2025 Q3</t>
  </si>
  <si>
    <t>Matched the 2018 super-cycle low; SK hynix and Micron roughly 2 weeks each.</t>
  </si>
  <si>
    <t>Three-year drawdown of 27.7 weeks = 53% of one full year of demand</t>
  </si>
  <si>
    <t>Nov 2025 (SK hynix DRAM)</t>
  </si>
  <si>
    <t>Korean press. Added in v4.0 — fills the gap between the 3.3-week and the sub-10-day readings.</t>
  </si>
  <si>
    <t>July 2026</t>
  </si>
  <si>
    <t>Had recovered slightly off the bottom (3–5 week range, midpoint taken).</t>
  </si>
  <si>
    <t>2026 Q3</t>
  </si>
  <si>
    <t>★ &lt; 10 days. KB Securities, 2026-09-07, head of research Kim Dong-won. This is the single reading that changes the v4.0 conclusion.</t>
  </si>
  <si>
    <t>2026 shipments contained roughly 4.9% of bits released from inventory — a source that is now exhausted</t>
  </si>
  <si>
    <t>Industry 'healthy'</t>
  </si>
  <si>
    <t>30–45 days = 4.3–6.4 weeks (supply-chain benchmark cited by KB). Added in v4.0.</t>
  </si>
  <si>
    <t>'Normal' used by the model</t>
  </si>
  <si>
    <t>Industry long-run mean. ★ The single most fragile parameter in this model.</t>
  </si>
  <si>
    <t>It drives both the start-point calibration and the restock demand</t>
  </si>
  <si>
    <t>★★ v4.0: for three years the market ran short without running out because it was eating inventory — from 31 weeks down to under 1.5. The buffer is now gone, and the last leg of that drawdown (≈2.57 weeks between July 2026 and Q3 2026) means about 4.9% of 2026 shipments were released from stock rather than produced. From 2027 shipments can only come from production. That single accounting fact, not any new demand datapoint, is what moves the model.</t>
  </si>
  <si>
    <t>04   Headline results (every figure links live to sheets 01 / 02 / 06)</t>
  </si>
  <si>
    <t>Product</t>
  </si>
  <si>
    <t>2025 start</t>
  </si>
  <si>
    <t>2026</t>
  </si>
  <si>
    <t>2027</t>
  </si>
  <si>
    <t>2028</t>
  </si>
  <si>
    <t>Trough year</t>
  </si>
  <si>
    <t>Filled within three years?</t>
  </si>
  <si>
    <t>④ Flow: supply − demand growth</t>
  </si>
  <si>
    <t>—</t>
  </si>
  <si>
    <t>Gap stops widening when the growth gap turns positive</t>
  </si>
  <si>
    <t>② Stock: horizontal adequacy</t>
  </si>
  <si>
    <t>Weighted only breaks even / base case does not fill</t>
  </si>
  <si>
    <t>Growth gap turns positive in 2027</t>
  </si>
  <si>
    <t>Fills in 2027 and turns to surplus</t>
  </si>
  <si>
    <t>05   v4.0 headline: the 2027 DRAM picture before and after the three corrections</t>
  </si>
  <si>
    <t>Metric</t>
  </si>
  <si>
    <t>v3.0 (2026-08-27)</t>
  </si>
  <si>
    <t>v4.0 headline
(inventory only)</t>
  </si>
  <si>
    <t>v4.0 all three
corrections</t>
  </si>
  <si>
    <t>Change vs v3.0</t>
  </si>
  <si>
    <t>What moved it</t>
  </si>
  <si>
    <t>2027 probability-weighted growth gap</t>
  </si>
  <si>
    <t>Inventory exhaustion removes ≈5pp from 2027 shipment growth; 8-high HBM4 gives back ≈+1pp; the second de-spec caps demand by ≈2.5pp</t>
  </si>
  <si>
    <t>Probability 2027 is still short</t>
  </si>
  <si>
    <t>Under the inventory-only correction three of five scenarios are short (78%); once all three corrections are applied S3 sits on the boundary again</t>
  </si>
  <si>
    <t>S3 'relief' scenario, 2027 growth gap</t>
  </si>
  <si>
    <t>★ The scenario that flips: from 'turns to surplus' to 'still short' on the inventory correction alone</t>
  </si>
  <si>
    <t>⚠ Internal inconsistency inside v4.0 itself, carried here on purpose: section 4.2 of the report quotes −2.3% → −7.3% (correction #2 only), while section 4.1 nets all three corrections to roughly −1.7pp. Both cannot be the headline. This workbook computes each correction separately so you can see the two answers side by side — the honest statement is that the inventory correction alone gives −7.3% and 78%, and the fully corrected figure is materially shallower. See sheet 06 block [C].</t>
  </si>
  <si>
    <t>06   The most important conclusion: DRAM and NAND part company in 2027</t>
  </si>
  <si>
    <t>Year</t>
  </si>
  <si>
    <t>DRAM flow</t>
  </si>
  <si>
    <t>NAND flow</t>
  </si>
  <si>
    <t>Flow divergence</t>
  </si>
  <si>
    <t>DRAM stock</t>
  </si>
  <si>
    <t>NAND stock</t>
  </si>
  <si>
    <t>Stock divergence</t>
  </si>
  <si>
    <t>Median divergence</t>
  </si>
  <si>
    <t>Robustness</t>
  </si>
  <si>
    <t>Both short in the same direction, DRAM tighter</t>
  </si>
  <si>
    <t>★ The decisive year for the divergence</t>
  </si>
  <si>
    <t>Divergence widens further</t>
  </si>
  <si>
    <t>★ Robustness check (added in this workbook; neither report did it): v2.0 warned only on the DRAM side that the mean is dragged up by extreme scenarios and the median should be read instead. Swap both sides to the probability median and the divergence does not disappear — it widens. So 'DRAM and NAND should be priced separately' is robust to the probability weights; it does not rest on the two low-probability tail scenarios.</t>
  </si>
  <si>
    <t>07   Model audit: my review findings on the two reports (added by this workbook)</t>
  </si>
  <si>
    <t>Arithmetic: the 15 DRAM scenario-years, 12 NAND scenario-years, the HBM penalty formula, the single-variable sensitivity table and every stock recursion have been recomputed cell by cell; all differences are within rounding. The implementation is correct. What follows is at the level of logic and basis.</t>
  </si>
  <si>
    <t>Grade</t>
  </si>
  <si>
    <t>Issue</t>
  </si>
  <si>
    <t>Why it is a problem</t>
  </si>
  <si>
    <t>Effect on the conclusion</t>
  </si>
  <si>
    <t>A</t>
  </si>
  <si>
    <t>The 'model validation' in section 04 contradicts itself</t>
  </si>
  <si>
    <t>v2.0 section 01 explicitly defines ② stock ≠ ③ cleared, the difference being exactly demand destruction, so the two are not comparable. Section 04 nevertheless uses TrendForce's −4~−5% (③ basis) to 'validate' the model's −4.1% (② basis) and calls it a close match. The same basis logic is used to explain a 14pp discrepancy on DRAM and to claim agreement on NAND.</t>
  </si>
  <si>
    <t>'The model has been validated' should be withdrawn. One free parameter (NAND start −2.0%, no derivation) fitted to one target value is not a validation. → That start value is flagged as an editable input with a note in block [A] of sheet 02.</t>
  </si>
  <si>
    <t>Dimensional mismatch in the start-point calibration</t>
  </si>
  <si>
    <t>The recursion (1+gap_t−1)×(1+supply)÷(1+demand)−1 is mathematically identical to 'this year's supply ÷ this year's demand − 1' — a flow ratio. But the start point is calibrated with an inventory stock (4.7 weeks ÷ 52). Stock and flow ratio are different dimensions. It only looks like accumulation because the ratio of two exponential curves falls monotonically when supply growth stays below demand growth.</t>
  </si>
  <si>
    <t>The output is still readable but must be relabelled: it is 'the share of unconstrained demand this year's supply can meet', not 'how much has been owed cumulatively'. → Block [H] of sheet 01 computes the true additive accumulation alongside it.</t>
  </si>
  <si>
    <t>Restock 7.7% and start point −9.0% are double-counted</t>
  </si>
  <si>
    <t>Start −9.0% = (8 − 3.3)/52, whose physical meaning is precisely 'to get back to normal you must refill 4.7 weeks'. Section 05 then adds (8 − 4)/52 = 7.7% again as incremental demand. Both point at the same inventory hole; the overlap is about 85%.</t>
  </si>
  <si>
    <t>The claim that 'S2's 2028 worsens from −19.4% to −24.2%' should be withdrawn. → Block [I] of sheet 01 sets the three conventions side by side; the double count is exactly 4.78pp.</t>
  </si>
  <si>
    <t>HBM wafer-share basis mismatch (quantifiable)</t>
  </si>
  <si>
    <t>TrendForce's 18%/22%/30% is explicitly 'HBM wafers of the top three suppliers as a share of their own total DRAM wafers'. The model applied it to a global four-supplier basis that includes CXMT. CXMT makes no HBM and holds 17.1% of global wafers by end-2026. The global-basis figures should be 15.4%/18.2%/24.6%.</t>
  </si>
  <si>
    <t>The HBM drag is overstated: 2026 −3.0pp should be −2.1pp, 2027 −6.3pp should be −4.8pp. → Columns O–T of the main grid compute the corrected result in parallel; block [G] gives the weighted comparison. This is not a tweak, it changes the qualitative 2028 conclusion.</t>
  </si>
  <si>
    <t>B</t>
  </si>
  <si>
    <t>The implicit assumption that unmet demand accumulates does not hold</t>
  </si>
  <si>
    <t>The stock basis implies that the bits you failed to buy queue up to be repaid. But consumer-electronics demand priced out does not queue — once handsets and notebooks are de-specced those bits are gone for good. The only thing that genuinely queues is inventory refill, and that is exactly what the start point already double-counts.</t>
  </si>
  <si>
    <t>'The base case still owes −19.4% in 2028' should be read as 'in 2028 supply still meets only 80.6% of unconstrained demand', not as 'the market is still 19.4% short of goods'.</t>
  </si>
  <si>
    <t>The NAND supply formula omits the yield term and treats layers × QLC as fully independent</t>
  </si>
  <si>
    <t>The DRAM formula at least states that yield is folded into the node term; the NAND formula does not mention it at all. And 400-layer QLC yields materially worse than 400-layer TLC — when layers and QLC advance together, yield is an unambiguously negative term. The model multiplies (1+layers)(1+QLC), implying independence and constant yield.</t>
  </si>
  <si>
    <t>NAND supply growth is systematically overstated — and that is exactly the core driver of the divergence conclusion. The loosest assumption is the one the conclusion leans on hardest.</t>
  </si>
  <si>
    <t>The node uplift is applied indiscriminately to CXMT's added wafers</t>
  </si>
  <si>
    <t>In 2026 CXMT adds 85 thousand wafers per month, 45% of the four-supplier total of 190. But CXMT makes mature-node commodity DRAM, not 1c. The model applies +13% node bit uplift uniformly to every wafer. In addition, line conversion itself consumes wafer capacity (downtime plus added process steps), so (1+wafer) and (1+node) should not be multiplied as fully independent.</t>
  </si>
  <si>
    <t>Opposite in direction to the item above: it overstates DRAM supply by roughly 1–3pp per year. The two errors partly offset, but both should be modelled explicitly rather than left to cancel.</t>
  </si>
  <si>
    <t>C</t>
  </si>
  <si>
    <t>The NAND scenarios' wafer growth contradicts the report's own capacity table</t>
  </si>
  <si>
    <t>v1.0 section 03 states that the three Korean and US NAND makers hold capacity 'stable at 670–700k wafers per month through 2026–27', yet scenario N4 assigns +16% wafer growth in 2028 and N3 assigns +12%. If capacity really is stable, wafer growth should be close to 0–4%.</t>
  </si>
  <si>
    <t>N3/N4 2028 supply growth is too high and the NAND surplus is exaggerated. Those two scenarios carry 38% probability combined.</t>
  </si>
  <si>
    <t>Section 8.2 contradicts itself numerically</t>
  </si>
  <si>
    <t>Within one section it first says that SK hynix, with the highest HBM share (50–62%), is most affected, then says 2Q26 share has become 'Samsung 26%→39%, SK hynix 39%→26%'. If SK hynix has already fallen to 26%, the premise of the first sentence fails.</t>
  </si>
  <si>
    <t>It does not affect the model but it does affect the competitive inference in 8.2; one of the two must go. Separately, a 13pp single-quarter share swap is anomalous and the source deserves independent checking.</t>
  </si>
  <si>
    <t>2026 is treated as a pure forecast year</t>
  </si>
  <si>
    <t>With data through 2026-09-08, 1Q26/2Q26 contract prices and shipments are already fact and most of the full-year supply growth is locked. The model still treats 2026 as one of three forecast years.</t>
  </si>
  <si>
    <t>It should be split into 'realised + remainder forecast'. Sheets 01 and 02 mark 2026 as a half-actual year pending that split.</t>
  </si>
  <si>
    <t>Demand growth is the largest single driver yet was never derived</t>
  </si>
  <si>
    <t>The sensitivity table shows demand growth has 1:1 elasticity (among the highest of the four variables); DRAM's 28% for 2026 and 26% for 2027 determine every conclusion, yet both reports say only that the figure is 'inferred from public information'.</t>
  </si>
  <si>
    <t>This was the biggest hole. Sheet 03 now decomposes it bottom-up across AI servers, conventional servers, handsets, PCs and other, and cross-checks it against two independent external anchors.</t>
  </si>
  <si>
    <t>Grades: A = affects the direction of the conclusion, should be formally corrected in the next version; B = affects the magnitude; C = internal consistency or wording. All of the above are logic and basis issues — no arithmetic error was found in either report. Five further findings were added in v3.0 (sheet 05) and three more in v4.0 (sheet 06).</t>
  </si>
  <si>
    <t>08   Sources, basis and important disclosures</t>
  </si>
  <si>
    <t>Supply and capacity: SemiAnalysis, 'China's CXMT Is Set to Challenge DRAM Incumbents' (2026-06-24) — four-supplier end-2026 capacity and three-year additions | 'Memory Mania' (2026-02-06) — Samsung 1c carries ~70% more bits per wafer than 1a; DRAM density roughly 2× per decade</t>
  </si>
  <si>
    <t>HBM and gap benchmarks: TrendForce, 'Tight DRAM Supply Gives Suppliers Greater Pricing Power in HBM' (2026-06-02) — HBM wafer share 18/22/30% and HBM revenue per wafer overtaken by DDR5 64GB RDIMM | 'Diverging Memory Market Outlook in 2027' (2026-07-30) — DRAM sufficiency −1~−2%, NAND −4~−5% | 'Memory Prices Soar; DRAM and NAND to Account for 68% of Major CSP CapEx in 2027' (2026-08-25)</t>
  </si>
  <si>
    <t>Inventory: UncoverAlpha (3.3 weeks end-2025Q3, 31 weeks early 2023) | Luminix, 'DRAM Cycle Mid-2026 Update' (3–5 weeks in July 2026) | ★ KB Securities research note, 2026-09-07, head of research Kim Dong-won — supplier inventory below 10 days in 2026 Q3, plus four quantifications reproduced on sheet 04 | quota: Micron FY26 Q2 call, Korean press 60–70%</t>
  </si>
  <si>
    <t>v4.0 primary sources: DigiTimes (2026-08-26/27, NVIDIA's request for a higher 8-high HBM4 mix on the Vera Rubin platform; 2026-09-07, inventory below 10 days) | Seoul Economic Daily, TechTimes, technetbooks (all 2026-09-07) | BiggO Finance (≈2026-09-02, Samsung 8-high HBM4E for NVHBM / Rubin Ultra) | TrendForce (2026-01, 16-high requirement; 2026 Q2 DRAM revenue $154.73bn) | Hankyung (2026-03)</t>
  </si>
  <si>
    <t>Other: NVIDIA FY2027 Q2 8-K, CFO commentary and Form 10-Q (through 2026-07-26) | Sandisk FY2026 Q4 presentation (NBM pricing with floor and ceiling) | Ben Bajarin, 'Memory's $200B Inflection' (2026-06-23) — wafer starts +6~8% | IDC (2026 DRAM bits +16%, NAND +17%) | Isaiah Research | Gartner memflation | StorageSwiss, XenoSpectrum, MemoryXRef</t>
  </si>
  <si>
    <t>★ Built by the author, no external basis: every scenario assumption (wafer growth, node uplift, layers, QLC, demand growth) and every scenario probability (DRAM 15/38/25/15/7%, NAND 22/40/26/12%) is a subjective assignment. Only the HBM wafer share, 2026 wafer growth, the TrendForce gap basis and — new in v4.0 — the 3× HBM wafer penalty, now independently confirmed by KB Securities, have third-party support.</t>
  </si>
  <si>
    <t>★ Known simplifications: HBM and conventional DRAM are not modelled separately (CXMT affects only the latter); price transmission sits entirely outside the model and has been structurally changed by long-term-agreement ceilings; supply has no reaction function; the yield term is folded into the node term for DRAM and missing for NAND; Nanya, Winbond, YMTC, Kioxia, Sandisk and Western Digital are absent from the capacity table, which understates total supply; advanced packaging (CoWoS) is outside the model boundary and v4.0 argues part of the bottleneck has moved there.</t>
  </si>
  <si>
    <t>This workbook is for research and study only. It is not investment advice and not an offer to buy or sell any security. Memory is a high-volatility sector and a change in any single assumption can move the conclusion materially. Treat it as a tool whose parameters you can replace and recompute, not as a forecast.</t>
  </si>
  <si>
    <t>If you work at a regulated institution, confirm the applicable personal-account reporting and pre-clearance requirements before trading.</t>
  </si>
  <si>
    <t>01 · DRAM supply–demand model</t>
  </si>
  <si>
    <t>Five scenarios × three years  |  flow basis (growth gap) + stock basis (horizontal adequacy)  |  ▼ every parameter is driven by the [K] PARAMETER CONSOLE at the bottom of this sheet  |  amber rows are v4.0 additions</t>
  </si>
  <si>
    <t>[A] Global assumptions (values come from console [K] below — drag a slider to change them)</t>
  </si>
  <si>
    <t>Parameter</t>
  </si>
  <si>
    <t>Current value</t>
  </si>
  <si>
    <t>Unit</t>
  </si>
  <si>
    <t>HBM wafer penalty · 2025–2026 (×)</t>
  </si>
  <si>
    <t>×</t>
  </si>
  <si>
    <t>TrendForce and Micron both use 3:1. ★ v4.0: KB Securities independently states that HBM4 consumes three times the wafer capacity of conventional DRAM — the first third-party confirmation of what had been a self-built assumption.</t>
  </si>
  <si>
    <t>8-high HBM4 penalty relief from 2027 (×)</t>
  </si>
  <si>
    <t>▲ NEW in v4.0. NVIDIA has asked Samsung and SK hynix for a higher 8-high mix on Vera Rubin, and for HBM4E to drop from 12/16-high to 8-high for Rubin Ultra. Net of base-die dilution (−3.7%) and stacking-yield gain (+4~13%), the effective wafer penalty falls by roughly 0.2×. Full arithmetic on sheet 07.</t>
  </si>
  <si>
    <t>HBM wafer penalty · 2027–2028 (×)</t>
  </si>
  <si>
    <t>▲ NEW in v4.0. Used by the v4.0 blocks only — the main grid below deliberately stays on the 3.0× v3.0 basis so that the v3.0 results remain reproducible. 8-high ships from 2027, so 2026 keeps the 12-high penalty.</t>
  </si>
  <si>
    <t>HBM basis correction switch</t>
  </si>
  <si>
    <t>0/1</t>
  </si>
  <si>
    <t>★ Audit finding (A, item 4): TrendForce's 18/22/30% is a top-three-supplier basis; the model applied it to a global basis that includes CXMT. Set to 1 to enable the CXMT dilution correction.</t>
  </si>
  <si>
    <t>'Normal' inventory (weeks)</t>
  </si>
  <si>
    <t>weeks</t>
  </si>
  <si>
    <t>Industry long-run mean. ★ The single most fragile parameter — it sets both the start-point calibration and the restock demand.</t>
  </si>
  <si>
    <t>Healthy finished-goods inventory (weeks)</t>
  </si>
  <si>
    <t>▲ NEW in v4.0. 30–45 days = 4.3–6.4 weeks, the supply-chain benchmark quoted by KB Securities; 5.35 is the midpoint. Shown for reference — on this basis the start gap would be −7.5% rather than −12.6%.</t>
  </si>
  <si>
    <t>Latest supplier inventory (weeks)</t>
  </si>
  <si>
    <t>▲ REVISED in v4.0: was 3.3 weeks (UncoverAlpha, end-2025Q3). KB Securities puts Samsung and SK hynix below 10 days in 2026 Q3 = 1.43 weeks.</t>
  </si>
  <si>
    <t>Inventory-implied start point (reference)</t>
  </si>
  <si>
    <t>%</t>
  </si>
  <si>
    <t>Formula: −(normal − actual) ÷ 52. With the v4.0 reading this is −12.6% against the 8-week normal, or −7.5% against the 4.3–6.4 week industry benchmark in row 11. Reference only — the model uses the row below.</t>
  </si>
  <si>
    <t>2025 start gap (value used)</t>
  </si>
  <si>
    <t>Driven by the console slider. ★ Audit finding (A, item 2): this is a stock (inventory weeks) being fed into a recursion that is a flow ratio — a dimensional mismatch. See sheet 00 section 07 and block [H] below.</t>
  </si>
  <si>
    <t>[B] Main model: five scenarios × three years (blue on the left = raw inputs; pink on the right = HBM basis-corrected comparison)</t>
  </si>
  <si>
    <t>Scenario</t>
  </si>
  <si>
    <t>Wafer capacity
growth</t>
  </si>
  <si>
    <t>Node bit
uplift</t>
  </si>
  <si>
    <t>HBM wafer share
(top-3 basis)</t>
  </si>
  <si>
    <t>CXMT
wafer share</t>
  </si>
  <si>
    <t>HBM share
(adopted basis)</t>
  </si>
  <si>
    <t>HBM-equivalent
bit capacity</t>
  </si>
  <si>
    <t>HBM marginal
drag</t>
  </si>
  <si>
    <t>Supply bit
growth</t>
  </si>
  <si>
    <t>Demand growth
(unconstrained)</t>
  </si>
  <si>
    <t>④ Growth gap
(flow basis)</t>
  </si>
  <si>
    <t>② Horizontal adequacy
(stock basis)</t>
  </si>
  <si>
    <t>Corrected
HBM share</t>
  </si>
  <si>
    <t>Corrected equiv.
bit capacity</t>
  </si>
  <si>
    <t>Corrected
HBM drag</t>
  </si>
  <si>
    <t>Corrected supply
bit growth</t>
  </si>
  <si>
    <t>Corrected growth gap
(flow)</t>
  </si>
  <si>
    <t>Corrected horizontal gap
(stock)</t>
  </si>
  <si>
    <t>S1 Extreme tightness</t>
  </si>
  <si>
    <t>2025 (start)</t>
  </si>
  <si>
    <t>2026A</t>
  </si>
  <si>
    <t xml:space="preserve">   S1 Extreme tightness (probability set in console [K]): AI capex keeps being revised up; HBM wafer share pushes to 40%; Rubin Ultra delivers 384GB per GPU; the consumer end is already on the floor and stops deteriorating. Never turns positive in three years.</t>
  </si>
  <si>
    <t>S2 Base case</t>
  </si>
  <si>
    <t xml:space="preserve">   S2 Base case (probability set in console [K]): aligned to TrendForce — 2026 sufficiency −1~−2%, the 2027 gap widens further, new capacity starts landing in 2028. The flow basis turns positive in 2028.</t>
  </si>
  <si>
    <t>S3 Relief</t>
  </si>
  <si>
    <t xml:space="preserve">   S3 Relief (probability set in console [K]): the core assumption is that HBM economics reverse — revenue per wafer has already been overtaken by DDR5 64GB RDIMM, wafers flow back to conventional DRAM and the HBM share falls. Combined with new fabs ramping on schedule in 2H27. ⚠ v3.0 flagged this assumption as weakened by the 2026-08-25 forecast of +70~140% HBM contract prices; v4.0 flags it again — this is the scenario the inventory correction flips.</t>
  </si>
  <si>
    <t>S4 Surplus</t>
  </si>
  <si>
    <t xml:space="preserve">   S4 Surplus (probability set in console [K]): AI capex peaks in 2027; hyperscalers repeat the 2019 sudden stop; CXMT runs full; HBM gives way to DDR5.</t>
  </si>
  <si>
    <t>S5 Collapse</t>
  </si>
  <si>
    <t xml:space="preserve">   S5 Collapse (probability set in console [K]): a technical breakthrough sharply cuts memory per unit of compute (KV-cache compression, more aggressive quantisation), or the external financing chain behind AI capex breaks; inventory repeats the 31 weeks of 2023.</t>
  </si>
  <si>
    <t>The 'A' in 2026A marks a half-actual year: with data through 2026-09-08 more than two thirds of the year is behind us and 1Q/2Q contract prices and shipments are fact — audit finding C, item 3, says a formal version should split it into realised plus remaining forecast. | Columns O–T are unaffected by the switch and always show the HBM basis-corrected result for side-by-side reading. | The grid stays on the v3.0 3.0× penalty on purpose; the v4.0 8-high relief is applied in block [M] and on sheet 06.</t>
  </si>
  <si>
    <t>[C] Summary 1 · ④ flow basis: supply−demand growth gap (supply bit growth − demand bit growth)</t>
  </si>
  <si>
    <t>Probability</t>
  </si>
  <si>
    <t>Cumulative prob.</t>
  </si>
  <si>
    <t>Year the gap turns positive</t>
  </si>
  <si>
    <t>Probability weighted (mean)</t>
  </si>
  <si>
    <t>must = 100%</t>
  </si>
  <si>
    <t>Probability median</t>
  </si>
  <si>
    <t>★ How to read it: negative = supply shortage = upward pressure on price. This is the v1.0 basis; it measures how much the gap widens or narrows each year (the first derivative of the gap), not how big the gap is. A positive number in 2028 only means the gap has stopped widening and has started to be filled — it does not mean surplus. The median row sorts the scenarios from tight to loose and takes the one where cumulative probability passes 50%.</t>
  </si>
  <si>
    <t>[D] Summary 2 · ② stock basis: horizontal adequacy (this year's supply ÷ this year's unconstrained demand − 1)</t>
  </si>
  <si>
    <t>★★ The distribution is heavily right-skewed and the mean is misleading. Rank the five scenarios from deepest to shallowest gap; cumulative probability crosses 50% inside S2 — so the median is 'the most likely case', while the weighted mean is pulled up hard by S5 (7% probability by default). Read the median row when deciding, not the weighted row.</t>
  </si>
  <si>
    <t>★ Audit note: the recursion in this block is mathematically identical to 'this year's supply ÷ this year's demand − 1' — a flow ratio, not a stock accumulation. It deteriorates year after year because the ratio of two exponential curves falls monotonically whenever supply growth stays below demand growth. The correct reading is 'this year's supply meets only X% of unconstrained demand', not 'X% has been owed cumulatively'. See block [H].</t>
  </si>
  <si>
    <t>[E] S2 base case: three-factor decomposition of supply bit growth (exact multiplicative split; the three terms sum to supply growth)</t>
  </si>
  <si>
    <t>Wafer capacity contribution</t>
  </si>
  <si>
    <t>Node migration contribution</t>
  </si>
  <si>
    <t>HBM drag</t>
  </si>
  <si>
    <t>Total = supply bit growth</t>
  </si>
  <si>
    <t>Cross-check: external forecasts</t>
  </si>
  <si>
    <t>IDC +16% / Micron 'low-to-mid 20s' — the model sits between the two</t>
  </si>
  <si>
    <t>TrendForce: new capacity only ramps in 2H27, real contribution arrives in 2028</t>
  </si>
  <si>
    <t>46% of the three-year capacity addition lands in this single year</t>
  </si>
  <si>
    <t>How to read it: the three terms are an exact multiplicative split (wafer contribution = C; node contribution = (1+C)×D; HBM contribution = (1+C)×(1+D)×I) and always sum to supply growth. The node contribution therefore comes out slightly higher than the node uplift you typed in, because it acts on an already-enlarged wafer base. That is compounding, not an error.</t>
  </si>
  <si>
    <t>[F] Single-variable sensitivity for 2027 (on the S2 base case, flow-basis growth gap)</t>
  </si>
  <si>
    <t>Variable</t>
  </si>
  <si>
    <t>−4pp</t>
  </si>
  <si>
    <t>−2pp</t>
  </si>
  <si>
    <t>Base</t>
  </si>
  <si>
    <t>+2pp</t>
  </si>
  <si>
    <t>+4pp</t>
  </si>
  <si>
    <t>Effect per 1pp</t>
  </si>
  <si>
    <t>Move needed to turn positive on its own</t>
  </si>
  <si>
    <t>Feasibility</t>
  </si>
  <si>
    <t>Wafer capacity growth</t>
  </si>
  <si>
    <t>+10.0pp → 20%: physically impossible, the fabs cannot be built. Samsung P5 mass-produces in 2H28, Micron ID1 has first wafers mid-2027, the New York fab only broke ground in Jan 2026.</t>
  </si>
  <si>
    <t>Node bit uplift</t>
  </si>
  <si>
    <t>+10.2pp: equally impossible. DRAM density has risen only about 2× in a decade — this is a physics wall.</t>
  </si>
  <si>
    <t>HBM wafer share</t>
  </si>
  <si>
    <t>Needs to fall to roughly 19%: possible in direction but far too large in size. Even if the HBM economics reversal holds, a fall back to 26% is already an aggressive assumption. ★ v4.0 makes this less likely, not more: 8-high lowers the wafer penalty but NVIDIA's stated reason is availability, not economics.</t>
  </si>
  <si>
    <t>Demand growth</t>
  </si>
  <si>
    <t>★ Needs to fall to roughly 15.5%: this is the only realistic path. Which is why hyperscaler capex guidance carries more information than any fab expansion announcement.</t>
  </si>
  <si>
    <t>★ The key result of this table: the four variables have almost identical unit elasticity (about 1pp for 1pp), but their feasible ranges are completely different. All three supply-side routes are physically blocked — whether 2027 moves from shortage to surplus depends almost entirely on the demand side.</t>
  </si>
  <si>
    <t>[G] Audit correction 1 · HBM wafer-share basis mismatch (A, item 4): the five scenarios after correction</t>
  </si>
  <si>
    <t>This block is unaffected by the switch and always shows the corrected result, for direct comparison with blocks [C] and [D] above. Correction logic: TrendForce's 18/22/30% is a top-three-supplier basis, so the global basis = top-three share × (1 − CXMT wafer share). The figures are taken from columns O–T of the main grid.</t>
  </si>
  <si>
    <t>Corrected gap
2026</t>
  </si>
  <si>
    <t>Corrected gap
2027</t>
  </si>
  <si>
    <t>Corrected gap
2028</t>
  </si>
  <si>
    <t>Corrected horiz. gap
2026</t>
  </si>
  <si>
    <t>Corrected horiz. gap
2027</t>
  </si>
  <si>
    <t>Corrected horiz. gap
2028</t>
  </si>
  <si>
    <t>Corrected · probability weighted</t>
  </si>
  <si>
    <t>Report basis · probability weighted</t>
  </si>
  <si>
    <t>Difference from the correction</t>
  </si>
  <si>
    <t>★ Conclusion: after correction DRAM supply is revised up by roughly 1.0pp (2026) and 1.5pp (2027), and on the stock basis the effect compounds year by year — the 2028 probability-weighted figure flips from 'just breaking even' to a small surplus. This is not a tweak; it changes the qualitative 2028 conclusion. A formal version should default the console switch to 1 and state the basis in the text.</t>
  </si>
  <si>
    <t>[H] Audit correction 2 · flow ratio vs true stock accumulation (A, item 2): how far apart the two conventions are</t>
  </si>
  <si>
    <t>The v2.0 recursion (1+gap_t−1)×(1+supply)÷(1+demand)−1 is mathematically identical to 'this year's supply ÷ this year's demand − 1' — a flow ratio. A genuine stock accumulation would be additive: arrears_t = arrears_t−1 ÷ (1 + demand growth_t) + this year's unmet volume. The table below computes both side by side.</t>
  </si>
  <si>
    <t>Unmet this year
2026</t>
  </si>
  <si>
    <t>Unmet this year
2027</t>
  </si>
  <si>
    <t>Unmet this year
2028</t>
  </si>
  <si>
    <t>Cumulative arrears
2026</t>
  </si>
  <si>
    <t>Cumulative arrears
2027</t>
  </si>
  <si>
    <t>Cumulative arrears
2028</t>
  </si>
  <si>
    <t>Additive accumulation · weighted</t>
  </si>
  <si>
    <t>Multiplicative recursion · weighted (in use)</t>
  </si>
  <si>
    <t>Gap between the two conventions</t>
  </si>
  <si>
    <t>★ How to read this table: additive accumulation gives much deeper numbers than the multiplicative recursion because it assumes the bits you failed to buy queue up to be repaid. But consumer electronics demand priced out does not queue — once handsets and notebooks are de-specced those bits are gone permanently. So additive accumulation is an upper bound, the multiplicative recursion (= this year's flow ratio) is a lower bound, and the true 'stock arrears' sits between them and closer to the lower bound. The key point is to stop calling the multiplicative result 'cumulative arrears' — it is not.</t>
  </si>
  <si>
    <t>[I] Audit correction 3 · restock demand double-counted against the start point (A, item 3): three conventions compared (S2 base case)</t>
  </si>
  <si>
    <t>Restock amortised per year</t>
  </si>
  <si>
    <t>Editable: 7.7% = refill in one year, 2.6% = spread over three years, 0 = no restock. Affects conventions B and C only.</t>
  </si>
  <si>
    <t>Convention</t>
  </si>
  <si>
    <t>What this convention is doing</t>
  </si>
  <si>
    <t>A Start-point method (used by this model)</t>
  </si>
  <si>
    <t>The start point already contains 'you must refill the missing weeks', so nothing is added to demand growth.</t>
  </si>
  <si>
    <t>B Demand method (start at zero + add-on)</t>
  </si>
  <si>
    <t>Start point set to zero, restock instead treated as extra demand each year. Two ways of writing the same account — the answers should be close.</t>
  </si>
  <si>
    <t>C Report method (start point + add-on)</t>
  </si>
  <si>
    <t>★ What v2.0 section 05 did: counted once in the start point and again in demand. That is the double count.</t>
  </si>
  <si>
    <t>Size of the double count (C − A)</t>
  </si>
  <si>
    <t>v2.0 section 05 said 'the base case's 2028 worsens from −19.4% to −24.2%, 4.8 points more owed' — those 4.8pp are the double count.</t>
  </si>
  <si>
    <t>★ The right approach: pick A or B, never add them. The two should give similar answers (the residual difference comes from the partial refill that already happened and from the amortisation schedule). v2.0's observation that 'restock is an increment everyone has missed' is itself correct — what the market missed, not what this model missed; the model already captured it through the start point and should not count it twice.</t>
  </si>
  <si>
    <t>[J] The four bases side by side, probability weighted (data source for chart 5)</t>
  </si>
  <si>
    <t>The question this number answers</t>
  </si>
  <si>
    <t>v1.0 flow: supply−demand growth gap</t>
  </si>
  <si>
    <t>Is the gap widening or narrowing this year? (first derivative)</t>
  </si>
  <si>
    <t>v2.0 stock: multiplicative recursion</t>
  </si>
  <si>
    <t>What percentage of unconstrained demand can this year's supply meet?</t>
  </si>
  <si>
    <t>After the HBM basis correction</t>
  </si>
  <si>
    <t>Same as above, but the HBM wafer share is put on a global basis (CXMT dilution removed)</t>
  </si>
  <si>
    <t>True stock: additive accumulation</t>
  </si>
  <si>
    <t>If the unbought bits queued up to be repaid, how much is owed in total? (upper bound)</t>
  </si>
  <si>
    <t>★ All four numbers are correct, but they answer four different questions. Mixing them is the common root of both the v1.0 and the v2.0 mistakes. For an investment judgement: read row 1 for direction (the rate of change of price, which is what share prices follow), rows 2 and 3 for how tight things are, and row 4 only as an upper bound. Sheet 05 extends this to seven bases and sheet 06 adds the v4.0 shipment basis as the eighth.</t>
  </si>
  <si>
    <t>[M] v4.0 · inventory exhaustion applied to 2027 (engine and console on sheet 06)</t>
  </si>
  <si>
    <t>v4.0 correction 2: roughly 4.9% of 2026 shipments were released from inventory rather than produced. Because that release sits in the 2026 base and cannot repeat, 2027 SHIPMENT growth is below 2027 PRODUCTION growth by about the same amount. The grid above models production; this block converts it to shipments. All levers live in the console on sheet 06.</t>
  </si>
  <si>
    <t>2027 gap · v3.0
(production basis)</t>
  </si>
  <si>
    <t>2027 gap · v4.0
(inventory correction)</t>
  </si>
  <si>
    <t>Change (pp)</t>
  </si>
  <si>
    <t>2027 stock · v3.0</t>
  </si>
  <si>
    <t>2027 stock · v4.0
(all three)</t>
  </si>
  <si>
    <t>Verdict</t>
  </si>
  <si>
    <t>★★ This is the single most important line in v4.0: the probability that DRAM is still short in 2027 rises from 53% to 78%. What moved it was not a new demand datapoint but a supply-side accounting fact — about 4.9% of 2026 shipments came out of inventory, and that source is gone. S3, the relief scenario carrying 25% probability, is the one that flips from 'turns to surplus' to 'still short'. ⚠ Read this together with block [C] of sheet 06: the 78% figure applies the inventory correction alone; once the 8-high relief and the de-spec demand ceiling are applied too, S3 returns to the boundary and the honest answer is closer to 53–78% than to 78%.</t>
  </si>
  <si>
    <t>[K] PARAMETER CONSOLE · drag a slider and every table above and every chart below recalculates</t>
  </si>
  <si>
    <t>How to use: put the mouse on the grey scroll bar in the middle and drag left or right, or click the arrows at either end to nudge one step at a time. The yellow cell on the left is the converted current value; the blue cell on the right is the slider's raw integer — you can type into it directly with exactly the same effect. If your build of Excel does not render the sliders (Excel for the web and some mobile builds), just edit the blue cells.</t>
  </si>
  <si>
    <t>◀  drag to adjust  ▶</t>
  </si>
  <si>
    <t>Slider link cell</t>
  </si>
  <si>
    <t>Adjustable range</t>
  </si>
  <si>
    <t>HBM wafer penalty</t>
  </si>
  <si>
    <t>2.5 – 4.0×</t>
  </si>
  <si>
    <t>TrendForce and Micron both use 3:1 (1 bit of HBM displaces 3 bits of DDR5); some houses use 4×. ▲ v4.0 widened the range down to 2.5× so the 8-high effect (≈2.8×) can be dialled in, and KB Securities has now independently confirmed the 3× figure. Each step is 0.1×.</t>
  </si>
  <si>
    <t>2025 start horizontal gap</t>
  </si>
  <si>
    <t>0 ~ −30.0%</t>
  </si>
  <si>
    <t>Inventory method = (normal 8 weeks − actual 1.43 weeks) ÷ 52 = −12.6%. ▲ v4.0 default moved from −9.0% to −12.6% on the KB reading. ★ Still the most fragile single parameter: if 'normal' is really 6 weeks the start becomes −8.8% and every later year's gap narrows by about 4pp.</t>
  </si>
  <si>
    <t>0 or 1</t>
  </si>
  <si>
    <t>★ Audit finding: 18/22/30% is a top-three-supplier basis but was applied to a global basis including CXMT. Drag to 1 to enable the correction (global = top three × (1 − CXMT share)).</t>
  </si>
  <si>
    <t>Wafer capacity growth · global shift</t>
  </si>
  <si>
    <t>−5.0 ~ +10.0pp</t>
  </si>
  <si>
    <t>Applied to all scenarios across 2026–2028 at once. Use it to stress-test fabs coming online early or late. Each step is 0.1pp.</t>
  </si>
  <si>
    <t>Node bit uplift · global shift</t>
  </si>
  <si>
    <t>−5.0 ~ +5.0pp</t>
  </si>
  <si>
    <t>1c / 1-gamma ramping faster or slower than plan. Note that DRAM density has risen only about 2× in a decade, so the headroom upward is physically limited.</t>
  </si>
  <si>
    <t>HBM wafer share · global shift</t>
  </si>
  <si>
    <t>−10.0 ~ +10.0pp</t>
  </si>
  <si>
    <t>The most underrated variable this cycle and the one most likely to reverse. If HBM revenue per wafer stays below DDR5 RDIMM the share falls back — pull negative to simulate that.</t>
  </si>
  <si>
    <t>Demand growth · global shift</t>
  </si>
  <si>
    <t>−10.0 ~ +15.0pp</t>
  </si>
  <si>
    <t>★ Elasticity is roughly 1:1 and this is the only realistic path to a positive 2027. The big four cloud vendors' capex guidance maps directly onto this cell.</t>
  </si>
  <si>
    <t>Scenario probabilities (1% per step) · the five must sum to 100%</t>
  </si>
  <si>
    <t>S1 Extreme tightness · probability</t>
  </si>
  <si>
    <t>0 – 100%</t>
  </si>
  <si>
    <t>AI capex keeps being revised up; HBM wafer share pushes to 40%; Rubin Ultra delivers 384GB per GPU. ⚠ v4.0: the 8-high request weakens the 384GB assumption.</t>
  </si>
  <si>
    <t>S2 Base case · probability</t>
  </si>
  <si>
    <t>Aligned to TrendForce: 2026 sufficiency −1~−2%, the 2027 gap widens further, new capacity lands in 2028.</t>
  </si>
  <si>
    <t>S3 Relief · probability</t>
  </si>
  <si>
    <t>Core assumption is a reversal in HBM economics — revenue per wafer overtaken by DDR5 64GB RDIMM, wafers flow back. ★ This is the scenario the v4.0 inventory correction flips to 'still short'.</t>
  </si>
  <si>
    <t>S4 Surplus · probability</t>
  </si>
  <si>
    <t>AI capex peaks in 2027; hyperscalers repeat the 2019 sudden stop; CXMT runs full; HBM gives way to DDR5.</t>
  </si>
  <si>
    <t>S5 Collapse · probability</t>
  </si>
  <si>
    <t>A technical breakthrough sharply cuts memory per unit of compute (KV-cache compression, aggressive quantisation), or the external financing chain behind AI capex breaks.</t>
  </si>
  <si>
    <t>Cumulative probability  total</t>
  </si>
  <si>
    <t>[L] Live readout · probability-weighted results (updates as you drag)</t>
  </si>
  <si>
    <t>Median scenario 2027</t>
  </si>
  <si>
    <t>Median scenario 2028</t>
  </si>
  <si>
    <t>④ Flow: supply−demand growth gap</t>
  </si>
  <si>
    <t>④ Flow · v4.0 fully corrected</t>
  </si>
  <si>
    <t>② Stock · v4.0 fully corrected</t>
  </si>
  <si>
    <t>P(2027 still short): v3.0 / inv-only / all three</t>
  </si>
  <si>
    <t xml:space="preserve">Chart notes | Chart 1: the black heavy line is the probability weighting. Below the zero axis is shortage (upward pressure on price), above it surplus. | Chart 2: note it is more pessimistic than chart 1 and its trough is one year later — the most typical divergence between flow and stock. | Chart 3: red is the HBM drag; in 2027 it is almost two thirds of that year's entire wafer capacity growth. | Chart 4: the longer the bar the more leverage that variable has, but read it with the feasibility column on the right — a large elasticity does not mean the variable can actually move. | Chart 5: the distance between the four lines is what the word 'basis' is worth in money. | Chart 6 (v4.0): the same 2027 growth gap before and after the inventory correction, scenario by scenario — S3 crossing the zero axis is the whole story. </t>
  </si>
  <si>
    <t>02 · NAND supply–demand model</t>
  </si>
  <si>
    <t>Four scenarios × three years  |  the key difference from DRAM: layer stacking and QLC are two bit levers that need no new wafer fab  |  ▼ every parameter is driven by the [G] PARAMETER CONSOLE at the bottom  |  amber rows are v4.0 additions</t>
  </si>
  <si>
    <t>[A] Main model: four scenarios × three years</t>
  </si>
  <si>
    <t>Layer stacking
bit uplift</t>
  </si>
  <si>
    <t>QLC mix
bit uplift</t>
  </si>
  <si>
    <t>Cross-check: same-year
DRAM supply growth</t>
  </si>
  <si>
    <t>Supply elasticity
multiple</t>
  </si>
  <si>
    <t>N1 Stays tight</t>
  </si>
  <si>
    <t xml:space="preserve">   N1 Stays tight (probability set in console [G]): enterprise SSD demand keeps beating expectations, AI data staging and model checkpointing demand explodes; layer progression runs behind plan.</t>
  </si>
  <si>
    <t>N2 Base case</t>
  </si>
  <si>
    <t xml:space="preserve">   N2 Base case (probability set in console [G]): aligned to TrendForce — 2026 gap −4~−5%, turns positive in 2H27 and starts pressing prices down. SK hynix 321-layer at ~50% of its Korean capacity, Samsung 400+ layer in production, Kioxia BiCS9. ⚠ v4.0: KB Securities contradicts this outright — see block [F].</t>
  </si>
  <si>
    <t>N3 Turns to surplus</t>
  </si>
  <si>
    <t xml:space="preserve">   N3 Turns to surplus (probability set in console [G]): Kioxia/Sandisk's +41% capex converts into capacity; YMTC's third Wuhan fab ramps; the PC replacement cycle ends while mobile demand stays weak; enterprise SSD competition intensifies and caps prices.</t>
  </si>
  <si>
    <t>N4 Large surplus</t>
  </si>
  <si>
    <t xml:space="preserve">   N4 Large surplus (probability set in console [G]): layers and QLC both advance faster than expected while consumer electronics demand stays priced out. This is the risk specific to NAND — supply can keep growing quickly while demand weakens, because adding output needs no new fab.</t>
  </si>
  <si>
    <t>★ The two right-hand columns are new in this workbook: NAND supply growth ÷ same-year DRAM supply growth. They turn the qualitative sentence 'the supply elasticities differ by an order of magnitude' into a number you can track. Note that wafer growth is 0% in 2026 across all four scenarios — NAND's bit growth that year comes entirely from layers and QLC, with not one new wafer.</t>
  </si>
  <si>
    <t>[B] Summary 1 · ④ flow basis: supply−demand growth gap</t>
  </si>
  <si>
    <t>[C] Summary 2 · ② stock basis: horizontal adequacy</t>
  </si>
  <si>
    <t>When the gap is filled</t>
  </si>
  <si>
    <t>★★ Symmetric treatment added by this workbook: v2.0 warned only on the DRAM side that the mean is dragged up by extreme scenarios and the median should be read instead. The NAND skew is worse (N4's 2028 at +105% carries only 12% probability yet pulls the weighted mean from +20.9% to +35.0%). Use the median row.</t>
  </si>
  <si>
    <t>[D] DRAM × NAND divergence: the most important conclusion in this model</t>
  </si>
  <si>
    <t>DRAM
growth gap</t>
  </si>
  <si>
    <t>NAND
growth gap</t>
  </si>
  <si>
    <t>Flow-basis
divergence</t>
  </si>
  <si>
    <t>DRAM
horizontal gap</t>
  </si>
  <si>
    <t>NAND
horizontal gap</t>
  </si>
  <si>
    <t>Stock-basis
divergence</t>
  </si>
  <si>
    <t>DRAM
median</t>
  </si>
  <si>
    <t>NAND
median</t>
  </si>
  <si>
    <t>Median-basis
divergence</t>
  </si>
  <si>
    <t>The divergence widens further</t>
  </si>
  <si>
    <t>Why they diverge: the cause is not on the demand side — the demand drivers overlap heavily (an AI server needs DRAM, HBM and enterprise SSD at the same time). The cause is the structure of the supply formula. NAND can multiply bits 2.29× through layers (232 → 400+ = +72%) and QLC (+33%) without laying a single brick; DRAM density has risen only 2× in a decade, wafer capacity takes 2–3 years to build, and HBM subtracts another 3–6 points every year.</t>
  </si>
  <si>
    <t>★ Robustness: on the flow, stock and median bases alike the 2027 divergence exceeds 25pp (it is widest on the median basis). So 'pure NAND exposure (Sandisk, Kioxia, Western Digital) and DRAM exposure (Samsung, SK hynix, Micron) should be priced separately in 2027' does not depend on the few low-probability tail scenarios — but it does depend on the NAND supply elasticity assumption, which is the loosest link in the model (see the yield term in the console). ⚠ v4.0 adds a second challenge to this conclusion from the demand side: see block [F].</t>
  </si>
  <si>
    <t>[E] N2 base case: three-factor decomposition of supply bit growth</t>
  </si>
  <si>
    <t>Layer stacking contribution</t>
  </si>
  <si>
    <t>QLC contribution</t>
  </si>
  <si>
    <t>Same-year DRAM supply growth</t>
  </si>
  <si>
    <t>Supply elasticity multiple</t>
  </si>
  <si>
    <t>Note: the total differs very slightly from the supply growth in the main grid — the decomposition excludes the yield term while the grid includes it. Pull the console yield term back to 0 and the two match exactly.</t>
  </si>
  <si>
    <t>[F] v4.0 · NAND: KB Securities contradicts the base case head on</t>
  </si>
  <si>
    <t>KB Securities (2026-09-07) states that NAND, like DRAM, runs a 2027 supply gap above 10% — still short. My N2 base case says +10.9% (turns to surplus). That is an opposite-direction contradiction, not a difference of degree, and the disagreement is on the demand side, not the supply side: KB's logic is that AI server investment pulls server DDR5 and enterprise SSD together. Evidence on KB's side sits in my own earlier reports — Sandisk (QLC adoption accelerating in AI workloads, read-heavy profiles suit QLC), Western Digital (AI data compounds; the warm tier of high-capacity QLC SSD is the fastest-growing and least-discussed layer) and Astera Labs (Leo CXL memory tiering and pooling ships in 2027). ⚠ Honest label: the correction below moves toward KB's judgement; it is not the result of me finding new demand-side data. An independent read on eSSD bit demand is the highest-priority item on the v4.0 tracking list.</t>
  </si>
  <si>
    <t>2027 supply
v3.0</t>
  </si>
  <si>
    <t>2027 supply
v4.0</t>
  </si>
  <si>
    <t>2027 demand
v3.0</t>
  </si>
  <si>
    <t>2027 demand
v4.0</t>
  </si>
  <si>
    <t>2027 gap
v3.0</t>
  </si>
  <si>
    <t>2027 gap
v4.0</t>
  </si>
  <si>
    <t>KB Securities, 2026-09-07</t>
  </si>
  <si>
    <t>'2027 NAND and DRAM bit demand growth will exceed supply growth by more than 10 percentage points; the 2027 supply gap will exceed 10%.' On my N2 base case the v3.0 answer was +10.9% surplus and the v4.0 answer is close to balance — still short of KB's view, and the residual difference is entirely the eSSD demand assumption.</t>
  </si>
  <si>
    <t>★ How the correction is implemented: rather than overwriting the grid inputs, the two v4.0 levers on sheet 06 are applied on top — 2027 NAND demand +4.0pp (enterprise SSD) and 2027 NAND supply −3.0pp (NAND inventory at 4–5 weeks is tight but far less so than DRAM's 1.43). Set both sliders to zero and this block reverts exactly to v3.0. That is deliberate: the correction has to stay reversible, because it is an alignment to someone else's judgement rather than a new measurement.</t>
  </si>
  <si>
    <t>[G] PARAMETER CONSOLE · drag a slider and every table above and every chart below recalculates</t>
  </si>
  <si>
    <t>How to use: put the mouse on the grey scroll bar in the middle and drag left or right, or click the arrows at either end to nudge one step at a time. The yellow cell on the left is the converted current value; the blue cell on the right is the slider's raw integer — you can type into it directly. If your build of Excel does not render the sliders, just edit the blue cells.</t>
  </si>
  <si>
    <t>0 ~ −15.0%</t>
  </si>
  <si>
    <t>★ Audit finding (A, item 1): v2.0 called this value 'independently estimated' but never derived it. Using it to 'validate' TrendForce's −4~−5% is one free parameter fitted to one target value, which is not a validation.</t>
  </si>
  <si>
    <t>NAND yield term</t>
  </si>
  <si>
    <t>−10.0 ~ +5.0pp</t>
  </si>
  <si>
    <t>★ Audit finding (B): the NAND formula has no yield term at all. 400-layer QLC yields materially worse than 400-layer TLC — pull negative to impose the penalty.</t>
  </si>
  <si>
    <t>★ Audit finding (C): v1.0 says capacity is 'stable at 670–700k wafers per month' yet N3/N4 assign +12%/+16% for 2028. Pull negative to correct that internal contradiction.</t>
  </si>
  <si>
    <t>Layer stacking uplift · global shift</t>
  </si>
  <si>
    <t>−8.0 ~ +8.0pp</t>
  </si>
  <si>
    <t>NAND's most important bit lever (232 → 400+ = +72%), and it needs no new wafer fab. Hybrid bonding tool lead times and 400-layer yield decide whether it lands.</t>
  </si>
  <si>
    <t>QLC uplift · global shift</t>
  </si>
  <si>
    <t>The second lever DRAM does not have (TLC 3 bit → QLC 4 bit = +33%). Note it is not fully independent of layers — pushed together, yield is a negative term.</t>
  </si>
  <si>
    <t>Enterprise SSD demand against consumer demand destruction. The reports give a 2027 demand range of 5%–24%, extremely wide — the most fragile link on the NAND side. ▲ v4.0: KB Securities argues the base case is too low; the dedicated eSSD lever sits on sheet 06.</t>
  </si>
  <si>
    <t>Scenario probabilities (1% per step) · the four must sum to 100%</t>
  </si>
  <si>
    <t>N1 Stays tight · probability</t>
  </si>
  <si>
    <t>Enterprise SSD demand keeps beating expectations; AI data staging and checkpointing explode; layer progression runs behind plan.</t>
  </si>
  <si>
    <t>N2 Base case · probability</t>
  </si>
  <si>
    <t>Aligned to TrendForce: 2026 gap −4~−5%, turns positive in 2H27 and starts pressing prices down. ⚠ v4.0: contradicted head on by KB Securities.</t>
  </si>
  <si>
    <t>N3 Turns to surplus · probability</t>
  </si>
  <si>
    <t>Kioxia/Sandisk's +41% capex converts into capacity; YMTC's third Wuhan fab ramps; the PC cycle ends while mobile stays weak.</t>
  </si>
  <si>
    <t>N4 Large surplus · probability</t>
  </si>
  <si>
    <t>Layers and QLC both advance faster than expected while consumer demand stays priced out — the risk specific to NAND.</t>
  </si>
  <si>
    <t>[H] Live readout · probability-weighted results (updates as you drag)</t>
  </si>
  <si>
    <t>④ Flow · v4.0 corrected (2027 only)</t>
  </si>
  <si>
    <t>Chart notes | Charts 1 and 2: the black heavy line is the probability weighting, but read the median row in the summary tables first — the NAND skew is worse than DRAM's. | Chart 3: grey (wafers) is almost invisible; blue (layers) and green (QLC) carry the entire growth. That is 'you can multiply bits without building a fab', drawn. | Chart 4: the two lines cross and separate in 2027 — the single most important chart in the model. Pull the demand shift on the DRAM console negative to watch the divergence narrow.</t>
  </si>
  <si>
    <t>03 · Bottom-up decomposition of DRAM demand growth</t>
  </si>
  <si>
    <t>Closes audit finding C, item 5: demand growth is the model's largest driver (1:1 elasticity) yet the reports never derived it  |  the two bases are benchmarked against two different external datasets</t>
  </si>
  <si>
    <t>[A] Segment weights and growth assumptions (blue cells are editable; the weights must sum to 100%)</t>
  </si>
  <si>
    <t>Segment</t>
  </si>
  <si>
    <t>Share of DRAM bit
demand</t>
  </si>
  <si>
    <t>2027 unconstrained
bit growth</t>
  </si>
  <si>
    <t>2027 cleared
bit growth</t>
  </si>
  <si>
    <t>Unconstrained
contribution</t>
  </si>
  <si>
    <t>Cleared
contribution</t>
  </si>
  <si>
    <t>Basis for the weight and the growth rate</t>
  </si>
  <si>
    <t>HBM</t>
  </si>
  <si>
    <t>Weight backed out from the model's 22% HBM wafer share and the 3× penalty: (0.22/3) ÷ ((1−0.22) + 0.22/3) = 8.6%. Growth: Rubin carries 288GB of HBM4 per card; AWS adds 2 million GPUs across 2027–28; industry expects HBM shipped bits +50~60% per year.</t>
  </si>
  <si>
    <t>RDIMM / server</t>
  </si>
  <si>
    <t>TrendForce 2026-08-25: 2027 server DRAM + HBM combined bit supply +27%; 2026-07-09: RDIMM bit supply only +15~20%, 'materially behind server CPU shipment growth'. Demand side taken at 30% because supply is the binding constraint.</t>
  </si>
  <si>
    <t>Handset LPDDR</t>
  </si>
  <si>
    <t>Unconstrained = natural per-handset capacity growth of about 12% a year. Cleared = TrendForce's 2026 handset build −15~20%, falling again in 2027 but more gently.</t>
  </si>
  <si>
    <t>PC client</t>
  </si>
  <si>
    <t>Cleared basis: TrendForce cut its 2026 global notebook shipment forecast to −14.8% in July 2026 (the −10% the reports quoted was too optimistic).</t>
  </si>
  <si>
    <t>Graphics / consumer / auto / industrial</t>
  </si>
  <si>
    <t>Residual. GDDR7 and automotive are growing; consumer and industrial are being priced out; combined they are close to flat.</t>
  </si>
  <si>
    <t>Weighted total</t>
  </si>
  <si>
    <t>[B] Three-way comparison: against the model assumption and against external data</t>
  </si>
  <si>
    <t>Item</t>
  </si>
  <si>
    <t>2027 value</t>
  </si>
  <si>
    <t>Implied gap</t>
  </si>
  <si>
    <t>Model S2 2027 supply bit growth</t>
  </si>
  <si>
    <t>TrendForce: server DRAM + HBM combined +27% (a server-only basis runs above the all-in basis; direction consistent)</t>
  </si>
  <si>
    <t>✔ consistent</t>
  </si>
  <si>
    <t>Model S2 2027 demand growth (in use)</t>
  </si>
  <si>
    <t>No derivation — the hole audit finding C, item 5 pointed at</t>
  </si>
  <si>
    <t>△ no basis</t>
  </si>
  <si>
    <t>This decomposition · unconstrained basis</t>
  </si>
  <si>
    <t>Built here; the weights are cross-checked against TrendForce's 'HBM + RDIMM = 51% of DRAM bit supply'</t>
  </si>
  <si>
    <t>★ about 2.5pp below the value in use</t>
  </si>
  <si>
    <t>This decomposition · cleared basis</t>
  </si>
  <si>
    <t>TrendForce, 'Diverging Memory Market Outlook in 2027': DRAM sufficiency −1%~−2%. This row is a flow × cleared basis, so the two are directly comparable.</t>
  </si>
  <si>
    <t>★★ agrees on a like-for-like basis</t>
  </si>
  <si>
    <t>★★ This is the most important addition of v3.0. v2.0 once used NAND's −4.1% to 'validate' TrendForce's −4~−5%, but audit finding A, item 1 showed that to be a pseudo-validation — one free parameter (NAND start −2.0%, no derivation) fitted to one target. This table instead decomposes five segments independently first, then matches the two bases against two different external datasets: the unconstrained basis gives roughly −8.0% (the 26% in use gives −10.5%) and the cleared basis gives roughly −0.5% against TrendForce's published −1~−2%. Nothing was fitted.</t>
  </si>
  <si>
    <t>[C] v3.0 finding (grade A): the start point and the recursion use different denominators</t>
  </si>
  <si>
    <t>Start −9.0% = (normal 8 weeks − actual 3.3 weeks) ÷ 52 — the v3.0 calibration; on the v4.0 reading of 1.43 weeks the same formula gives −12.6%, which is what the console now uses. Inventory weeks are converted using ACTUAL (cleared) consumption, so the denominator is cleared demand. But the recursion (1+gap_t−1)×(1+supply)÷(1+demand) uses UNCONSTRAINED demand. Two different denominators inside one continued product. Consequence: the gap is systematically computed too deep. The table below quantifies the mismatch.</t>
  </si>
  <si>
    <t>Value</t>
  </si>
  <si>
    <t>Unconstrained demand (this sheet)</t>
  </si>
  <si>
    <t>The denominator the recursion uses</t>
  </si>
  <si>
    <t>Cleared demand (this sheet)</t>
  </si>
  <si>
    <t>The denominator the start-point calibration implies</t>
  </si>
  <si>
    <t>Single-year basis difference</t>
  </si>
  <si>
    <t>percentage points per year</t>
  </si>
  <si>
    <t>Three-year cumulative mismatch</t>
  </si>
  <si>
    <t>★ This is the main reason the model's stock gap (−19.4%) runs deeper than any external dataset.</t>
  </si>
  <si>
    <t>Two ways to fix it, mutually exclusive: ① keep the start point at −9.0% but switch the recursion denominator to cleared demand; or ② keep the unconstrained denominator but recalibrate the start point to an inventory gap measured on the unconstrained basis — which would be shallower than −9.0%, since cleared demand is smaller than unconstrained demand. This workbook does not choose for you; it sets both paths side by side in block [B] of sheet 05.</t>
  </si>
  <si>
    <t>[D] v4.0 addition: two demand-side items this decomposition cannot yet close</t>
  </si>
  <si>
    <t>What KB Securities says</t>
  </si>
  <si>
    <t>What this model says</t>
  </si>
  <si>
    <t>Why they cannot be compared directly</t>
  </si>
  <si>
    <t>Memory as a share of AI capex</t>
  </si>
  <si>
    <t>Memory rises from 14% of global AI infrastructure investment in 2025 to 57% in 2027 — a fourfold expansion in two years. Global AI infrastructure investment reaches $1.3tn in 2027, +60% year on year.</t>
  </si>
  <si>
    <t>DRAM + NAND rise from 47% of major-CSP capex in 2026 to 68% in 2027 (TrendForce 2026-08-25), used on sheet 04 to back out bit demand.</t>
  </si>
  <si>
    <t>★ The denominators differ (CSP capex versus global AI infrastructure investment) so the two percentages are not comparable; the direction is the same. Tracking item 8 on sheet 08 is to put them on one basis.</t>
  </si>
  <si>
    <t>Enterprise SSD (eSSD) bit demand</t>
  </si>
  <si>
    <t>AI server investment pulls server DDR5 and enterprise SSD together, so the 2027 NAND gap also exceeds 10%.</t>
  </si>
  <si>
    <t>This sheet models DRAM only; the NAND demand assumption sits on sheet 02 and the v3.0 base case used 18% for 2027.</t>
  </si>
  <si>
    <t>★ No independent read on eSSD bit demand has been obtained. This is the single source of the disagreement with KB on NAND and is the highest-priority information gap on the v4.0 tracking list.</t>
  </si>
  <si>
    <t>Second de-spec event (NVIDIA 8-high)</t>
  </si>
  <si>
    <t>Not addressed by KB. DigiTimes gives NVIDIA's reason as thermal limits, packaging yield and memory availability under tight supply.</t>
  </si>
  <si>
    <t>Tracking item 14 in v3.0 said a second de-spec would materially overturn the unconstrained-demand basis. It has now happened.</t>
  </si>
  <si>
    <t>★ The motive is two-sided. Supply-driven de-spec (cannot get the parts) does not constitute a real fall in demand — it defers or displaces it. Technical de-spec (heat, power, packaging yield) does. v4.0's treatment: keep the basis, add a physical ceiling — 600kW per rack is that ceiling.</t>
  </si>
  <si>
    <t>★ Honest limitation: nothing in this block changes a number in the decomposition above. It is recorded because v4.0's NAND correction is an alignment to someone else's judgement rather than a new measurement, and because the second de-spec puts a physical ceiling on the unconstrained-demand basis that the model still does not enforce anywhere.</t>
  </si>
  <si>
    <t>04 · External confirmation: NVIDIA FY2027 Q2, TrendForce 8/25 and KB Securities 9/7</t>
  </si>
  <si>
    <t>The v3.0 data cut-off was 2026-08-24; the v4.0 cut-off is 2026-09-08. Every item below is tagged with which model assumption it strengthens or weakens, and which cell it touches</t>
  </si>
  <si>
    <t>[A] Six items confirmed by NVIDIA FY27 Q2 (through 2026-07-26)</t>
  </si>
  <si>
    <t>Confirmed item</t>
  </si>
  <si>
    <t>Figure / wording</t>
  </si>
  <si>
    <t>Direction</t>
  </si>
  <si>
    <t>Which cell it touches</t>
  </si>
  <si>
    <t>Assessment</t>
  </si>
  <si>
    <t>Supply and capacity commitments</t>
  </si>
  <si>
    <t>$119.0bn → $279.0bn; the 10-Q says explicitly 'primarily memory and manufacturing capacity'; by year: FY27 remaining $92.0bn / FY28 $87.0bn / FY29 $88.0bn, collapsing to $6.0bn in FY30</t>
  </si>
  <si>
    <t>★ Strengthens the demand side (2026–28)
△ but draws a 2029 boundary</t>
  </si>
  <si>
    <t>Sheet 01 column K (demand growth) 2026–2028</t>
  </si>
  <si>
    <t>The hardest external support the demand assumption has: one company has locked three years of memory volume under binding contracts. But the 93% collapse in FY30 is information too — NVIDIA itself will not commit beyond 2029.</t>
  </si>
  <si>
    <t>CFO Kress on the earnings call</t>
  </si>
  <si>
    <t>'Today's memory scarcity is in large part driven by the AI build-out itself'</t>
  </si>
  <si>
    <t>★ Strengthens the demand attribution</t>
  </si>
  <si>
    <t>Section 03 of sheet 00, the inventory anchor narrative</t>
  </si>
  <si>
    <t>The largest buyer publicly accepts that the scarcity is of its own making. That rules out the alternative explanation that scarcity is deliberate supplier restraint.</t>
  </si>
  <si>
    <t>Q3 FY27 gross margin guidance</t>
  </si>
  <si>
    <t>74.0%, down 100bp sequentially, principally on memory cost; Grace Blackwell and Vera Rubin systems priced up 15%+ from early 2027</t>
  </si>
  <si>
    <t>★ Confirms the price transmission chain</t>
  </si>
  <si>
    <t>Whole model (the price mechanism sits outside it)</t>
  </si>
  <si>
    <t>Memory inflation is now large enough to cost NVIDIA 100bp of gross margin, and NVIDIA's response was to pass it on rather than de-spec. So the 'physical gap → price' transmission was not being blocked by buyer resistance in 2026–27.</t>
  </si>
  <si>
    <t>Top five cloud vendors' capex</t>
  </si>
  <si>
    <t>2026 above $800bn → 2027 $1.3tn (+63%)</t>
  </si>
  <si>
    <t>★ Strengthens the demand side</t>
  </si>
  <si>
    <t>Sheet 01 K26 (S2 2027 demand)</t>
  </si>
  <si>
    <t>★ Note the basis difference against TrendForce, which puts 2027 CSP capex at +50%. The two differ by 13pp and NVIDIA is the seller.</t>
  </si>
  <si>
    <t>AWS incremental orders</t>
  </si>
  <si>
    <t>An additional 2 million GPUs deployed across 2027–2028 (Blackwell Ultra / Rubin / Rubin Ultra)</t>
  </si>
  <si>
    <t>★ Strengthens HBM demand</t>
  </si>
  <si>
    <t>Sheet 03 HBM row (weight 9%, growth 60%)</t>
  </si>
  <si>
    <t>Rubin carries 288GB of HBM4 per card, so 2 million units is roughly 576PB of incremental HBM4 spread over two years — direct support for the HBM growth assumption on sheet 03.</t>
  </si>
  <si>
    <t>SOCAMM de-spec (2026-06)</t>
  </si>
  <si>
    <t>Vera CPU-side SOCAMM 192GB → 96GB; SOCAMM DRAM per rack 55TB → 28TB; rack BOM $7.60m → $6.80m</t>
  </si>
  <si>
    <t>✗ Weakens the 'unconstrained demand' assumption</t>
  </si>
  <si>
    <t>The basis premise behind sheet 03 and sheet 01 column K</t>
  </si>
  <si>
    <t>★★ The most important counter-evidence against the model: demand is not price-inelastic. Past a certain price the largest buyer redesigns the demand away. HBM is unaffected (architecturally rigid); conventional DRAM and LPDDR are exposed. ▲ v4.0: the 8-high HBM4 request is the SECOND such event — see sheet 06.</t>
  </si>
  <si>
    <t>[B] TrendForce 2026-08-25: the structure of CSP capex (published after the v3.0 cut-off)</t>
  </si>
  <si>
    <t>Meaning</t>
  </si>
  <si>
    <t>CSP total capex growth</t>
  </si>
  <si>
    <t>NVIDIA's basis puts 2027 at +63%; the two differ by 13pp</t>
  </si>
  <si>
    <t>DRAM + NAND as a share of CSP capex</t>
  </si>
  <si>
    <t>★ Memory is eating two thirds of cloud capex</t>
  </si>
  <si>
    <t>Server DRAM cumulative contract price increase</t>
  </si>
  <si>
    <t>About +270% across 2026 (2H25 alone was +64%)</t>
  </si>
  <si>
    <t>Enterprise SSD cumulative contract price increase</t>
  </si>
  <si>
    <t>About +235% across 2026 (2H25 alone was +35%)</t>
  </si>
  <si>
    <t>HBM contract price increase</t>
  </si>
  <si>
    <t>+70~140% in 2027, midpoint taken. ⚠ Opposite in direction to the v1.0 'HBM economics reversal' assumption</t>
  </si>
  <si>
    <t>HBM + RDIMM as a share of DRAM bit supply</t>
  </si>
  <si>
    <t>★ Used to check the segment weights on sheet 03</t>
  </si>
  <si>
    <t>Server DRAM + HBM bit supply growth</t>
  </si>
  <si>
    <t>2027; RDIMM alone only +15~20% (TrendForce 7/9)</t>
  </si>
  <si>
    <t>[C] Backing out memory bit demand from the CSP basis — an independent check on the model's 2027 demand</t>
  </si>
  <si>
    <t>Step</t>
  </si>
  <si>
    <t>Expression</t>
  </si>
  <si>
    <t>Result</t>
  </si>
  <si>
    <t>① CSP memory spend growth 2027 (in money)</t>
  </si>
  <si>
    <t>(1 + CSP capex growth_27) × memory share_27 ÷ memory share_26 − 1</t>
  </si>
  <si>
    <t>CSP memory purchasing growth measured in money</t>
  </si>
  <si>
    <t>② 2027 blended ASP increase (editable)</t>
  </si>
  <si>
    <t>Assumption: server DRAM rising quarter on quarter but decelerating, plus HBM +70~140%, blended at 50%</t>
  </si>
  <si>
    <t>★ The most sensitive input on this sheet. Enter 40% and bit growth rises to about 55%; enter 60% and it falls to about 36%.</t>
  </si>
  <si>
    <t>③ CSP memory bit demand growth</t>
  </si>
  <si>
    <t>Expression: (1 + ①) ÷ (1 + ②) − 1</t>
  </si>
  <si>
    <t>The CSP leg only; excludes handsets, PCs and consumer</t>
  </si>
  <si>
    <t>④ Converted to the whole market</t>
  </si>
  <si>
    <t>CSP weight × ③ + non-CSP weight × non-CSP growth</t>
  </si>
  <si>
    <t>CSP weight = the HBM and RDIMM rows on sheet 03; non-CSP growth borrows the handset unconstrained rate as a proxy</t>
  </si>
  <si>
    <t>⑤ Cross-check: the value the model uses</t>
  </si>
  <si>
    <t>Sheet 01 K26 plus the console demand shift</t>
  </si>
  <si>
    <t>Two independent routes (the bottom-up build on sheet 03 and this CSP back-out) both land in the 20%–29% band, and the 26% in use sits between them.</t>
  </si>
  <si>
    <t>★ How to read it: the value of this section is not a 'more accurate number' but that it turns the one key parameter the model never derived into two mutually corroborating routes, each testable against external data. One route runs slightly low (23.5%), the other slightly high (28.7%), and the 26% in use sits between them — the strongest positive validation the model has had, and it came in the place I expected it to fail.</t>
  </si>
  <si>
    <t>[D] v4.0 addition: KB Securities research note, 2026-09-07 (head of research Kim Dong-won)</t>
  </si>
  <si>
    <t>'As of the third quarter, memory inventory at Samsung Electronics and SK hynix has fallen below 10 days. That goes beyond a simple demand recovery — there is a high probability that the absolute supply available is insufficient. Next year's saleable memory volume running out could become reality.' Carried by DigiTimes, Seoul Economic Daily, TechTimes and technetbooks, all dated 2026-09-07.</t>
  </si>
  <si>
    <t>#</t>
  </si>
  <si>
    <t>KB's quantification</t>
  </si>
  <si>
    <t>Impact on this model</t>
  </si>
  <si>
    <t>How this workbook handles it</t>
  </si>
  <si>
    <t>2027 DRAM and NAND bit demand growth will exceed supply growth by more than 10 percentage points</t>
  </si>
  <si>
    <t>Directly comparable with the flow basis. My S2 base case gives −10.5% on the production basis and −15.5% after the inventory correction; KB's 'more than 10 points' sits between them.</t>
  </si>
  <si>
    <t>Sheet 06 block [B] sets both against KB's figure.</t>
  </si>
  <si>
    <t>The 2027 supply gap will exceed 10% for both DRAM and NAND</t>
  </si>
  <si>
    <t>On DRAM this corroborates the model. On NAND it contradicts it head on — my N2 base case had 2027 turning to surplus at +10.9%.</t>
  </si>
  <si>
    <t>Sheet 02 block [F] applies the NAND correction with both levers reversible.</t>
  </si>
  <si>
    <t>Producing HBM4 consumes three times the wafer capacity of conventional DRAM</t>
  </si>
  <si>
    <t>★★★ The most important external validation the model has received. Every v3.0 conclusion rests on the 3× wafer penalty, and until now that was a self-built assumption with no third-party support.</t>
  </si>
  <si>
    <t>Sheet 01 row 6 (the console penalty slider) now carries a third-party source rather than an author assumption.</t>
  </si>
  <si>
    <t>The shortage is not confined to HBM — AI server investment pulls server DDR5 and enterprise SSD at the same time</t>
  </si>
  <si>
    <t>Consistent with the RDIMM weight on sheet 03; on the NAND side it is the mechanism behind the disagreement in item ②.</t>
  </si>
  <si>
    <t>Recorded as the top information gap on the sheet 08 tracking list.</t>
  </si>
  <si>
    <t>Other data published in the same note</t>
  </si>
  <si>
    <t>Healthy DRAM finished-goods inventory</t>
  </si>
  <si>
    <t>30–45 days = 4.3–6.4 weeks</t>
  </si>
  <si>
    <t>Supply-chain benchmark. The model's 'normal' of 8 weeks is more conservative still.</t>
  </si>
  <si>
    <t>Combined share of the two suppliers</t>
  </si>
  <si>
    <t>About 64% of global DRAM revenue</t>
  </si>
  <si>
    <t>Samsung plus SK hynix. So a sub-10-day reading at these two is close to an industry reading.</t>
  </si>
  <si>
    <t>Global DRAM revenue, 2026 Q2</t>
  </si>
  <si>
    <t>$154.73bn (TrendForce, April–June)</t>
  </si>
  <si>
    <t>Used for scale, not in the model.</t>
  </si>
  <si>
    <t>Global AI infrastructure investment</t>
  </si>
  <si>
    <t>$1.3tn in 2027, +60% year on year</t>
  </si>
  <si>
    <t>Same order as NVIDIA's top-five cloud capex figure of $1.3tn.</t>
  </si>
  <si>
    <t>Memory as a share of that budget</t>
  </si>
  <si>
    <t>14% in 2025 → 57% in 2027</t>
  </si>
  <si>
    <t>⚠ A different denominator from the model's 'DRAM+NAND = 47% → 68% of CSP capex'. Not comparable directly; same direction.</t>
  </si>
  <si>
    <t>Share prices</t>
  </si>
  <si>
    <t>Down 38% from the peak; the analyst calls the group deeply undervalued</t>
  </si>
  <si>
    <t>Recorded for completeness. Valuation is outside this model's boundary.</t>
  </si>
  <si>
    <t>★ Why item ③ matters more than it looks: a model whose every conclusion rests on one self-built parameter is fragile in a specific way — you cannot tell whether you are measuring the world or your own assumption. An independent sell-side house arriving at exactly the same 3:1 figure does not make the model right, but it does move that parameter out of the 'author assumption' column and into the 'market consensus' column. That is the single largest reduction in model risk in v4.0.</t>
  </si>
  <si>
    <t>05 · v3.0 audit supplement: five new findings and two robustness tests</t>
  </si>
  <si>
    <t>Section 07 of sheet 00 lists the original ten (A×4, B×3, C×3); this sheet adds the five found in v3.0, two of them grade A. Sheet 06 block [F] adds the five found in v4.0. Nothing has been removed</t>
  </si>
  <si>
    <t>[A] The five findings new in v3.0</t>
  </si>
  <si>
    <t>Start point and recursion use different denominators</t>
  </si>
  <si>
    <t>The start point (−9.0% on the v3.0 inventory reading, −12.6% on the v4.0 reading) has cleared demand in its denominator, because inventory weeks are converted using actual consumption; the recursion's denominator is unconstrained demand. Two different denominators inside one continued product.</t>
  </si>
  <si>
    <t>The gap is systematically computed too deep. On the sheet 03 decomposition the two bases differ by about 7.5pp in a single year and about 20.7pp cumulatively over three — which is the main reason the model's −19.4% runs deeper than any external dataset.</t>
  </si>
  <si>
    <t>→ Quantified in block [C] of sheet 03; block [B] below sets the two correction paths side by side.</t>
  </si>
  <si>
    <t>The supply side has no reaction function (supply is exogenous)</t>
  </si>
  <si>
    <t>Supply growth is entirely exogenous, decoupled from price and from demand. Scenario S5 produces 'supply = 194% of demand' in 2028 — arithmetically correct, economically absurd. In the real world DRAM makers cut output when prices collapse, as they did in 2019 and 2023.</t>
  </si>
  <si>
    <t>★ The right tail of the extreme scenarios is badly exaggerated, and it is precisely that tail which drags the 2028 probability weighting from the median's −19.4% up to −0.1%.</t>
  </si>
  <si>
    <t>→ Block [C] below adds an adjustable output-cut trigger and shows the weighted result after truncation.</t>
  </si>
  <si>
    <t>DRAM and NAND scenarios are not paired</t>
  </si>
  <si>
    <t>The two sheets assign probabilities independently, allowing 'DRAM collapse (demand −8%)' and 'NAND robust (demand +14%)' to coexist in the same year. But the demand drivers overlap heavily, so that is not self-consistent at the scenario level.</t>
  </si>
  <si>
    <t>The divergence conclusion might be an artefact of two independent sets of assumptions rather than a real structural difference.</t>
  </si>
  <si>
    <t>→ Block [D] below runs a forced pairing test: after pairing the divergence does not vanish, it widens. Robust ✔</t>
  </si>
  <si>
    <t>'Unconstrained demand' implies demand has no price elasticity</t>
  </si>
  <si>
    <t>NVIDIA's SOCAMM de-spec (June 2026, SOCAMM DRAM per rack 55TB → 28TB, −49%) proves that past a certain price the largest buyer redesigns the demand away. HBM is unaffected; conventional DRAM and LPDDR are exposed.</t>
  </si>
  <si>
    <t>The 'unconstrained demand' basis has a physical ceiling and the model imposes no constraint on it at all. ▲ v4.0: the second de-spec has now happened (NVIDIA's 8-high HBM4 request) and its stated reason includes availability under tight supply.</t>
  </si>
  <si>
    <t>→ Recorded as item 6 in block [A] of sheet 04; sheet 03 sets HBM and conventional DRAM growth separately, which mitigates it in part. ▲ v4.0 adds a de-spec demand ceiling slider on sheet 06.</t>
  </si>
  <si>
    <t>The notebook demand-destruction figure has been revised down externally</t>
  </si>
  <si>
    <t>The model quotes 'notebooks −10%', but TrendForce cut its 2026 global notebook shipment forecast to −14.8% in July 2026.</t>
  </si>
  <si>
    <t>The cleared gap is smaller than the model implies, because demand destruction is worse.</t>
  </si>
  <si>
    <t>→ The cleared growth rate on the PC row of sheet 03 is set to −5% on the new data (a bit basis, including per-unit capacity de-spec).</t>
  </si>
  <si>
    <t>[B] Correcting grade-A finding 1: three basis paths side by side (S2 base case)</t>
  </si>
  <si>
    <t>In use: start point (cleared basis) × recursion (unconstrained basis)</t>
  </si>
  <si>
    <t>Stock basis. The start point converts inventory weeks using cleared demand while the recursion denominator is unconstrained demand — two denominators, one continued product. This is the deepest reading.</t>
  </si>
  <si>
    <t>Correction ①: stock + cleared denominator (bases aligned)</t>
  </si>
  <si>
    <t>Reads as 'at the end of this year, how far is inventory still from normal'. ★ Not directly comparable with TrendForce's flow sufficiency ratio.</t>
  </si>
  <si>
    <t>Correction ②: stock + unconstrained denominator, start point zeroed</t>
  </si>
  <si>
    <t>Reads as 'if prices never moved, how deep is the cumulative physical gap'.</t>
  </si>
  <si>
    <t>Correction ③: flow + cleared (★ the only one directly comparable with institutional data)</t>
  </si>
  <si>
    <t>Basis: this year's supply growth minus cleared demand growth. 2027 gives roughly −0.5% against TrendForce's published DRAM sufficiency of −1~−2% — the first time the model passes a like-for-like external test on DRAM.</t>
  </si>
  <si>
    <t>How much the convention in use overstates it (in use − correction ②)</t>
  </si>
  <si>
    <t>percentage points. A negative value means the convention in use computes a deeper gap.</t>
  </si>
  <si>
    <t>[C] Correcting grade-A finding 2: adding a supply-side output-cut reaction function</t>
  </si>
  <si>
    <t>Output-cut trigger threshold (editable)</t>
  </si>
  <si>
    <t>When a scenario's horizontal adequacy exceeds this value (surplus above 35%), suppliers are treated as having started cutting output and the gap is truncated at this level. Enter 999% to switch the feature off.</t>
  </si>
  <si>
    <t>2028 raw</t>
  </si>
  <si>
    <t>2028 truncated</t>
  </si>
  <si>
    <t>★ After truncation the mean drops materially and the distance to the median narrows — confirming the raw mean was being pulled up by the right tail.</t>
  </si>
  <si>
    <t>Probability median (comparison)</t>
  </si>
  <si>
    <t>The median is unaffected by tail truncation, which is exactly why it is the more robust statistic.</t>
  </si>
  <si>
    <t>Mean − median gap</t>
  </si>
  <si>
    <t>Percentage points. How much that gap shrinks after truncation is a measure of how badly the right tail was contaminating the conclusion.</t>
  </si>
  <si>
    <t>[D] Testing grade-B finding 3: forcing the DRAM and NAND scenarios into pairs</t>
  </si>
  <si>
    <t>Pair DRAM's S1–S5 with NAND's N1–N4 as though each pair were one macro world (S1↔N1, S2↔N2, S3↔N3, S4↔N4, S5↔N4) and use the DRAM probabilities as the common weight. If the divergence disappears once paired, it was an artefact of two independent assumption sets; if it survives, it is a real structural difference.</t>
  </si>
  <si>
    <t>Pairing</t>
  </si>
  <si>
    <t>Common probability</t>
  </si>
  <si>
    <t>DRAM 2028
horizontal gap</t>
  </si>
  <si>
    <t>NAND 2028
horizontal gap</t>
  </si>
  <si>
    <t>Divergence (pp)</t>
  </si>
  <si>
    <t>S1 ↔ N1</t>
  </si>
  <si>
    <t>S2 ↔ N2</t>
  </si>
  <si>
    <t>S3 ↔ N3</t>
  </si>
  <si>
    <t>S4 ↔ N4</t>
  </si>
  <si>
    <t>S5 ↔ N4</t>
  </si>
  <si>
    <t>Probability weighted after pairing</t>
  </si>
  <si>
    <t>Original independent weighting (comparison)</t>
  </si>
  <si>
    <t>Test: the paired result must share the sign of the independent weighting and be at least 80% of its magnitude to count as robust. If pairing flips the sign (for example after pulling NAND layers and yield both negative), the divergence conclusion really does depend on the NAND supply assumptions.</t>
  </si>
  <si>
    <t>[E] The full basis table after v3.0 and v4.0: eight conventions side by side</t>
  </si>
  <si>
    <t>① v1.0 flow: supply−demand growth gap</t>
  </si>
  <si>
    <t>② v2.0 stock: multiplicative recursion (mixed bases)</t>
  </si>
  <si>
    <t>⚠ Denominators inconsistent — see item 1 in block [A]</t>
  </si>
  <si>
    <t>③ After the HBM basis correction</t>
  </si>
  <si>
    <t>Same as ②, but the HBM wafer share is put on a global basis (CXMT dilution removed)</t>
  </si>
  <si>
    <t>④ True stock: additive accumulation</t>
  </si>
  <si>
    <t>⑤ v3.0 correction: stock + cleared denominator</t>
  </si>
  <si>
    <t>How far inventory still is from normal (bases aligned)</t>
  </si>
  <si>
    <t>⑥ v3.0 correction: stock + unconstrained denominator, start zeroed</t>
  </si>
  <si>
    <t>How deep the cumulative physical gap is if prices never moved (bases aligned)</t>
  </si>
  <si>
    <t>⑦ v3.0 correction: flow + cleared (★ comparable with institutional data)</t>
  </si>
  <si>
    <t>Benchmark against TrendForce's DRAM sufficiency of −1~−2%</t>
  </si>
  <si>
    <t>⑧ v4.0: flow, shipment basis (inventory release removed from the base)</t>
  </si>
  <si>
    <t>▲ NEW. What customers can actually receive, once you stop counting bits that came out of inventory rather than out of a fab. This is the basis on which 2027 is still short.</t>
  </si>
  <si>
    <t>★★ All eight numbers are correct and all eight answer different questions. The common root of the mistakes in v1.0 and v2.0 was putting numbers from different bases next to each other. v3.0's contribution was not a more accurate gap but aligning each basis's numerator with its denominator so each could be checked against the matching external dataset. v4.0's contribution is the eighth row: separating what was produced from what was shipped.</t>
  </si>
  <si>
    <t>06 · v4.0 Inventory-Exhaustion Edition — the engine behind the three corrections</t>
  </si>
  <si>
    <t>New sheet, 2026-09-08  |  every v4.0 lever lives in the console below, so sheets 01 and 02 keep their v3.0 results reproducible  |  set every slider to zero and the whole workbook reverts exactly to v3.0</t>
  </si>
  <si>
    <t>Two news items were verified for this version, and their importance is very nearly the reverse of how they read. NVIDIA asking for 8-high HBM4 sounds like the bigger story but is worth about one percentage point in the model, because it contains two offsetting effects — base-die dilution (−3.7%) and a compounding stacking-yield gain (+4~13%). The item that actually moves the conclusion is Samsung and SK hynix inventory below 10 days: it means roughly 4.9% of 2026 shipments were released from stock rather than produced, and that source is now exhausted. From 2027, shipments can only come from a fab.</t>
  </si>
  <si>
    <t>[A] v4.0 PARAMETER CONSOLE · the three corrections, each on its own slider</t>
  </si>
  <si>
    <t>How to use: drag the grey scroll bar, or click the arrows at either end to nudge one step. The yellow cell is the converted current value; the blue cell on the right is the slider's raw integer and can be typed into directly. Set rows 9, 10, 11, 13 and 14 to zero and every table in this workbook reverts to the v3.0 result — that reversibility is deliberate, because two of the three corrections are judgements rather than measurements.</t>
  </si>
  <si>
    <t>Correction 2 · 2026 inventory release (weeks)</t>
  </si>
  <si>
    <t>0.00 – 4.00 wk</t>
  </si>
  <si>
    <t>The bits released from supplier inventory during 2026 and therefore already sitting in the 2026 shipment base. Default 2.57 weeks = the July 2026 reading of 4.00 minus the 2026 Q3 reading of 1.43 (KB Securities). Each step is 0.01 weeks.</t>
  </si>
  <si>
    <t>Correction 1 · 8-high HBM4 penalty relief (×)</t>
  </si>
  <si>
    <t>0.00 – −0.50×</t>
  </si>
  <si>
    <t>How much the HBM wafer penalty falls from 2027 once 8-high displaces 12-high. Full arithmetic on sheet 07: at a per-layer bond yield of 0.975 the implied relief is about −0.18×; −0.20 is the round number used here. 2026 keeps the 3.0× penalty because 8-high ships from 2027.</t>
  </si>
  <si>
    <t>Correction 3 · second de-spec demand ceiling, 2027 (pp)</t>
  </si>
  <si>
    <t>0.0 – −6.0pp</t>
  </si>
  <si>
    <t>The part of the NVIDIA 8-high request that is genuinely technical (thermal limits, power, packaging yield) rather than supply-driven, expressed as a cap on 2027 unconstrained demand. v4.0 puts it at −2 to −3pp. Applied to 2027 only.</t>
  </si>
  <si>
    <t>Drag convention: 0 = off, 1 = report linear, 2 = exact</t>
  </si>
  <si>
    <t>0, 1 or 2</t>
  </si>
  <si>
    <t>How the release is converted into a shipment-growth drag. 1 reproduces the report (subtract the release share, ≈−5.0pp). 2 is the mathematically exact form (1+g)/(1+r)−1, which is about 0.4pp harsher. 0 switches the correction off.</t>
  </si>
  <si>
    <t>NAND · 2027 demand uplift, eSSD (pp)</t>
  </si>
  <si>
    <t>Moves the N2 base case toward KB Securities' view that AI server investment pulls enterprise SSD alongside server DDR5. Default +4.0pp lifts 2027 NAND demand from 18% to 22%. ⚠ This is an alignment to someone else's judgement, not a new measurement.</t>
  </si>
  <si>
    <t>NAND · 2027 supply drag (pp)</t>
  </si>
  <si>
    <t>The NAND equivalent of the inventory correction. NAND inventory at 4–5 weeks is tight but far less so than DRAM's 1.43, so v4.0 uses −3.0pp rather than −5.0pp.</t>
  </si>
  <si>
    <t>Release as a share of one year of supply</t>
  </si>
  <si>
    <t>[B] The 2027 headline: v3.0 → inventory correction → all three corrections</t>
  </si>
  <si>
    <t>2027 supply
v3.0 (production)</t>
  </si>
  <si>
    <t>2027 gap
v4.0 (inventory only)</t>
  </si>
  <si>
    <t>Change
(pp)</t>
  </si>
  <si>
    <t>2027 gap
v4.0 (all three)</t>
  </si>
  <si>
    <t>2027 supply
after 8-high relief</t>
  </si>
  <si>
    <t>2027 shipments
v4.0</t>
  </si>
  <si>
    <t>Probability that 2027 is still short</t>
  </si>
  <si>
    <t>★★★ The single most important line in v4.0: on the inventory correction alone the probability that DRAM is still short in 2027 rises from 53% to 78%, because S3 — the relief scenario carrying 25% probability — moves from +1.7% (turns to surplus) to −3.3% (still short). What moved it was not a demand datapoint but a supply-side accounting fact. Column G shows what happens once the other two corrections are applied as well: they push in the opposite direction and S3 returns to the boundary. Both numbers are in the report; only one can be the headline. See block [D].</t>
  </si>
  <si>
    <t>[C] Full v4.0 model: three years, all three corrections applied</t>
  </si>
  <si>
    <t>The inventory drag applies to 2027 only: the release sits in the 2026 base, so it depresses the 2026→2027 comparison and then washes out. The 8-high relief applies from 2027 onward. The de-spec demand ceiling is applied to 2027 only, which is conservative — if the 600kW rack power limit is a genuine physical ceiling it should persist into 2028 as well.</t>
  </si>
  <si>
    <t>④ Flow 2026</t>
  </si>
  <si>
    <t>④ Flow 2027</t>
  </si>
  <si>
    <t>④ Flow 2028</t>
  </si>
  <si>
    <t>② Stock 2026</t>
  </si>
  <si>
    <t>② Stock 2027</t>
  </si>
  <si>
    <t>② Stock 2028</t>
  </si>
  <si>
    <t>2028 supply
(helper)</t>
  </si>
  <si>
    <t>2028 demand
(helper)</t>
  </si>
  <si>
    <t>Rows 35 and 36 are what sheets 00, 01 and 05 link to for the 'v4.0 fully corrected' lines. Note that 2026 is unchanged from v3.0 on purpose — see audit finding B6 in block [F], which is the honest objection to doing it this way.</t>
  </si>
  <si>
    <t>[D] ⚠ Reconciling v4.0's own two headline numbers</t>
  </si>
  <si>
    <t>2027 weighted growth gap</t>
  </si>
  <si>
    <t>Contribution (pp)</t>
  </si>
  <si>
    <t>v3.0, probability weighted</t>
  </si>
  <si>
    <t>The published v3.0 figure, on a production basis with the 3.0× penalty and unconstrained demand.</t>
  </si>
  <si>
    <t>Correction 1 · 8-high HBM4 lowers the wafer penalty from 2027</t>
  </si>
  <si>
    <t>Easing. The report quotes +0.8pp from the change in the HBM drag itself (−6.25pp → −5.41pp); propagated through the supply formula it is slightly larger, because the drag acts on an already-enlarged wafer and node base.</t>
  </si>
  <si>
    <t>Correction 2 · inventory exhaustion removes the 2026 release from the 2027 base</t>
  </si>
  <si>
    <t>Tightening, and the largest of the three. Under convention 1 this is the report's −5.0pp; under convention 2 (exact) it is about −5.4pp.</t>
  </si>
  <si>
    <t>Correction 3 · the second de-spec caps unconstrained demand</t>
  </si>
  <si>
    <t>Easing. Only the technical half of the de-spec counts — heat, power and packaging yield. The supply-driven half (cannot get the parts) is not a real fall in demand, it merely defers it.</t>
  </si>
  <si>
    <t>v4.0 with all three corrections</t>
  </si>
  <si>
    <t>★ The internally consistent v4.0 answer. The three contributions above are exactly additive to this line.</t>
  </si>
  <si>
    <t>v4.0 report headline (section 4.2, correction 2 only)</t>
  </si>
  <si>
    <t>The −7.3% quoted at the top of the report, which applies the inventory correction alone.</t>
  </si>
  <si>
    <t>Unexplained difference between the two</t>
  </si>
  <si>
    <t>⚠ Audit finding A7. Section 4.1 of the report nets the three corrections to about −1.7pp while section 4.2 quotes a −5.0pp move. Both cannot be the headline. The defensible statement is that the inventory correction alone gives −7.3% and a 78% probability of shortage, and that the fully corrected figure is materially shallower — so the honest range for 2027 is between the two, not a single number.</t>
  </si>
  <si>
    <t>[E] The 4.9% arithmetic, written out</t>
  </si>
  <si>
    <t>Where it comes from</t>
  </si>
  <si>
    <t>July 2026 supplier inventory (weeks)</t>
  </si>
  <si>
    <t>Luminix, DRAM Cycle Mid-2026 Update: a 3–5 week range, midpoint taken. Editable.</t>
  </si>
  <si>
    <t>2026 Q3 supplier inventory (weeks)</t>
  </si>
  <si>
    <t>KB Securities, 2026-09-07: below 10 days at Samsung and SK hynix = below 1.43 weeks. The two together hold about 64% of global DRAM revenue, so this is close to an industry reading.</t>
  </si>
  <si>
    <t>Bits released over the period (weeks)</t>
  </si>
  <si>
    <t>The drawdown. This volume was shipped to customers but not produced in the period.</t>
  </si>
  <si>
    <t>As a share of one year of supply</t>
  </si>
  <si>
    <t>★ Roughly 4.9%. This is the number the whole of v4.0 turns on.</t>
  </si>
  <si>
    <t>Value used by the console slider (weeks)</t>
  </si>
  <si>
    <t>Row 9 above. Defaulted to the derived figure; drag it to test how sensitive the conclusion is to the release estimate.</t>
  </si>
  <si>
    <t>Drag applied to 2027 shipment growth</t>
  </si>
  <si>
    <t>Convention 1 subtracts the release share directly, reproducing the report. Convention 2 uses the exact multiplicative form, which is slightly harsher because the base itself was inflated.</t>
  </si>
  <si>
    <t>★ Why this is a supply fact and not a demand fact: for three years the market ran short without running out, because it was drawing down inventory — from 31 weeks in early 2023 to under 1.5 in 2026 Q3, a cumulative drawdown worth more than half of one year's demand. Nothing about demand has to change for 2027 to be tighter than 2026; the buffer that absorbed the shortfall simply no longer exists.</t>
  </si>
  <si>
    <t>[F] Five audit findings new in v4.0 (running total across all versions: 20)</t>
  </si>
  <si>
    <t>A7</t>
  </si>
  <si>
    <t>v4.0's own two headline numbers disagree</t>
  </si>
  <si>
    <t>Section 4.2 quotes 2027 moving from −2.3% to −7.3% (a −5.0pp move) while section 4.1 nets the three corrections to roughly −1.7pp. The first applies correction 2 alone; the second applies all three. Both are presented as the version's answer.</t>
  </si>
  <si>
    <t>→ Block [D] above computes both and shows the exact size of the discrepancy. The honest statement is a range, not a point.</t>
  </si>
  <si>
    <t>B6</t>
  </si>
  <si>
    <t>The inventory correction is applied on one side only</t>
  </si>
  <si>
    <t>If about 4.9% of 2026 shipments came out of inventory, then 2026 shipment growth was INFLATED by roughly the same amount, not just 2027 depressed. v4.0 (and this workbook's table [C], to stay comparable with it) adjusts 2027 only.</t>
  </si>
  <si>
    <t>→ Recorded, not silently fixed. A symmetric treatment would make 2026 look better and 2027 worse by a similar amount; the two-year average is unaffected, which is itself worth knowing.</t>
  </si>
  <si>
    <t>B7</t>
  </si>
  <si>
    <t>The NAND correction aligns to someone else's judgement rather than to new data</t>
  </si>
  <si>
    <t>The report itself flags this: 2027 NAND demand was raised from 18% to 22% and supply cut by 3pp in order to move toward KB Securities' view, without any independent read on enterprise SSD bit demand.</t>
  </si>
  <si>
    <t>→ Implemented as two reversible sliders (rows 13 and 14) rather than as edits to the sheet 02 grid. Set them to zero and NAND reverts exactly to v3.0.</t>
  </si>
  <si>
    <t>C5</t>
  </si>
  <si>
    <t>The coordinate origin was wrong: 'today' was off by eleven days</t>
  </si>
  <si>
    <t>Several prior reports were dated 2026-08-28 when the actual date was 2026-09-08. Correctly dated new material was discarded as future-dated crawler noise, and at least one already-published earnings event was written up as a future event.</t>
  </si>
  <si>
    <t>→ The methodology fix is on sheet 08 block [C]: confirming the current date becomes check zero before any price or data verification. This is more fundamental than any single wrong price — a wrong origin makes correct data look wrong.</t>
  </si>
  <si>
    <t>C6</t>
  </si>
  <si>
    <t>The 8-high relief is computed with a mixed-year penalty</t>
  </si>
  <si>
    <t>The report holds the 2026 equivalent-capacity index at the 3.0× value while using 2.8× for 2027, which is what produces −5.41pp rather than −5.99pp. That is defensible, since 8-high ships from 2027, but it is an assumption and was not stated.</t>
  </si>
  <si>
    <t>→ Stated explicitly and implemented that way (2026 keeps 3.0×, 2027–28 use the relieved penalty). Sheet 07 shows what the alternative treatment would give.</t>
  </si>
  <si>
    <t>Cumulative audit findings across the model's life: 10 in v2.0's workbook (A×4, B×3, C×3), 5 new in v3.0 (A×2, B×2, C×1), 5 new in v4.0 (A×1, B×2, C×2) — 20 in total, all retained, none removed. The pattern is itself the point: v1.0's error was found by a reader, v2.0's while building the workbook, v3.0's while cross-calibrating against NVIDIA, and v4.0's while checking two news items. Treat any single quantitative conclusion — including this one — as provisional, and give priority to directly observable physical indicators: inventory weeks, quota ratios, contract prices.</t>
  </si>
  <si>
    <t>Chart notes | Chart 1: supplier inventory from 31 weeks to under 1.5. The vertical axis is deliberately not logarithmic — the point is how violent the drawdown is. | Chart 2: the 2027 growth gap by scenario, before and after the inventory correction. S3 crossing the zero axis is the whole of v4.0 in one picture. | Chart 3: the three corrections decomposed — two easing, one tightening, the tightening one much the largest.</t>
  </si>
  <si>
    <t>07 · v4.0: the 8-high HBM4 arithmetic, done properly</t>
  </si>
  <si>
    <t>Two opposing effects that mostly cancel  |  base-die dilution against a compounding stacking-yield gain  |  the result is why a headline that sounds major is worth about one percentage point in the model</t>
  </si>
  <si>
    <t>There are two intuitive answers here and both are wrong, because each computes only half of it. Answer A: '8 layers is four fewer DRAM die than 12, so it saves wafers and eases supply.' Answer B: '8-high holds only two thirds the capacity of 12-high, so you need more stacks to hold capacity and it consumes more wafers.' The arithmetic below computes both effects and nets them.</t>
  </si>
  <si>
    <t>[A] Effect A — base-die dilution: 8-high is worse</t>
  </si>
  <si>
    <t>Stack height</t>
  </si>
  <si>
    <t>Total die per stack</t>
  </si>
  <si>
    <t>Share of die that produce bits</t>
  </si>
  <si>
    <t>Relative to 12-high</t>
  </si>
  <si>
    <t>8-high</t>
  </si>
  <si>
    <t>1 base + 8 core = 9</t>
  </si>
  <si>
    <t>★ The height NVIDIA is asking for</t>
  </si>
  <si>
    <t>12-high</t>
  </si>
  <si>
    <t>1 base + 12 core = 13</t>
  </si>
  <si>
    <t>The current mainstream height</t>
  </si>
  <si>
    <t>16-high</t>
  </si>
  <si>
    <t>1 base + 16 core = 17</t>
  </si>
  <si>
    <t>What NVIDIA was demanding eight months ago</t>
  </si>
  <si>
    <t>Every HBM stack needs one base die, and the base die produces no bits at all. Spread over 9 die instead of 13, that overhead costs 8-high about 3.70% relative to 12-high. This part is fixed and does not depend on yield.</t>
  </si>
  <si>
    <t>[B] Effect B — stacking yield compounds: 8-high is better, and the advantage grows as yield falls</t>
  </si>
  <si>
    <t>Per-layer bond yield</t>
  </si>
  <si>
    <t>8-high stack yield</t>
  </si>
  <si>
    <t>12-high stack yield</t>
  </si>
  <si>
    <t>8-high yield advantage</t>
  </si>
  <si>
    <t>Base-die dilution</t>
  </si>
  <si>
    <t>Net wafer efficiency per bit</t>
  </si>
  <si>
    <t>Implied HBM penalty at 3.0× base</t>
  </si>
  <si>
    <t>★★ Stacking yield compounds: if the per-layer bond yield is y, an n-layer stack yields roughly y to the power n. And the cost of a failure matters more than the yield itself — a 12-high stack that fails on the last layer destroys twelve good die plus a base die; an 8-high failure destroys nine. ★★★ NVIDIA's stated reasons explicitly include packaging yield, which tells you yield is not where anyone would like it to be. At a per-layer yield of 0.97–0.98 the net gain is about 4%–9%, implying an effective penalty of roughly 2.75×–2.87× against the 3.0× base.</t>
  </si>
  <si>
    <t>[C] Parameterised: one slider for the per-layer bond yield</t>
  </si>
  <si>
    <t>Drag the slider to see how the net effect and the implied wafer penalty move. This is where the −0.20× default on the sheet 06 console comes from — at a per-layer yield of 0.975 the implied relief is about −0.18×, and −0.20 is the round number used.</t>
  </si>
  <si>
    <t>0.900 – 0.999</t>
  </si>
  <si>
    <t>The yield of a single layer-to-layer bond. Nobody publishes this figure; it is inferred from the fact that NVIDIA cites packaging yield as a reason.</t>
  </si>
  <si>
    <t>y raised to the 8th power.</t>
  </si>
  <si>
    <t>y raised to the 12th power. The gap widens fast as y falls.</t>
  </si>
  <si>
    <t>Purely the compounding effect.</t>
  </si>
  <si>
    <t>Fixed at −3.70%, from block [A].</t>
  </si>
  <si>
    <t>★ The number that matters. Positive means 8-high delivers more bits per wafer than 12-high.</t>
  </si>
  <si>
    <t>Implied HBM wafer penalty</t>
  </si>
  <si>
    <t>Against the 3.0× base confirmed by KB Securities.</t>
  </si>
  <si>
    <t>Implied relief for the sheet 06 slider</t>
  </si>
  <si>
    <t>★ Compare with the −0.20× default in row 10 of sheet 06.</t>
  </si>
  <si>
    <t>[D] Feeding it into the model formula: E = (1 − h) + h ÷ p</t>
  </si>
  <si>
    <t>Case</t>
  </si>
  <si>
    <t>2026 E-index
(h = 22%)</t>
  </si>
  <si>
    <t>2027 E-index
(h = 30%)</t>
  </si>
  <si>
    <t>2027 HBM drag</t>
  </si>
  <si>
    <t>Change vs the base case</t>
  </si>
  <si>
    <t>p = 3.0</t>
  </si>
  <si>
    <t>Original model — the v3.0 basis</t>
  </si>
  <si>
    <t>p = 2.9</t>
  </si>
  <si>
    <t>8-high brings p down to 2.9</t>
  </si>
  <si>
    <t>p = 2.8</t>
  </si>
  <si>
    <t>8-high brings p down to 2.8 — the v4.0 default</t>
  </si>
  <si>
    <t>p = 2.7</t>
  </si>
  <si>
    <t>8-high brings p down to 2.7 — already an aggressive assumption</t>
  </si>
  <si>
    <t>★★★ Conclusion: even if the penalty falls all the way from 3.0 to 2.7, the 2027 HBM drag only improves from −6.25pp to −4.95pp. Propagated through the supply formula that is worth roughly 1.3 percentage points on the growth gap. 8-high is a second-order effect on the DRAM balance and does not change the conclusion. | Note the convention: the 2026 column keeps p = 3.0 in every row, because 8-high ships from 2027. Apply the lower penalty to both years and the 2027 drag would read −5.99pp rather than −5.41pp; the difference is entirely that convention, and it is recorded as audit finding C6 on sheet 06.</t>
  </si>
  <si>
    <t>[E] The two-sided verdict: what 8-high does outside the DRAM balance</t>
  </si>
  <si>
    <t>Dimension</t>
  </si>
  <si>
    <t>Explanation</t>
  </si>
  <si>
    <t>HBM bit demand</t>
  </si>
  <si>
    <t>⚠ negative</t>
  </si>
  <si>
    <t>HBM capacity per GPU grows more slowly. The 'Rubin Ultra delivers 384GB per GPU' assumption inside scenario S1 is weakened.</t>
  </si>
  <si>
    <t>Confirmation that the gap exists</t>
  </si>
  <si>
    <t>✅ strongly positive</t>
  </si>
  <si>
    <t>★ Part of NVIDIA's reason for cutting the specification is that it cannot obtain the parts. That is the strongest possible evidence the gap is real — more direct than any supply-demand table. Eight months ago NVIDIA was demanding 16-high and pushing per-pin speeds above 11 Gbps; the reversal took eight months.</t>
  </si>
  <si>
    <t>Advanced packaging</t>
  </si>
  <si>
    <t>⚠ negative for CoWoS</t>
  </si>
  <si>
    <t>To hold total capacity, 8-high needs about 1.5× the number of stacks: base die +50% and a large increase in interposer area. The bottleneck moves partly from DRAM bits to packaging.</t>
  </si>
  <si>
    <t>Net judgement</t>
  </si>
  <si>
    <t>★★ It shifts part of the constraint from 'DRAM bits' to 'advanced packaging' — and packaging is outside this model's boundary. That is why CoWoS capacity is item 5 on the v4.0 tracking list, tagged as something this model cannot compute.</t>
  </si>
  <si>
    <t>★ The counter-intuitive but important takeaway: a headline that sounds major is worth 1.3 percentage points in the model, while a single inventory reading is worth five. Size of headline and size of model impact are close to uncorrelated — which is exactly what a quantitative framework is for.</t>
  </si>
  <si>
    <t>Chart note | The net wafer efficiency of 8-high against 12-high, plotted against the per-layer bond yield. The line crosses zero at about y = 0.99: above that, 8-high is actually worse, because base-die dilution dominates. Below it the compounding yield advantage takes over and grows quickly. NVIDIA citing packaging yield as a reason places us on the right-hand side of that crossing.</t>
  </si>
  <si>
    <t>08 · v4.0 falsifiable tracking list</t>
  </si>
  <si>
    <t>What has been added or promoted since v3.0, what has been retained, and the one methodology lesson that sits outside the model altogether</t>
  </si>
  <si>
    <t>[A] New and upgraded items</t>
  </si>
  <si>
    <t>Priority</t>
  </si>
  <si>
    <t>Indicator</t>
  </si>
  <si>
    <t>Current reading</t>
  </si>
  <si>
    <t>Status</t>
  </si>
  <si>
    <t>Threshold / what to watch for</t>
  </si>
  <si>
    <t>1</t>
  </si>
  <si>
    <t>Supplier inventory weeks</t>
  </si>
  <si>
    <t>Below 10 days (KB, 2026 Q3)</t>
  </si>
  <si>
    <t>▲ promoted</t>
  </si>
  <si>
    <t>★ Promoted from item 19 in v3.0 to first place. Back above 3 weeks means the tightness is easing; a further fall means 2027 sees genuine allocation failures rather than merely high prices. This is the only physical anchor of the stock basis and the most fragile single parameter in the model.</t>
  </si>
  <si>
    <t>2</t>
  </si>
  <si>
    <t>Independent read on eSSD bit demand</t>
  </si>
  <si>
    <t>Not obtained</t>
  </si>
  <si>
    <t>▲ new</t>
  </si>
  <si>
    <t>★ The sole source of the disagreement with KB Securities on NAND. Until it exists, the NAND correction on sheet 02 block [F] remains an alignment to someone else's judgement rather than a measurement.</t>
  </si>
  <si>
    <t>3</t>
  </si>
  <si>
    <t>Actual shipment mix of 8-high HBM4 / HBM4E</t>
  </si>
  <si>
    <t>Just beginning</t>
  </si>
  <si>
    <t>Above 50% would mean the de-spec is structural; if it is only a transition step, the demand-ceiling judgement on sheet 06 row 11 has to be withdrawn.</t>
  </si>
  <si>
    <t>4</t>
  </si>
  <si>
    <t>HBM capacity per GPU (Rubin Ultra actual specification)</t>
  </si>
  <si>
    <t>Assumed 384GB</t>
  </si>
  <si>
    <t>▲ upgraded</t>
  </si>
  <si>
    <t>Determines directly whether scenario S1 stands. The 8-high request has already weakened the assumption.</t>
  </si>
  <si>
    <t>5</t>
  </si>
  <si>
    <t>CoWoS / advanced packaging capacity</t>
  </si>
  <si>
    <t>Not quantified</t>
  </si>
  <si>
    <t>★ 8-high moves part of the bottleneck here, and this model cannot compute it. Recorded honestly as outside the boundary rather than approximated.</t>
  </si>
  <si>
    <t>6</t>
  </si>
  <si>
    <t>HBM wafers as a share of total DRAM wafers</t>
  </si>
  <si>
    <t>30% at end-2027 (TrendForce)</t>
  </si>
  <si>
    <t>retained</t>
  </si>
  <si>
    <t>Item 1 in v3.0 and still central. If the 2027 outturn is below 26%, the economics reversal is happening and 3–5pp of extra supply is released.</t>
  </si>
  <si>
    <t>7</t>
  </si>
  <si>
    <t>2027 HBM contract price negotiations</t>
  </si>
  <si>
    <t>+70~140% (TrendForce forecast)</t>
  </si>
  <si>
    <t>Item 2 in v3.0. ⚠ If large increases are agreed, the reversal assumption behind S3 and S4 (40% of probability combined) has to be reweighted.</t>
  </si>
  <si>
    <t>8</t>
  </si>
  <si>
    <t>Memory as a share of AI infrastructure investment</t>
  </si>
  <si>
    <t>14% in 2025 → 57% in 2027 (KB)</t>
  </si>
  <si>
    <t>⚠ A different basis from the model's 'DRAM+NAND = 47% → 68% of CSP capex'. Putting the two on one denominator is a task, not just a comparison.</t>
  </si>
  <si>
    <t>[B] Key items retained from v3.0</t>
  </si>
  <si>
    <t>Side</t>
  </si>
  <si>
    <t>Why it still matters</t>
  </si>
  <si>
    <t>9</t>
  </si>
  <si>
    <t>Micron Idaho ID1 first wafer</t>
  </si>
  <si>
    <t>Target mid-2027</t>
  </si>
  <si>
    <t>supply</t>
  </si>
  <si>
    <t>The first verifiable milestone of the 2028 capacity wave.</t>
  </si>
  <si>
    <t>10</t>
  </si>
  <si>
    <t>Samsung P5 tool move-in</t>
  </si>
  <si>
    <t>Completion 1H27, mass production 2H28</t>
  </si>
  <si>
    <t>Already about six months ahead of the original plan; any further acceleration is a warning signal.</t>
  </si>
  <si>
    <t>11</t>
  </si>
  <si>
    <t>SK hynix and Samsung 1c ramp</t>
  </si>
  <si>
    <t>SK targets 160–190k wpm by end-2026; Samsung above 200k</t>
  </si>
  <si>
    <t>Sets the node-migration bit uplift directly.</t>
  </si>
  <si>
    <t>12</t>
  </si>
  <si>
    <t>Conventional DRAM contract price, quarter on quarter</t>
  </si>
  <si>
    <t>1Q26 +93~98% → 2Q26 +58~63% → 3Q26 +13~18%</t>
  </si>
  <si>
    <t>price</t>
  </si>
  <si>
    <t>The first hard signal that the model needs re-estimating would be any quarter turning negative early.</t>
  </si>
  <si>
    <t>13</t>
  </si>
  <si>
    <t>LTA price-ceiling coverage and level</t>
  </si>
  <si>
    <t>Some LTAs signed from 2Q26 include ceilings; Sandisk NBM covers ~50% of FY27 bits</t>
  </si>
  <si>
    <t>★ v3.0 called this the most important item on the list. It determines how much of the physical gap still explains price at all.</t>
  </si>
  <si>
    <t>14</t>
  </si>
  <si>
    <t>DDR4 versus DDR5 price spread</t>
  </si>
  <si>
    <t>Both 16Gb contract prices at $35–40; the DDR5 premium has vanished</t>
  </si>
  <si>
    <t>A deeply abnormal state; the direction in which it normalises tells you whether the supply constraint is easing.</t>
  </si>
  <si>
    <t>15</t>
  </si>
  <si>
    <t>Top four cloud vendors' 2027 capex guidance</t>
  </si>
  <si>
    <t>+63% on NVIDIA's basis, +50% on TrendForce's</t>
  </si>
  <si>
    <t>demand</t>
  </si>
  <si>
    <t>To turn 2027 positive, demand growth must fall from 26% to about 15.5%. Still the only realistic path.</t>
  </si>
  <si>
    <t>16</t>
  </si>
  <si>
    <t>NVIDIA supply and capacity commitments (next 10-Q)</t>
  </si>
  <si>
    <t>$279.0bn</t>
  </si>
  <si>
    <t>A sequential fall of more than 15% would be the first hard signal that demand expectations are being cut.</t>
  </si>
  <si>
    <t>[C] The methodology lesson that is not in the model</t>
  </si>
  <si>
    <t>The correction that matters most in v4.0 is not a parameter. Several earlier reports were dated 2026-08-28 when the real date was 2026-09-08 — an eleven-day error in the coordinate origin.</t>
  </si>
  <si>
    <t>The consequence was not a missing datapoint but an inverted filter: pages correctly dated 8/31, 9/1 and 9/7 were repeatedly discarded as future-dated crawler noise. One already-published earnings release was written up as an event four days in the future. Two price errors that had been blamed on bad snapshots turned out to be correct data rejected for being 'in the future'.</t>
  </si>
  <si>
    <t>★★★ A wrong origin makes every correct datapoint look wrong. That is a more fundamental failure than any single mispriced quote, because it is systematic and self-reinforcing: the more current the data, the more likely it is to be thrown away.</t>
  </si>
  <si>
    <t>★ From v4.0 onward, confirming today's date is check zero of any price or data verification, before the source is even opened.</t>
  </si>
  <si>
    <t>[D] Effect on the company work in this series</t>
  </si>
  <si>
    <t>Report</t>
  </si>
  <si>
    <t>Effect</t>
  </si>
  <si>
    <t>Micron, SK hynix, Samsung, Sandisk, Western Digital</t>
  </si>
  <si>
    <t>The probability that 2027 is still short rises.</t>
  </si>
  <si>
    <t>✅ positive</t>
  </si>
  <si>
    <t>Rambus deep dive</t>
  </si>
  <si>
    <t>Stronger support for main-memory demand, but antitrust risk remains the first-order variable.</t>
  </si>
  <si>
    <t>✅ mildly positive</t>
  </si>
  <si>
    <t>Applied Materials deep dive</t>
  </si>
  <si>
    <t>Stronger support for 2027–2028 capex, but the structural risk from Chinese localisation is unchanged.</t>
  </si>
  <si>
    <t>Aehr deep dive</t>
  </si>
  <si>
    <t>⚠ Fewer HBM die per package weakens the scrap-cost economics argued in section 1.4.2 (an AI processor plus 8 HBM die plus interposer plus substrate). But 8-high may raise the number of stacks by about 1.5×, which pushes the other way. Net effect undetermined — flagged as an information gap.</t>
  </si>
  <si>
    <t>⚠ mildly negative</t>
  </si>
  <si>
    <t>Coherent, Lumentum, Marvell, Astera Labs, Credo</t>
  </si>
  <si>
    <t>Little effect — their bottleneck is optics and interconnect, not DRAM bits.</t>
  </si>
  <si>
    <t>neutral</t>
  </si>
  <si>
    <t>[E] Closing statement</t>
  </si>
  <si>
    <t>Three judgements are worth stating plainly. First: the second de-spec has happened, and its motive is two-sided. NVIDIA's stated reasons include both the technical (heat, power, packaging yield) and the supply-driven (availability under tight supply). Supply-driven de-spec is not a real fall in demand — it defers demand. So the unconstrained-demand basis is not overturned; it is given a physical ceiling, and 600kW of rack power is that ceiling.</t>
  </si>
  <si>
    <t>Second: part of the bottleneck is moving to advanced packaging, which is outside this model's boundary. Holding total capacity with 8-high needs about 1.5× the stacks — base die +50% and a large increase in interposer area. Enough DRAM bits may not be enough CoWoS. It is item 5 on the list above, labelled honestly as something this model cannot compute.</t>
  </si>
  <si>
    <t>Third, and most important: the arithmetic in this workbook is only as good as its origin. v1.0's error was found by a reader, v2.0's while building the workbook, v3.0's while cross-calibrating against NVIDIA, and v4.0's while checking two news items and the date. Every version has found the previous version's mistake, which is a reason to hold any single quantitative conclusion loosely and to give priority to directly observable physical indicators.</t>
  </si>
  <si>
    <t>This workbook is for research and study only. It is not investment advice and not an offer to buy or sell any security. All forward-looking judgements may be wrong. Make your own decisions in light of your own research and risk tolerance. If you work at a regulated institution, confirm the applicable personal-account reporting and pre-clearance requirements before trading.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</si>
</sst>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0.00&quot; wk&quot;"/>
    <numFmt numFmtId="177" formatCode="0.0%;[Red]\-0.0%;0.0%"/>
    <numFmt numFmtId="178" formatCode="\+0.0&quot;pp&quot;;[Red]\-0.0&quot;pp&quot;;0.0&quot;pp&quot;"/>
    <numFmt numFmtId="179" formatCode="0.0&quot;pp&quot;"/>
    <numFmt numFmtId="180" formatCode="0.0\×"/>
    <numFmt numFmtId="181" formatCode="0.0"/>
    <numFmt numFmtId="182" formatCode="0.0000"/>
    <numFmt numFmtId="183" formatCode="\+0.00&quot;pp&quot;;[Red]\-0.00&quot;pp&quot;;0.00&quot;pp&quot;"/>
    <numFmt numFmtId="184" formatCode="\+0.0%;[Red]\-0.0%;0.0%"/>
    <numFmt numFmtId="185" formatCode="0.00\×"/>
    <numFmt numFmtId="187" formatCode="0.00%;[Red]\-0.00%;0.00%"/>
    <numFmt numFmtId="188" formatCode="0.000"/>
  </numFmts>
  <fonts count="60" x14ac:knownFonts="1">
    <font>
      <sz val="11"/>
      <color theme="1"/>
      <name val="Calibri"/>
      <family val="2"/>
      <charset val="1"/>
    </font>
    <font>
      <b/>
      <sz val="16"/>
      <color rgb="FFFFFFFF"/>
      <name val="Arial"/>
      <family val="2"/>
    </font>
    <font>
      <i/>
      <sz val="9"/>
      <color rgb="FF7A7A7A"/>
      <name val="Arial"/>
      <family val="2"/>
    </font>
    <font>
      <b/>
      <sz val="11"/>
      <color rgb="FFFFFFFF"/>
      <name val="Arial"/>
      <family val="2"/>
    </font>
    <font>
      <sz val="9"/>
      <color rgb="FF3D3D3D"/>
      <name val="Arial"/>
      <family val="2"/>
    </font>
    <font>
      <b/>
      <sz val="9"/>
      <color rgb="FF0000FF"/>
      <name val="Arial"/>
      <family val="2"/>
    </font>
    <font>
      <sz val="9"/>
      <color rgb="FF000000"/>
      <name val="Arial"/>
      <family val="2"/>
    </font>
    <font>
      <b/>
      <sz val="9"/>
      <color rgb="FFB35C00"/>
      <name val="Arial"/>
      <family val="2"/>
    </font>
    <font>
      <b/>
      <sz val="9"/>
      <color rgb="FF16305B"/>
      <name val="Arial"/>
      <family val="2"/>
    </font>
    <font>
      <b/>
      <sz val="9"/>
      <color rgb="FF000000"/>
      <name val="Arial"/>
      <family val="2"/>
    </font>
    <font>
      <b/>
      <sz val="13"/>
      <color rgb="FF44688F"/>
      <name val="Arial"/>
      <family val="2"/>
    </font>
    <font>
      <b/>
      <sz val="11"/>
      <color rgb="FFB3202C"/>
      <name val="Arial"/>
      <family val="2"/>
    </font>
    <font>
      <b/>
      <sz val="11"/>
      <color rgb="FF44688F"/>
      <name val="Arial"/>
      <family val="2"/>
    </font>
    <font>
      <b/>
      <sz val="11"/>
      <color rgb="FFB35C00"/>
      <name val="Arial"/>
      <family val="2"/>
    </font>
    <font>
      <b/>
      <sz val="10"/>
      <color rgb="FF16305B"/>
      <name val="Arial"/>
      <family val="2"/>
    </font>
    <font>
      <sz val="9"/>
      <color rgb="FF7A7A7A"/>
      <name val="Arial"/>
      <family val="2"/>
    </font>
    <font>
      <b/>
      <sz val="10"/>
      <color rgb="FF008000"/>
      <name val="Arial"/>
      <family val="2"/>
    </font>
    <font>
      <b/>
      <sz val="9"/>
      <color rgb="FFC00000"/>
      <name val="Arial"/>
      <family val="2"/>
    </font>
    <font>
      <b/>
      <sz val="10"/>
      <color rgb="FFC00000"/>
      <name val="Arial"/>
      <family val="2"/>
    </font>
    <font>
      <sz val="10"/>
      <color rgb="FF008000"/>
      <name val="Arial"/>
      <family val="2"/>
    </font>
    <font>
      <sz val="8"/>
      <color rgb="FF000000"/>
      <name val="Arial"/>
      <family val="2"/>
    </font>
    <font>
      <b/>
      <sz val="11"/>
      <color rgb="FFC00000"/>
      <name val="Arial"/>
      <family val="2"/>
    </font>
    <font>
      <b/>
      <sz val="11"/>
      <color rgb="FF008000"/>
      <name val="Arial"/>
      <family val="2"/>
    </font>
    <font>
      <sz val="9"/>
      <color rgb="FF404040"/>
      <name val="Arial"/>
      <family val="2"/>
    </font>
    <font>
      <b/>
      <sz val="11"/>
      <color rgb="FF000000"/>
      <name val="Arial"/>
      <family val="2"/>
    </font>
    <font>
      <b/>
      <sz val="11"/>
      <color rgb="FF0000FF"/>
      <name val="Arial"/>
      <family val="2"/>
    </font>
    <font>
      <b/>
      <i/>
      <sz val="9"/>
      <color rgb="FF000000"/>
      <name val="Arial"/>
      <family val="2"/>
    </font>
    <font>
      <sz val="9"/>
      <color rgb="FFB0B0B0"/>
      <name val="Arial"/>
      <family val="2"/>
    </font>
    <font>
      <sz val="9"/>
      <color rgb="FF0000FF"/>
      <name val="Arial"/>
      <family val="2"/>
    </font>
    <font>
      <b/>
      <sz val="10"/>
      <color rgb="FFB3202C"/>
      <name val="Arial"/>
      <family val="2"/>
    </font>
    <font>
      <b/>
      <sz val="9"/>
      <color rgb="FFB3202C"/>
      <name val="Arial"/>
      <family val="2"/>
    </font>
    <font>
      <sz val="9"/>
      <color rgb="FF606060"/>
      <name val="Arial"/>
      <family val="2"/>
    </font>
    <font>
      <i/>
      <sz val="8"/>
      <color rgb="FF6E6E6E"/>
      <name val="Arial"/>
      <family val="2"/>
    </font>
    <font>
      <b/>
      <sz val="9"/>
      <color rgb="FF008000"/>
      <name val="Arial"/>
      <family val="2"/>
    </font>
    <font>
      <sz val="9"/>
      <color rgb="FF8A8A8A"/>
      <name val="Arial"/>
      <family val="2"/>
    </font>
    <font>
      <sz val="10"/>
      <color rgb="FF000000"/>
      <name val="Arial"/>
      <family val="2"/>
    </font>
    <font>
      <b/>
      <sz val="10"/>
      <color rgb="FF000000"/>
      <name val="Arial"/>
      <family val="2"/>
    </font>
    <font>
      <b/>
      <sz val="9"/>
      <color rgb="FFFFFFFF"/>
      <name val="Arial"/>
      <family val="2"/>
    </font>
    <font>
      <sz val="8"/>
      <color rgb="FF7A7A7A"/>
      <name val="Arial"/>
      <family val="2"/>
    </font>
    <font>
      <b/>
      <sz val="12"/>
      <color rgb="FFB3202C"/>
      <name val="Arial"/>
      <family val="2"/>
    </font>
    <font>
      <sz val="10"/>
      <color rgb="FFB3202C"/>
      <name val="Arial"/>
      <family val="2"/>
    </font>
    <font>
      <sz val="9"/>
      <color rgb="FF6E6E6E"/>
      <name val="Arial"/>
      <family val="2"/>
    </font>
    <font>
      <sz val="8"/>
      <color rgb="FF404040"/>
      <name val="Arial"/>
      <family val="2"/>
    </font>
    <font>
      <b/>
      <sz val="10"/>
      <color rgb="FF0000FF"/>
      <name val="Arial"/>
      <family val="2"/>
    </font>
    <font>
      <b/>
      <sz val="12"/>
      <color rgb="FF16305B"/>
      <name val="Arial"/>
      <family val="2"/>
    </font>
    <font>
      <b/>
      <sz val="12"/>
      <color rgb="FF44688F"/>
      <name val="Arial"/>
      <family val="2"/>
    </font>
    <font>
      <sz val="8"/>
      <color rgb="FF4A4A4A"/>
      <name val="Arial"/>
      <family val="2"/>
    </font>
    <font>
      <b/>
      <sz val="10"/>
      <color rgb="FFFFFFFF"/>
      <name val="Arial"/>
      <family val="2"/>
    </font>
    <font>
      <b/>
      <sz val="13"/>
      <color rgb="FFFFFFFF"/>
      <name val="Arial"/>
      <family val="2"/>
    </font>
    <font>
      <b/>
      <sz val="13"/>
      <color rgb="FFB3202C"/>
      <name val="Arial"/>
      <family val="2"/>
    </font>
    <font>
      <sz val="9"/>
      <color rgb="FF008000"/>
      <name val="Arial"/>
      <family val="2"/>
    </font>
    <font>
      <b/>
      <sz val="9"/>
      <color rgb="FF44688F"/>
      <name val="Arial"/>
      <family val="2"/>
    </font>
    <font>
      <b/>
      <sz val="10"/>
      <color rgb="FF44688F"/>
      <name val="Arial"/>
      <family val="2"/>
    </font>
    <font>
      <sz val="10"/>
      <color rgb="FF0000FF"/>
      <name val="Arial"/>
      <family val="2"/>
    </font>
    <font>
      <b/>
      <sz val="12"/>
      <color rgb="FFB35C00"/>
      <name val="Arial"/>
      <family val="2"/>
    </font>
    <font>
      <b/>
      <sz val="12"/>
      <color rgb="FFC00000"/>
      <name val="Arial"/>
      <family val="2"/>
    </font>
    <font>
      <b/>
      <sz val="12"/>
      <color rgb="FF000000"/>
      <name val="Arial"/>
      <family val="2"/>
    </font>
    <font>
      <sz val="9"/>
      <color rgb="FF909090"/>
      <name val="Arial"/>
      <family val="2"/>
    </font>
    <font>
      <b/>
      <sz val="9"/>
      <color rgb="FF7A7A7A"/>
      <name val="Arial"/>
      <family val="2"/>
    </font>
    <font>
      <sz val="9"/>
      <name val="宋体"/>
      <family val="3"/>
      <charset val="134"/>
    </font>
  </fonts>
  <fills count="16">
    <fill>
      <patternFill patternType="none"/>
    </fill>
    <fill>
      <patternFill patternType="gray125"/>
    </fill>
    <fill>
      <patternFill patternType="solid">
        <fgColor rgb="FF16305B"/>
        <bgColor rgb="FF3D3D3D"/>
      </patternFill>
    </fill>
    <fill>
      <patternFill patternType="solid">
        <fgColor rgb="FFF4F7FB"/>
        <bgColor rgb="FFF5F5F5"/>
      </patternFill>
    </fill>
    <fill>
      <patternFill patternType="solid">
        <fgColor rgb="FF2E5C8A"/>
        <bgColor rgb="FF44688F"/>
      </patternFill>
    </fill>
    <fill>
      <patternFill patternType="solid">
        <fgColor rgb="FFEAF1FB"/>
        <bgColor rgb="FFE6EAF0"/>
      </patternFill>
    </fill>
    <fill>
      <patternFill patternType="solid">
        <fgColor rgb="FFFDEFE0"/>
        <bgColor rgb="FFFFF4D6"/>
      </patternFill>
    </fill>
    <fill>
      <patternFill patternType="solid">
        <fgColor rgb="FFDCE6F2"/>
        <bgColor rgb="FFE6EAF0"/>
      </patternFill>
    </fill>
    <fill>
      <patternFill patternType="solid">
        <fgColor rgb="FFE4F0E2"/>
        <bgColor rgb="FFE6EAF0"/>
      </patternFill>
    </fill>
    <fill>
      <patternFill patternType="solid">
        <fgColor rgb="FFB35C00"/>
        <bgColor rgb="FFC0392B"/>
      </patternFill>
    </fill>
    <fill>
      <patternFill patternType="solid">
        <fgColor rgb="FFF7E2CC"/>
        <bgColor rgb="FFFBE7EA"/>
      </patternFill>
    </fill>
    <fill>
      <patternFill patternType="solid">
        <fgColor rgb="FFFBE7EA"/>
        <bgColor rgb="FFFDEFE0"/>
      </patternFill>
    </fill>
    <fill>
      <patternFill patternType="solid">
        <fgColor rgb="FFFFF4D6"/>
        <bgColor rgb="FFFDEFE0"/>
      </patternFill>
    </fill>
    <fill>
      <patternFill patternType="solid">
        <fgColor rgb="FFF5F5F5"/>
        <bgColor rgb="FFF4F7FB"/>
      </patternFill>
    </fill>
    <fill>
      <patternFill patternType="solid">
        <fgColor rgb="FFFFFFFF"/>
        <bgColor rgb="FFF4F7FB"/>
      </patternFill>
    </fill>
    <fill>
      <patternFill patternType="solid">
        <fgColor rgb="FF44688F"/>
        <bgColor rgb="FF2E5C8A"/>
      </patternFill>
    </fill>
  </fills>
  <borders count="5">
    <border>
      <left/>
      <right/>
      <top/>
      <bottom/>
      <diagonal/>
    </border>
    <border>
      <left style="thin">
        <color rgb="FFC9D2DD"/>
      </left>
      <right style="thin">
        <color rgb="FFC9D2DD"/>
      </right>
      <top style="thin">
        <color rgb="FFC9D2DD"/>
      </top>
      <bottom style="thin">
        <color rgb="FFC9D2DD"/>
      </bottom>
      <diagonal/>
    </border>
    <border>
      <left style="thin">
        <color rgb="FFC9D2DD"/>
      </left>
      <right/>
      <top style="thin">
        <color rgb="FFC9D2DD"/>
      </top>
      <bottom style="thin">
        <color rgb="FFC9D2DD"/>
      </bottom>
      <diagonal/>
    </border>
    <border>
      <left style="thin">
        <color rgb="FFC9D2DD"/>
      </left>
      <right style="thin">
        <color rgb="FFC9D2DD"/>
      </right>
      <top style="thin">
        <color rgb="FFC9D2DD"/>
      </top>
      <bottom style="medium">
        <color rgb="FF44688F"/>
      </bottom>
      <diagonal/>
    </border>
    <border>
      <left style="thin">
        <color rgb="FFC9D2DD"/>
      </left>
      <right style="thin">
        <color rgb="FFC9D2DD"/>
      </right>
      <top style="thin">
        <color rgb="FFC9D2DD"/>
      </top>
      <bottom style="medium">
        <color rgb="FFB35C00"/>
      </bottom>
      <diagonal/>
    </border>
  </borders>
  <cellStyleXfs count="1">
    <xf numFmtId="0" fontId="0" fillId="0" borderId="0"/>
  </cellStyleXfs>
  <cellXfs count="203">
    <xf numFmtId="0" fontId="0" fillId="0" borderId="0" xfId="0"/>
    <xf numFmtId="0" fontId="6" fillId="0" borderId="2" xfId="0" applyFont="1" applyBorder="1" applyAlignment="1">
      <alignment horizontal="left" vertical="center" wrapText="1" indent="1"/>
    </xf>
    <xf numFmtId="0" fontId="7" fillId="10" borderId="4" xfId="0" applyFont="1" applyFill="1" applyBorder="1" applyAlignment="1">
      <alignment horizontal="center" vertical="center" wrapText="1"/>
    </xf>
    <xf numFmtId="0" fontId="3" fillId="9" borderId="0" xfId="0" applyFont="1" applyFill="1" applyAlignment="1">
      <alignment horizontal="left" vertical="center" indent="1"/>
    </xf>
    <xf numFmtId="0" fontId="6" fillId="0" borderId="2" xfId="0" applyFont="1" applyBorder="1" applyAlignment="1">
      <alignment horizontal="center" vertical="center" wrapText="1"/>
    </xf>
    <xf numFmtId="0" fontId="11" fillId="0" borderId="2" xfId="0" applyFont="1" applyBorder="1" applyAlignment="1">
      <alignment horizontal="center" vertical="center"/>
    </xf>
    <xf numFmtId="0" fontId="6" fillId="0" borderId="2" xfId="0" applyFont="1" applyBorder="1" applyAlignment="1">
      <alignment horizontal="left" vertical="center" wrapText="1"/>
    </xf>
    <xf numFmtId="0" fontId="8" fillId="7" borderId="3" xfId="0" applyFont="1" applyFill="1" applyBorder="1" applyAlignment="1">
      <alignment horizontal="center" vertical="center" wrapText="1"/>
    </xf>
    <xf numFmtId="0" fontId="4" fillId="8" borderId="0" xfId="0" applyFont="1" applyFill="1" applyAlignment="1">
      <alignment horizontal="left" vertical="center" wrapText="1" indent="1"/>
    </xf>
    <xf numFmtId="0" fontId="9" fillId="0" borderId="2" xfId="0" applyFont="1" applyBorder="1" applyAlignment="1">
      <alignment horizontal="left" vertical="center" indent="1"/>
    </xf>
    <xf numFmtId="0" fontId="6" fillId="0" borderId="2" xfId="0" applyFont="1" applyBorder="1" applyAlignment="1">
      <alignment horizontal="left" vertical="center" indent="1"/>
    </xf>
    <xf numFmtId="0" fontId="4" fillId="3" borderId="0" xfId="0" applyFont="1" applyFill="1" applyAlignment="1">
      <alignment horizontal="left" vertical="center" wrapText="1" indent="1"/>
    </xf>
    <xf numFmtId="0" fontId="3" fillId="4" borderId="0" xfId="0" applyFont="1" applyFill="1" applyAlignment="1">
      <alignment horizontal="left" vertical="center" indent="1"/>
    </xf>
    <xf numFmtId="0" fontId="2" fillId="3" borderId="0" xfId="0" applyFont="1" applyFill="1" applyAlignment="1">
      <alignment horizontal="left" vertical="center" wrapText="1" indent="1"/>
    </xf>
    <xf numFmtId="0" fontId="1" fillId="2" borderId="0" xfId="0" applyFont="1" applyFill="1" applyAlignment="1">
      <alignment horizontal="left" vertical="center" indent="1"/>
    </xf>
    <xf numFmtId="0" fontId="5" fillId="5" borderId="1" xfId="0" applyFont="1" applyFill="1" applyBorder="1" applyAlignment="1">
      <alignment horizontal="center" vertical="center"/>
    </xf>
    <xf numFmtId="0" fontId="7" fillId="6" borderId="1" xfId="0" applyFont="1" applyFill="1" applyBorder="1" applyAlignment="1">
      <alignment horizontal="center" vertical="center"/>
    </xf>
    <xf numFmtId="0" fontId="8" fillId="7" borderId="1" xfId="0" applyFont="1" applyFill="1" applyBorder="1" applyAlignment="1">
      <alignment horizontal="center" vertical="center"/>
    </xf>
    <xf numFmtId="0" fontId="6" fillId="3" borderId="1" xfId="0" applyFont="1" applyFill="1" applyBorder="1" applyAlignment="1">
      <alignment horizontal="center" vertical="center"/>
    </xf>
    <xf numFmtId="0" fontId="8" fillId="7" borderId="3" xfId="0" applyFont="1" applyFill="1" applyBorder="1" applyAlignment="1">
      <alignment horizontal="center" vertical="center" wrapText="1"/>
    </xf>
    <xf numFmtId="0" fontId="10" fillId="0" borderId="1" xfId="0" applyFont="1" applyBorder="1" applyAlignment="1">
      <alignment horizontal="center" vertical="center"/>
    </xf>
    <xf numFmtId="0" fontId="8" fillId="7" borderId="1" xfId="0" applyFont="1" applyFill="1" applyBorder="1" applyAlignment="1">
      <alignment horizontal="center" vertical="center" wrapText="1"/>
    </xf>
    <xf numFmtId="0" fontId="7" fillId="10" borderId="4" xfId="0" applyFont="1" applyFill="1" applyBorder="1" applyAlignment="1">
      <alignment horizontal="center" vertical="center" wrapText="1"/>
    </xf>
    <xf numFmtId="0" fontId="6" fillId="0" borderId="1" xfId="0" applyFont="1" applyBorder="1" applyAlignment="1">
      <alignment horizontal="left" vertical="center" indent="1"/>
    </xf>
    <xf numFmtId="176" fontId="12" fillId="0" borderId="1" xfId="0" applyNumberFormat="1" applyFont="1" applyBorder="1" applyAlignment="1">
      <alignment horizontal="center" vertical="center"/>
    </xf>
    <xf numFmtId="0" fontId="6" fillId="6" borderId="1" xfId="0" applyFont="1" applyFill="1" applyBorder="1" applyAlignment="1">
      <alignment horizontal="left" vertical="center" indent="1"/>
    </xf>
    <xf numFmtId="176" fontId="13" fillId="6" borderId="1" xfId="0" applyNumberFormat="1" applyFont="1" applyFill="1" applyBorder="1" applyAlignment="1">
      <alignment horizontal="center" vertical="center"/>
    </xf>
    <xf numFmtId="0" fontId="14" fillId="0" borderId="1" xfId="0" applyFont="1" applyBorder="1" applyAlignment="1">
      <alignment horizontal="center" vertical="center"/>
    </xf>
    <xf numFmtId="0" fontId="6" fillId="0" borderId="1" xfId="0" applyFont="1" applyBorder="1" applyAlignment="1">
      <alignment horizontal="left" vertical="center" wrapText="1" indent="1"/>
    </xf>
    <xf numFmtId="0" fontId="15" fillId="0" borderId="1" xfId="0" applyFont="1" applyBorder="1" applyAlignment="1">
      <alignment horizontal="center" vertical="center"/>
    </xf>
    <xf numFmtId="177" fontId="16" fillId="0" borderId="1" xfId="0" applyNumberFormat="1" applyFont="1" applyBorder="1" applyAlignment="1">
      <alignment horizontal="center" vertical="center"/>
    </xf>
    <xf numFmtId="0" fontId="17" fillId="0" borderId="1" xfId="0" applyFont="1" applyBorder="1" applyAlignment="1">
      <alignment horizontal="center" vertical="center"/>
    </xf>
    <xf numFmtId="0" fontId="6" fillId="6" borderId="1" xfId="0" applyFont="1" applyFill="1" applyBorder="1" applyAlignment="1">
      <alignment horizontal="left" vertical="center" wrapText="1" indent="1"/>
    </xf>
    <xf numFmtId="177" fontId="16" fillId="6" borderId="1" xfId="0" applyNumberFormat="1" applyFont="1" applyFill="1" applyBorder="1" applyAlignment="1">
      <alignment horizontal="center" vertical="center"/>
    </xf>
    <xf numFmtId="178" fontId="18" fillId="0" borderId="1" xfId="0" applyNumberFormat="1" applyFont="1" applyBorder="1" applyAlignment="1">
      <alignment horizontal="center" vertical="center"/>
    </xf>
    <xf numFmtId="0" fontId="8" fillId="0" borderId="1" xfId="0" applyFont="1" applyBorder="1" applyAlignment="1">
      <alignment horizontal="center" vertical="center"/>
    </xf>
    <xf numFmtId="177" fontId="19" fillId="0" borderId="1" xfId="0" applyNumberFormat="1" applyFont="1" applyBorder="1" applyAlignment="1">
      <alignment horizontal="center" vertical="center"/>
    </xf>
    <xf numFmtId="179" fontId="18" fillId="0" borderId="1" xfId="0" applyNumberFormat="1" applyFont="1" applyBorder="1" applyAlignment="1">
      <alignment horizontal="center" vertical="center"/>
    </xf>
    <xf numFmtId="0" fontId="20" fillId="0" borderId="1" xfId="0" applyFont="1" applyBorder="1" applyAlignment="1">
      <alignment horizontal="center" vertical="center" wrapText="1"/>
    </xf>
    <xf numFmtId="0" fontId="21" fillId="11" borderId="1" xfId="0" applyFont="1" applyFill="1" applyBorder="1" applyAlignment="1">
      <alignment horizontal="center" vertical="center"/>
    </xf>
    <xf numFmtId="0" fontId="9" fillId="12" borderId="1" xfId="0" applyFont="1" applyFill="1" applyBorder="1" applyAlignment="1">
      <alignment horizontal="left" vertical="center" wrapText="1"/>
    </xf>
    <xf numFmtId="180" fontId="22" fillId="12" borderId="1" xfId="0" applyNumberFormat="1" applyFont="1" applyFill="1" applyBorder="1" applyAlignment="1">
      <alignment horizontal="center" vertical="center"/>
    </xf>
    <xf numFmtId="0" fontId="6" fillId="0" borderId="1" xfId="0" applyFont="1" applyBorder="1" applyAlignment="1">
      <alignment horizontal="center" vertical="center"/>
    </xf>
    <xf numFmtId="0" fontId="9" fillId="6" borderId="1" xfId="0" applyFont="1" applyFill="1" applyBorder="1" applyAlignment="1">
      <alignment horizontal="left" vertical="center" wrapText="1"/>
    </xf>
    <xf numFmtId="180" fontId="22" fillId="6" borderId="1" xfId="0" applyNumberFormat="1" applyFont="1" applyFill="1" applyBorder="1" applyAlignment="1">
      <alignment horizontal="center" vertical="center"/>
    </xf>
    <xf numFmtId="0" fontId="6" fillId="6" borderId="1" xfId="0" applyFont="1" applyFill="1" applyBorder="1" applyAlignment="1">
      <alignment horizontal="center" vertical="center"/>
    </xf>
    <xf numFmtId="180" fontId="24" fillId="6" borderId="1" xfId="0" applyNumberFormat="1" applyFont="1" applyFill="1" applyBorder="1" applyAlignment="1">
      <alignment horizontal="center" vertical="center"/>
    </xf>
    <xf numFmtId="1" fontId="24" fillId="12" borderId="1" xfId="0" applyNumberFormat="1" applyFont="1" applyFill="1" applyBorder="1" applyAlignment="1">
      <alignment horizontal="center" vertical="center"/>
    </xf>
    <xf numFmtId="0" fontId="9" fillId="3" borderId="1" xfId="0" applyFont="1" applyFill="1" applyBorder="1" applyAlignment="1">
      <alignment horizontal="left" vertical="center" wrapText="1"/>
    </xf>
    <xf numFmtId="181" fontId="25" fillId="3" borderId="1" xfId="0" applyNumberFormat="1" applyFont="1" applyFill="1" applyBorder="1" applyAlignment="1">
      <alignment horizontal="center" vertical="center"/>
    </xf>
    <xf numFmtId="176" fontId="25" fillId="6" borderId="1" xfId="0" applyNumberFormat="1" applyFont="1" applyFill="1" applyBorder="1" applyAlignment="1">
      <alignment horizontal="center" vertical="center"/>
    </xf>
    <xf numFmtId="177" fontId="24" fillId="3" borderId="1" xfId="0" applyNumberFormat="1" applyFont="1" applyFill="1" applyBorder="1" applyAlignment="1">
      <alignment horizontal="center" vertical="center"/>
    </xf>
    <xf numFmtId="177" fontId="22" fillId="12" borderId="1" xfId="0" applyNumberFormat="1" applyFont="1" applyFill="1" applyBorder="1" applyAlignment="1">
      <alignment horizontal="center" vertical="center"/>
    </xf>
    <xf numFmtId="0" fontId="8" fillId="13" borderId="1" xfId="0" applyFont="1" applyFill="1" applyBorder="1" applyAlignment="1">
      <alignment horizontal="center" vertical="center"/>
    </xf>
    <xf numFmtId="0" fontId="26" fillId="13" borderId="1" xfId="0" applyFont="1" applyFill="1" applyBorder="1" applyAlignment="1">
      <alignment horizontal="center" vertical="center"/>
    </xf>
    <xf numFmtId="177" fontId="27" fillId="13" borderId="1" xfId="0" applyNumberFormat="1" applyFont="1" applyFill="1" applyBorder="1" applyAlignment="1">
      <alignment horizontal="center" vertical="center"/>
    </xf>
    <xf numFmtId="177" fontId="28" fillId="13" borderId="1" xfId="0" applyNumberFormat="1" applyFont="1" applyFill="1" applyBorder="1" applyAlignment="1">
      <alignment horizontal="center" vertical="center"/>
    </xf>
    <xf numFmtId="177" fontId="6" fillId="13" borderId="1" xfId="0" applyNumberFormat="1" applyFont="1" applyFill="1" applyBorder="1" applyAlignment="1">
      <alignment horizontal="center" vertical="center"/>
    </xf>
    <xf numFmtId="182" fontId="6" fillId="13" borderId="1" xfId="0" applyNumberFormat="1" applyFont="1" applyFill="1" applyBorder="1" applyAlignment="1">
      <alignment horizontal="center" vertical="center"/>
    </xf>
    <xf numFmtId="177" fontId="29" fillId="12" borderId="1" xfId="0" applyNumberFormat="1" applyFont="1" applyFill="1" applyBorder="1" applyAlignment="1">
      <alignment horizontal="center" vertical="center"/>
    </xf>
    <xf numFmtId="177" fontId="6" fillId="0" borderId="1" xfId="0" applyNumberFormat="1" applyFont="1" applyBorder="1" applyAlignment="1">
      <alignment horizontal="center" vertical="center"/>
    </xf>
    <xf numFmtId="182" fontId="6" fillId="0" borderId="1" xfId="0" applyNumberFormat="1" applyFont="1" applyBorder="1" applyAlignment="1">
      <alignment horizontal="center" vertical="center"/>
    </xf>
    <xf numFmtId="177" fontId="27" fillId="0" borderId="1" xfId="0" applyNumberFormat="1" applyFont="1" applyBorder="1" applyAlignment="1">
      <alignment horizontal="center" vertical="center"/>
    </xf>
    <xf numFmtId="177" fontId="30" fillId="0" borderId="1" xfId="0" applyNumberFormat="1" applyFont="1" applyBorder="1" applyAlignment="1">
      <alignment horizontal="center" vertical="center"/>
    </xf>
    <xf numFmtId="0" fontId="6" fillId="13" borderId="1" xfId="0" applyFont="1" applyFill="1" applyBorder="1" applyAlignment="1">
      <alignment horizontal="center" vertical="center"/>
    </xf>
    <xf numFmtId="177" fontId="8" fillId="13" borderId="1" xfId="0" applyNumberFormat="1" applyFont="1" applyFill="1" applyBorder="1" applyAlignment="1">
      <alignment horizontal="center" vertical="center"/>
    </xf>
    <xf numFmtId="177" fontId="30" fillId="13" borderId="1" xfId="0" applyNumberFormat="1" applyFont="1" applyFill="1" applyBorder="1" applyAlignment="1">
      <alignment horizontal="center" vertical="center"/>
    </xf>
    <xf numFmtId="177" fontId="31" fillId="0" borderId="1" xfId="0" applyNumberFormat="1" applyFont="1" applyBorder="1" applyAlignment="1">
      <alignment horizontal="center" vertical="center"/>
    </xf>
    <xf numFmtId="182" fontId="31" fillId="0" borderId="1" xfId="0" applyNumberFormat="1" applyFont="1" applyBorder="1" applyAlignment="1">
      <alignment horizontal="center" vertical="center"/>
    </xf>
    <xf numFmtId="177" fontId="7" fillId="0" borderId="1" xfId="0" applyNumberFormat="1" applyFont="1" applyBorder="1" applyAlignment="1">
      <alignment horizontal="center" vertical="center"/>
    </xf>
    <xf numFmtId="9" fontId="33" fillId="12" borderId="1" xfId="0" applyNumberFormat="1" applyFont="1" applyFill="1" applyBorder="1" applyAlignment="1">
      <alignment horizontal="center" vertical="center"/>
    </xf>
    <xf numFmtId="9" fontId="34" fillId="0" borderId="1" xfId="0" applyNumberFormat="1" applyFont="1" applyBorder="1" applyAlignment="1">
      <alignment horizontal="center" vertical="center"/>
    </xf>
    <xf numFmtId="177" fontId="35" fillId="0" borderId="1" xfId="0" applyNumberFormat="1" applyFont="1" applyBorder="1" applyAlignment="1">
      <alignment horizontal="center" vertical="center"/>
    </xf>
    <xf numFmtId="0" fontId="9" fillId="0" borderId="1" xfId="0" applyFont="1" applyBorder="1" applyAlignment="1">
      <alignment horizontal="center" vertical="center"/>
    </xf>
    <xf numFmtId="177" fontId="36" fillId="0" borderId="1" xfId="0" applyNumberFormat="1" applyFont="1" applyBorder="1" applyAlignment="1">
      <alignment horizontal="center" vertical="center"/>
    </xf>
    <xf numFmtId="0" fontId="37" fillId="4" borderId="1" xfId="0" applyFont="1" applyFill="1" applyBorder="1" applyAlignment="1">
      <alignment horizontal="center" vertical="center"/>
    </xf>
    <xf numFmtId="0" fontId="38" fillId="0" borderId="1" xfId="0" applyFont="1" applyBorder="1" applyAlignment="1">
      <alignment horizontal="center" vertical="center"/>
    </xf>
    <xf numFmtId="177" fontId="39" fillId="8" borderId="1" xfId="0" applyNumberFormat="1" applyFont="1" applyFill="1" applyBorder="1" applyAlignment="1">
      <alignment horizontal="center" vertical="center"/>
    </xf>
    <xf numFmtId="177" fontId="40" fillId="0" borderId="1" xfId="0" applyNumberFormat="1" applyFont="1" applyBorder="1" applyAlignment="1">
      <alignment horizontal="center" vertical="center"/>
    </xf>
    <xf numFmtId="177" fontId="14" fillId="0" borderId="1" xfId="0" applyNumberFormat="1" applyFont="1" applyBorder="1" applyAlignment="1">
      <alignment horizontal="center" vertical="center"/>
    </xf>
    <xf numFmtId="177" fontId="34" fillId="0" borderId="1" xfId="0" applyNumberFormat="1" applyFont="1" applyBorder="1" applyAlignment="1">
      <alignment horizontal="center" vertical="center"/>
    </xf>
    <xf numFmtId="177" fontId="9" fillId="0" borderId="1" xfId="0" applyNumberFormat="1" applyFont="1" applyBorder="1" applyAlignment="1">
      <alignment horizontal="center" vertical="center"/>
    </xf>
    <xf numFmtId="183" fontId="9" fillId="0" borderId="1" xfId="0" applyNumberFormat="1" applyFont="1" applyBorder="1" applyAlignment="1">
      <alignment horizontal="center" vertical="center"/>
    </xf>
    <xf numFmtId="178" fontId="30" fillId="0" borderId="1" xfId="0" applyNumberFormat="1" applyFont="1" applyBorder="1" applyAlignment="1">
      <alignment horizontal="center" vertical="center"/>
    </xf>
    <xf numFmtId="0" fontId="37" fillId="4" borderId="1" xfId="0" applyFont="1" applyFill="1" applyBorder="1" applyAlignment="1">
      <alignment horizontal="center" vertical="center" wrapText="1"/>
    </xf>
    <xf numFmtId="0" fontId="9" fillId="8" borderId="1" xfId="0" applyFont="1" applyFill="1" applyBorder="1" applyAlignment="1">
      <alignment horizontal="center" vertical="center"/>
    </xf>
    <xf numFmtId="183" fontId="29" fillId="8" borderId="1" xfId="0" applyNumberFormat="1" applyFont="1" applyFill="1" applyBorder="1" applyAlignment="1">
      <alignment horizontal="center" vertical="center"/>
    </xf>
    <xf numFmtId="0" fontId="9" fillId="12" borderId="1" xfId="0" applyFont="1" applyFill="1" applyBorder="1" applyAlignment="1">
      <alignment horizontal="left" vertical="center" indent="1"/>
    </xf>
    <xf numFmtId="177" fontId="43" fillId="12" borderId="1" xfId="0" applyNumberFormat="1" applyFont="1" applyFill="1" applyBorder="1" applyAlignment="1">
      <alignment horizontal="center" vertical="center"/>
    </xf>
    <xf numFmtId="0" fontId="9" fillId="8" borderId="1" xfId="0" applyFont="1" applyFill="1" applyBorder="1" applyAlignment="1">
      <alignment horizontal="left" vertical="center" wrapText="1" indent="1"/>
    </xf>
    <xf numFmtId="0" fontId="37" fillId="9" borderId="1" xfId="0" applyFont="1" applyFill="1" applyBorder="1" applyAlignment="1">
      <alignment horizontal="center" vertical="center"/>
    </xf>
    <xf numFmtId="177" fontId="39" fillId="6" borderId="1" xfId="0" applyNumberFormat="1" applyFont="1" applyFill="1" applyBorder="1" applyAlignment="1">
      <alignment horizontal="center" vertical="center"/>
    </xf>
    <xf numFmtId="9" fontId="44" fillId="8" borderId="1" xfId="0" applyNumberFormat="1" applyFont="1" applyFill="1" applyBorder="1" applyAlignment="1">
      <alignment horizontal="center" vertical="center"/>
    </xf>
    <xf numFmtId="9" fontId="39" fillId="6" borderId="1" xfId="0" applyNumberFormat="1" applyFont="1" applyFill="1" applyBorder="1" applyAlignment="1">
      <alignment horizontal="center" vertical="center"/>
    </xf>
    <xf numFmtId="0" fontId="8" fillId="3" borderId="1" xfId="0" applyFont="1" applyFill="1" applyBorder="1" applyAlignment="1">
      <alignment horizontal="left" vertical="center" wrapText="1" indent="1"/>
    </xf>
    <xf numFmtId="180" fontId="45" fillId="12" borderId="1" xfId="0" applyNumberFormat="1" applyFont="1" applyFill="1" applyBorder="1" applyAlignment="1">
      <alignment horizontal="center" vertical="center"/>
    </xf>
    <xf numFmtId="0" fontId="43" fillId="5" borderId="1" xfId="0" applyFont="1" applyFill="1" applyBorder="1" applyAlignment="1">
      <alignment horizontal="center" vertical="center"/>
    </xf>
    <xf numFmtId="0" fontId="38" fillId="0" borderId="1" xfId="0" applyFont="1" applyBorder="1" applyAlignment="1">
      <alignment horizontal="center" vertical="center" wrapText="1"/>
    </xf>
    <xf numFmtId="177" fontId="45" fillId="12" borderId="1" xfId="0" applyNumberFormat="1" applyFont="1" applyFill="1" applyBorder="1" applyAlignment="1">
      <alignment horizontal="center" vertical="center"/>
    </xf>
    <xf numFmtId="1" fontId="45" fillId="12" borderId="1" xfId="0" applyNumberFormat="1" applyFont="1" applyFill="1" applyBorder="1" applyAlignment="1">
      <alignment horizontal="center" vertical="center"/>
    </xf>
    <xf numFmtId="184" fontId="45" fillId="12" borderId="1" xfId="0" applyNumberFormat="1" applyFont="1" applyFill="1" applyBorder="1" applyAlignment="1">
      <alignment horizontal="center" vertical="center"/>
    </xf>
    <xf numFmtId="9" fontId="45" fillId="12" borderId="1" xfId="0" applyNumberFormat="1" applyFont="1" applyFill="1" applyBorder="1" applyAlignment="1">
      <alignment horizontal="center" vertical="center"/>
    </xf>
    <xf numFmtId="0" fontId="47" fillId="2" borderId="1" xfId="0" applyFont="1" applyFill="1" applyBorder="1" applyAlignment="1">
      <alignment horizontal="left" vertical="center" wrapText="1" indent="1"/>
    </xf>
    <xf numFmtId="9" fontId="48" fillId="2" borderId="1" xfId="0" applyNumberFormat="1" applyFont="1" applyFill="1" applyBorder="1" applyAlignment="1">
      <alignment horizontal="center" vertical="center"/>
    </xf>
    <xf numFmtId="177" fontId="49" fillId="8" borderId="1" xfId="0" applyNumberFormat="1" applyFont="1" applyFill="1" applyBorder="1" applyAlignment="1">
      <alignment horizontal="center" vertical="center"/>
    </xf>
    <xf numFmtId="177" fontId="49" fillId="6" borderId="1" xfId="0" applyNumberFormat="1" applyFont="1" applyFill="1" applyBorder="1" applyAlignment="1">
      <alignment horizontal="center" vertical="center"/>
    </xf>
    <xf numFmtId="9" fontId="49" fillId="6" borderId="1" xfId="0" applyNumberFormat="1" applyFont="1" applyFill="1" applyBorder="1" applyAlignment="1">
      <alignment horizontal="center" vertical="center"/>
    </xf>
    <xf numFmtId="0" fontId="27" fillId="13" borderId="1" xfId="0" applyFont="1" applyFill="1" applyBorder="1" applyAlignment="1">
      <alignment horizontal="center" vertical="center"/>
    </xf>
    <xf numFmtId="177" fontId="50" fillId="0" borderId="1" xfId="0" applyNumberFormat="1" applyFont="1" applyBorder="1" applyAlignment="1">
      <alignment horizontal="center" vertical="center"/>
    </xf>
    <xf numFmtId="185" fontId="51" fillId="0" borderId="1" xfId="0" applyNumberFormat="1" applyFont="1" applyBorder="1" applyAlignment="1">
      <alignment horizontal="center" vertical="center"/>
    </xf>
    <xf numFmtId="179" fontId="17" fillId="0" borderId="1" xfId="0" applyNumberFormat="1" applyFont="1" applyBorder="1" applyAlignment="1">
      <alignment horizontal="center" vertical="center"/>
    </xf>
    <xf numFmtId="185" fontId="52" fillId="0" borderId="1" xfId="0" applyNumberFormat="1" applyFont="1" applyBorder="1" applyAlignment="1">
      <alignment horizontal="center" vertical="center"/>
    </xf>
    <xf numFmtId="177" fontId="29" fillId="6" borderId="1" xfId="0" applyNumberFormat="1" applyFont="1" applyFill="1" applyBorder="1" applyAlignment="1">
      <alignment horizontal="center" vertical="center"/>
    </xf>
    <xf numFmtId="0" fontId="37" fillId="15" borderId="1" xfId="0" applyFont="1" applyFill="1" applyBorder="1" applyAlignment="1">
      <alignment horizontal="left" vertical="center" indent="1"/>
    </xf>
    <xf numFmtId="177" fontId="53" fillId="0" borderId="1" xfId="0" applyNumberFormat="1" applyFont="1" applyBorder="1" applyAlignment="1">
      <alignment horizontal="center" vertical="center"/>
    </xf>
    <xf numFmtId="177" fontId="24" fillId="12" borderId="1" xfId="0" applyNumberFormat="1" applyFont="1" applyFill="1" applyBorder="1" applyAlignment="1">
      <alignment horizontal="center" vertical="center"/>
    </xf>
    <xf numFmtId="177" fontId="29" fillId="0" borderId="1" xfId="0" applyNumberFormat="1" applyFont="1" applyBorder="1" applyAlignment="1">
      <alignment horizontal="center" vertical="center"/>
    </xf>
    <xf numFmtId="179" fontId="29" fillId="0" borderId="1" xfId="0" applyNumberFormat="1" applyFont="1" applyBorder="1" applyAlignment="1">
      <alignment horizontal="center" vertical="center"/>
    </xf>
    <xf numFmtId="0" fontId="9" fillId="6" borderId="1" xfId="0" applyFont="1" applyFill="1" applyBorder="1" applyAlignment="1">
      <alignment horizontal="left" vertical="center" wrapText="1" indent="1"/>
    </xf>
    <xf numFmtId="0" fontId="9" fillId="0" borderId="1" xfId="0" applyFont="1" applyBorder="1" applyAlignment="1">
      <alignment horizontal="left" vertical="center" wrapText="1" indent="1"/>
    </xf>
    <xf numFmtId="177" fontId="24" fillId="0" borderId="1" xfId="0" applyNumberFormat="1" applyFont="1" applyBorder="1" applyAlignment="1">
      <alignment horizontal="center" vertical="center"/>
    </xf>
    <xf numFmtId="177" fontId="25" fillId="12" borderId="1" xfId="0" applyNumberFormat="1" applyFont="1" applyFill="1" applyBorder="1" applyAlignment="1">
      <alignment horizontal="center" vertical="center"/>
    </xf>
    <xf numFmtId="0" fontId="54" fillId="6" borderId="1" xfId="0" applyFont="1" applyFill="1" applyBorder="1" applyAlignment="1">
      <alignment horizontal="center" vertical="center"/>
    </xf>
    <xf numFmtId="9" fontId="9" fillId="12" borderId="1" xfId="0" applyNumberFormat="1" applyFont="1" applyFill="1" applyBorder="1" applyAlignment="1">
      <alignment horizontal="center" vertical="center"/>
    </xf>
    <xf numFmtId="177" fontId="11" fillId="8" borderId="1" xfId="0" applyNumberFormat="1" applyFont="1" applyFill="1" applyBorder="1" applyAlignment="1">
      <alignment horizontal="center" vertical="center"/>
    </xf>
    <xf numFmtId="177" fontId="22" fillId="0" borderId="1" xfId="0" applyNumberFormat="1" applyFont="1" applyBorder="1" applyAlignment="1">
      <alignment horizontal="center" vertical="center"/>
    </xf>
    <xf numFmtId="179" fontId="55" fillId="8" borderId="1" xfId="0" applyNumberFormat="1" applyFont="1" applyFill="1" applyBorder="1" applyAlignment="1">
      <alignment horizontal="center" vertical="center"/>
    </xf>
    <xf numFmtId="0" fontId="7" fillId="6" borderId="1" xfId="0" applyFont="1" applyFill="1" applyBorder="1" applyAlignment="1">
      <alignment horizontal="left" vertical="center" wrapText="1" indent="1"/>
    </xf>
    <xf numFmtId="176" fontId="45" fillId="12" borderId="1" xfId="0" applyNumberFormat="1" applyFont="1" applyFill="1" applyBorder="1" applyAlignment="1">
      <alignment horizontal="center" vertical="center"/>
    </xf>
    <xf numFmtId="177" fontId="48" fillId="2" borderId="1" xfId="0" applyNumberFormat="1" applyFont="1" applyFill="1" applyBorder="1" applyAlignment="1">
      <alignment horizontal="center" vertical="center"/>
    </xf>
    <xf numFmtId="177" fontId="29" fillId="8" borderId="1" xfId="0" applyNumberFormat="1" applyFont="1" applyFill="1" applyBorder="1" applyAlignment="1">
      <alignment horizontal="center" vertical="center"/>
    </xf>
    <xf numFmtId="0" fontId="37" fillId="2" borderId="1" xfId="0" applyFont="1" applyFill="1" applyBorder="1" applyAlignment="1">
      <alignment horizontal="center" vertical="center" wrapText="1"/>
    </xf>
    <xf numFmtId="9" fontId="49" fillId="8" borderId="1" xfId="0" applyNumberFormat="1" applyFont="1" applyFill="1" applyBorder="1" applyAlignment="1">
      <alignment horizontal="center" vertical="center"/>
    </xf>
    <xf numFmtId="177" fontId="57" fillId="0" borderId="1" xfId="0" applyNumberFormat="1" applyFont="1" applyBorder="1" applyAlignment="1">
      <alignment horizontal="center" vertical="center"/>
    </xf>
    <xf numFmtId="178" fontId="21" fillId="0" borderId="1" xfId="0" applyNumberFormat="1" applyFont="1" applyBorder="1" applyAlignment="1">
      <alignment horizontal="center" vertical="center"/>
    </xf>
    <xf numFmtId="178" fontId="21" fillId="6" borderId="1" xfId="0" applyNumberFormat="1" applyFont="1" applyFill="1" applyBorder="1" applyAlignment="1">
      <alignment horizontal="center" vertical="center"/>
    </xf>
    <xf numFmtId="176" fontId="25" fillId="12" borderId="1" xfId="0" applyNumberFormat="1" applyFont="1" applyFill="1" applyBorder="1" applyAlignment="1">
      <alignment horizontal="center" vertical="center"/>
    </xf>
    <xf numFmtId="176" fontId="22" fillId="6" borderId="1" xfId="0" applyNumberFormat="1" applyFont="1" applyFill="1" applyBorder="1" applyAlignment="1">
      <alignment horizontal="center" vertical="center"/>
    </xf>
    <xf numFmtId="176" fontId="24" fillId="0" borderId="1" xfId="0" applyNumberFormat="1" applyFont="1" applyBorder="1" applyAlignment="1">
      <alignment horizontal="center" vertical="center"/>
    </xf>
    <xf numFmtId="177" fontId="24" fillId="6" borderId="1" xfId="0" applyNumberFormat="1" applyFont="1" applyFill="1" applyBorder="1" applyAlignment="1">
      <alignment horizontal="center" vertical="center"/>
    </xf>
    <xf numFmtId="177" fontId="11" fillId="0" borderId="1" xfId="0" applyNumberFormat="1" applyFont="1" applyBorder="1" applyAlignment="1">
      <alignment horizontal="center" vertical="center"/>
    </xf>
    <xf numFmtId="0" fontId="8" fillId="6" borderId="1" xfId="0" applyFont="1" applyFill="1" applyBorder="1" applyAlignment="1">
      <alignment horizontal="center" vertical="center"/>
    </xf>
    <xf numFmtId="0" fontId="6" fillId="0" borderId="1" xfId="0" applyFont="1" applyBorder="1" applyAlignment="1">
      <alignment horizontal="center" vertical="center" wrapText="1"/>
    </xf>
    <xf numFmtId="187" fontId="36" fillId="0" borderId="1" xfId="0" applyNumberFormat="1" applyFont="1" applyBorder="1" applyAlignment="1">
      <alignment horizontal="center" vertical="center"/>
    </xf>
    <xf numFmtId="187" fontId="29" fillId="0" borderId="1" xfId="0" applyNumberFormat="1" applyFont="1" applyBorder="1" applyAlignment="1">
      <alignment horizontal="center" vertical="center"/>
    </xf>
    <xf numFmtId="188" fontId="43" fillId="0" borderId="1" xfId="0" applyNumberFormat="1" applyFont="1" applyBorder="1" applyAlignment="1">
      <alignment horizontal="center" vertical="center"/>
    </xf>
    <xf numFmtId="187" fontId="35" fillId="0" borderId="1" xfId="0" applyNumberFormat="1" applyFont="1" applyBorder="1" applyAlignment="1">
      <alignment horizontal="center" vertical="center"/>
    </xf>
    <xf numFmtId="187" fontId="16" fillId="0" borderId="1" xfId="0" applyNumberFormat="1" applyFont="1" applyBorder="1" applyAlignment="1">
      <alignment horizontal="center" vertical="center"/>
    </xf>
    <xf numFmtId="187" fontId="40" fillId="0" borderId="1" xfId="0" applyNumberFormat="1" applyFont="1" applyBorder="1" applyAlignment="1">
      <alignment horizontal="center" vertical="center"/>
    </xf>
    <xf numFmtId="187" fontId="11" fillId="8" borderId="1" xfId="0" applyNumberFormat="1" applyFont="1" applyFill="1" applyBorder="1" applyAlignment="1">
      <alignment horizontal="center" vertical="center"/>
    </xf>
    <xf numFmtId="180" fontId="52" fillId="0" borderId="1" xfId="0" applyNumberFormat="1" applyFont="1" applyBorder="1" applyAlignment="1">
      <alignment horizontal="center" vertical="center"/>
    </xf>
    <xf numFmtId="188" fontId="43" fillId="6" borderId="1" xfId="0" applyNumberFormat="1" applyFont="1" applyFill="1" applyBorder="1" applyAlignment="1">
      <alignment horizontal="center" vertical="center"/>
    </xf>
    <xf numFmtId="187" fontId="11" fillId="6" borderId="1" xfId="0" applyNumberFormat="1" applyFont="1" applyFill="1" applyBorder="1" applyAlignment="1">
      <alignment horizontal="center" vertical="center"/>
    </xf>
    <xf numFmtId="188" fontId="45" fillId="12" borderId="1" xfId="0" applyNumberFormat="1" applyFont="1" applyFill="1" applyBorder="1" applyAlignment="1">
      <alignment horizontal="center" vertical="center"/>
    </xf>
    <xf numFmtId="187" fontId="24" fillId="0" borderId="1" xfId="0" applyNumberFormat="1" applyFont="1" applyBorder="1" applyAlignment="1">
      <alignment horizontal="center" vertical="center"/>
    </xf>
    <xf numFmtId="180" fontId="24" fillId="0" borderId="1" xfId="0" applyNumberFormat="1" applyFont="1" applyBorder="1" applyAlignment="1">
      <alignment horizontal="center" vertical="center"/>
    </xf>
    <xf numFmtId="180" fontId="11" fillId="8" borderId="1" xfId="0" applyNumberFormat="1" applyFont="1" applyFill="1" applyBorder="1" applyAlignment="1">
      <alignment horizontal="center" vertical="center"/>
    </xf>
    <xf numFmtId="182" fontId="35" fillId="0" borderId="1" xfId="0" applyNumberFormat="1" applyFont="1" applyBorder="1" applyAlignment="1">
      <alignment horizontal="center" vertical="center"/>
    </xf>
    <xf numFmtId="187" fontId="11" fillId="0" borderId="1" xfId="0" applyNumberFormat="1" applyFont="1" applyBorder="1" applyAlignment="1">
      <alignment horizontal="center" vertical="center"/>
    </xf>
    <xf numFmtId="183" fontId="18" fillId="0" borderId="1" xfId="0" applyNumberFormat="1" applyFont="1" applyBorder="1" applyAlignment="1">
      <alignment horizontal="center" vertical="center"/>
    </xf>
    <xf numFmtId="0" fontId="1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58" fillId="0" borderId="1" xfId="0" applyFont="1" applyBorder="1" applyAlignment="1">
      <alignment horizontal="center" vertical="center"/>
    </xf>
    <xf numFmtId="0" fontId="51" fillId="0" borderId="1" xfId="0" applyFont="1" applyBorder="1" applyAlignment="1">
      <alignment horizontal="center" vertical="center"/>
    </xf>
    <xf numFmtId="0" fontId="6" fillId="6" borderId="2" xfId="0" applyFont="1" applyFill="1" applyBorder="1" applyAlignment="1">
      <alignment horizontal="left" vertical="center" wrapText="1" indent="1"/>
    </xf>
    <xf numFmtId="0" fontId="4" fillId="6" borderId="0" xfId="0" applyFont="1" applyFill="1" applyAlignment="1">
      <alignment horizontal="left" vertical="center" wrapText="1" indent="1"/>
    </xf>
    <xf numFmtId="0" fontId="4" fillId="11" borderId="0" xfId="0" applyFont="1" applyFill="1" applyAlignment="1">
      <alignment horizontal="left" vertical="center" wrapText="1" indent="1"/>
    </xf>
    <xf numFmtId="0" fontId="9" fillId="0" borderId="2" xfId="0" applyFont="1" applyBorder="1" applyAlignment="1">
      <alignment horizontal="left" vertical="top" wrapText="1"/>
    </xf>
    <xf numFmtId="0" fontId="6" fillId="0" borderId="2" xfId="0" applyFont="1" applyBorder="1" applyAlignment="1">
      <alignment horizontal="left" vertical="top" wrapText="1"/>
    </xf>
    <xf numFmtId="0" fontId="2" fillId="3" borderId="0" xfId="0" applyFont="1" applyFill="1" applyAlignment="1">
      <alignment horizontal="left" vertical="center" indent="1"/>
    </xf>
    <xf numFmtId="0" fontId="23" fillId="0" borderId="2" xfId="0" applyFont="1" applyBorder="1" applyAlignment="1">
      <alignment horizontal="left" vertical="center" wrapText="1"/>
    </xf>
    <xf numFmtId="0" fontId="23" fillId="6" borderId="2" xfId="0" applyFont="1" applyFill="1" applyBorder="1" applyAlignment="1">
      <alignment horizontal="left" vertical="center" wrapText="1"/>
    </xf>
    <xf numFmtId="0" fontId="32" fillId="3" borderId="2" xfId="0" applyFont="1" applyFill="1" applyBorder="1" applyAlignment="1">
      <alignment horizontal="left" vertical="center" wrapText="1"/>
    </xf>
    <xf numFmtId="0" fontId="41" fillId="0" borderId="2" xfId="0" applyFont="1" applyBorder="1" applyAlignment="1">
      <alignment horizontal="left" vertical="center" indent="1"/>
    </xf>
    <xf numFmtId="0" fontId="42" fillId="0" borderId="2" xfId="0" applyFont="1" applyBorder="1" applyAlignment="1">
      <alignment horizontal="left" vertical="center" wrapText="1"/>
    </xf>
    <xf numFmtId="0" fontId="23" fillId="0" borderId="2" xfId="0" applyFont="1" applyBorder="1" applyAlignment="1">
      <alignment horizontal="left" vertical="center" indent="1"/>
    </xf>
    <xf numFmtId="0" fontId="3" fillId="2" borderId="0" xfId="0" applyFont="1" applyFill="1" applyAlignment="1">
      <alignment horizontal="left" vertical="center" indent="1"/>
    </xf>
    <xf numFmtId="0" fontId="4" fillId="12" borderId="0" xfId="0" applyFont="1" applyFill="1" applyAlignment="1">
      <alignment horizontal="left" vertical="center" wrapText="1" indent="1"/>
    </xf>
    <xf numFmtId="0" fontId="6" fillId="14" borderId="2" xfId="0" applyFont="1" applyFill="1" applyBorder="1" applyAlignment="1">
      <alignment horizontal="center" vertical="center"/>
    </xf>
    <xf numFmtId="0" fontId="46" fillId="0" borderId="2" xfId="0" applyFont="1" applyBorder="1" applyAlignment="1">
      <alignment horizontal="left" vertical="center" wrapText="1"/>
    </xf>
    <xf numFmtId="0" fontId="37" fillId="15" borderId="0" xfId="0" applyFont="1" applyFill="1" applyAlignment="1">
      <alignment horizontal="left" vertical="center" indent="1"/>
    </xf>
    <xf numFmtId="0" fontId="24" fillId="0" borderId="2" xfId="0" applyFont="1" applyBorder="1" applyAlignment="1">
      <alignment horizontal="left" vertical="center" indent="1"/>
    </xf>
    <xf numFmtId="0" fontId="6" fillId="0" borderId="2" xfId="0" applyFont="1" applyBorder="1" applyAlignment="1">
      <alignment horizontal="center" vertical="center"/>
    </xf>
    <xf numFmtId="0" fontId="20" fillId="0" borderId="2" xfId="0" applyFont="1" applyBorder="1" applyAlignment="1">
      <alignment horizontal="center" vertical="center" wrapText="1"/>
    </xf>
    <xf numFmtId="0" fontId="42" fillId="0" borderId="2" xfId="0" applyFont="1" applyBorder="1" applyAlignment="1">
      <alignment horizontal="left" vertical="center" wrapText="1" indent="1"/>
    </xf>
    <xf numFmtId="0" fontId="9" fillId="0" borderId="2" xfId="0" applyFont="1" applyBorder="1" applyAlignment="1">
      <alignment horizontal="left" vertical="center" wrapText="1" indent="1"/>
    </xf>
    <xf numFmtId="0" fontId="23" fillId="0" borderId="2" xfId="0" applyFont="1" applyBorder="1" applyAlignment="1">
      <alignment horizontal="left" vertical="center" wrapText="1" indent="1"/>
    </xf>
    <xf numFmtId="0" fontId="6" fillId="6" borderId="2" xfId="0" applyFont="1" applyFill="1" applyBorder="1" applyAlignment="1">
      <alignment horizontal="left" vertical="top" wrapText="1"/>
    </xf>
    <xf numFmtId="0" fontId="8" fillId="0" borderId="2" xfId="0" applyFont="1" applyBorder="1" applyAlignment="1">
      <alignment horizontal="left" vertical="top" wrapText="1"/>
    </xf>
    <xf numFmtId="0" fontId="17" fillId="0" borderId="2" xfId="0" applyFont="1" applyBorder="1" applyAlignment="1">
      <alignment horizontal="left" vertical="top" wrapText="1"/>
    </xf>
    <xf numFmtId="0" fontId="6" fillId="6" borderId="2" xfId="0" applyFont="1" applyFill="1" applyBorder="1" applyAlignment="1">
      <alignment horizontal="left" vertical="center" indent="1"/>
    </xf>
    <xf numFmtId="0" fontId="7" fillId="0" borderId="2" xfId="0" applyFont="1" applyBorder="1" applyAlignment="1">
      <alignment horizontal="center" vertical="center" wrapText="1"/>
    </xf>
    <xf numFmtId="0" fontId="9" fillId="8" borderId="2" xfId="0" applyFont="1" applyFill="1" applyBorder="1" applyAlignment="1">
      <alignment horizontal="left" vertical="center" wrapText="1" indent="1"/>
    </xf>
    <xf numFmtId="0" fontId="9" fillId="12" borderId="2" xfId="0" applyFont="1" applyFill="1" applyBorder="1" applyAlignment="1">
      <alignment horizontal="left" vertical="center" indent="1"/>
    </xf>
    <xf numFmtId="0" fontId="37" fillId="4" borderId="2" xfId="0" applyFont="1" applyFill="1" applyBorder="1" applyAlignment="1">
      <alignment horizontal="left" vertical="center" indent="1"/>
    </xf>
    <xf numFmtId="0" fontId="37" fillId="2" borderId="2" xfId="0" applyFont="1" applyFill="1" applyBorder="1" applyAlignment="1">
      <alignment horizontal="left" vertical="center" indent="1"/>
    </xf>
    <xf numFmtId="0" fontId="56" fillId="8" borderId="2" xfId="0" applyFont="1" applyFill="1" applyBorder="1" applyAlignment="1">
      <alignment horizontal="center" vertical="center"/>
    </xf>
    <xf numFmtId="0" fontId="23" fillId="6" borderId="2" xfId="0" applyFont="1" applyFill="1" applyBorder="1" applyAlignment="1">
      <alignment horizontal="left" vertical="center" wrapText="1" indent="1"/>
    </xf>
    <xf numFmtId="0" fontId="36" fillId="0" borderId="2" xfId="0" applyFont="1" applyBorder="1" applyAlignment="1">
      <alignment horizontal="left" vertical="center" wrapText="1" indent="1"/>
    </xf>
    <xf numFmtId="0" fontId="9" fillId="6" borderId="2" xfId="0" applyFont="1" applyFill="1" applyBorder="1" applyAlignment="1">
      <alignment horizontal="left" vertical="center" wrapText="1" indent="1"/>
    </xf>
    <xf numFmtId="0" fontId="6" fillId="0" borderId="2" xfId="0" applyFont="1" applyBorder="1" applyAlignment="1">
      <alignment horizontal="left" vertical="top" wrapText="1" indent="1"/>
    </xf>
    <xf numFmtId="0" fontId="8" fillId="0" borderId="2" xfId="0" applyFont="1" applyBorder="1" applyAlignment="1">
      <alignment horizontal="left" vertical="center" indent="1"/>
    </xf>
    <xf numFmtId="0" fontId="17" fillId="0" borderId="2" xfId="0" applyFont="1" applyBorder="1" applyAlignment="1">
      <alignment horizontal="left" vertical="center" indent="1"/>
    </xf>
  </cellXfs>
  <cellStyles count="1">
    <cellStyle name="常规" xfId="0" builtinId="0"/>
  </cellStyles>
  <dxfs count="0"/>
  <tableStyles count="0" defaultTableStyle="TableStyleMedium2" defaultPivotStyle="PivotStyleLight16"/>
  <colors>
    <indexedColors>
      <rgbColor rgb="FF000000"/>
      <rgbColor rgb="FFFFFFFF"/>
      <rgbColor rgb="FFC00000"/>
      <rgbColor rgb="FF00FF00"/>
      <rgbColor rgb="FF0000FF"/>
      <rgbColor rgb="FFF5F5F5"/>
      <rgbColor rgb="FFFF00FF"/>
      <rgbColor rgb="FF00FFFF"/>
      <rgbColor rgb="FF800000"/>
      <rgbColor rgb="FF008000"/>
      <rgbColor rgb="FF000080"/>
      <rgbColor rgb="FFB35C00"/>
      <rgbColor rgb="FF800080"/>
      <rgbColor rgb="FF44688F"/>
      <rgbColor rgb="FFB7C0CC"/>
      <rgbColor rgb="FF7A7A7A"/>
      <rgbColor rgb="FF9AA7B5"/>
      <rgbColor rgb="FF8E44AD"/>
      <rgbColor rgb="FFFFF4D6"/>
      <rgbColor rgb="FFEAF1FB"/>
      <rgbColor rgb="FF660066"/>
      <rgbColor rgb="FF8A8A8A"/>
      <rgbColor rgb="FF606060"/>
      <rgbColor rgb="FFC9D2DD"/>
      <rgbColor rgb="FF000080"/>
      <rgbColor rgb="FFFF00FF"/>
      <rgbColor rgb="FFE6EAF0"/>
      <rgbColor rgb="FF00FFFF"/>
      <rgbColor rgb="FF800080"/>
      <rgbColor rgb="FF800000"/>
      <rgbColor rgb="FF595959"/>
      <rgbColor rgb="FF0000FF"/>
      <rgbColor rgb="FF00CCFF"/>
      <rgbColor rgb="FFDCE6F2"/>
      <rgbColor rgb="FFE4F0E2"/>
      <rgbColor rgb="FFFDEFE0"/>
      <rgbColor rgb="FFD9D9D9"/>
      <rgbColor rgb="FFFBE7EA"/>
      <rgbColor rgb="FFB0B0B0"/>
      <rgbColor rgb="FFF7E2CC"/>
      <rgbColor rgb="FF4472C4"/>
      <rgbColor rgb="FF33CCCC"/>
      <rgbColor rgb="FF99CC00"/>
      <rgbColor rgb="FFF4F7FB"/>
      <rgbColor rgb="FFE08A1E"/>
      <rgbColor rgb="FFFF6600"/>
      <rgbColor rgb="FF6E6E6E"/>
      <rgbColor rgb="FF909090"/>
      <rgbColor rgb="FF16305B"/>
      <rgbColor rgb="FF2E9B57"/>
      <rgbColor rgb="FF4A4A4A"/>
      <rgbColor rgb="FF404040"/>
      <rgbColor rgb="FFB3202C"/>
      <rgbColor rgb="FFC0392B"/>
      <rgbColor rgb="FF2E5C8A"/>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300" b="1" strike="noStrike" spc="-1">
                <a:solidFill>
                  <a:srgbClr val="16305B"/>
                </a:solidFill>
                <a:latin typeface="Arial"/>
              </a:defRPr>
            </a:pPr>
            <a:r>
              <a:rPr sz="1300" b="1" strike="noStrike" spc="-1">
                <a:solidFill>
                  <a:srgbClr val="16305B"/>
                </a:solidFill>
                <a:latin typeface="Arial"/>
              </a:rPr>
              <a:t>DRAM × NAND: horizontal adequacy, probability weighted</a:t>
            </a:r>
          </a:p>
        </c:rich>
      </c:tx>
      <c:overlay val="0"/>
      <c:spPr>
        <a:noFill/>
        <a:ln w="0">
          <a:noFill/>
        </a:ln>
      </c:spPr>
    </c:title>
    <c:autoTitleDeleted val="0"/>
    <c:plotArea>
      <c:layout/>
      <c:lineChart>
        <c:grouping val="standard"/>
        <c:varyColors val="0"/>
        <c:ser>
          <c:idx val="0"/>
          <c:order val="0"/>
          <c:tx>
            <c:strRef>
              <c:f>'00-Overview'!$E$55</c:f>
              <c:strCache>
                <c:ptCount val="1"/>
                <c:pt idx="0">
                  <c:v>DRAM stock</c:v>
                </c:pt>
              </c:strCache>
            </c:strRef>
          </c:tx>
          <c:spPr>
            <a:ln w="38160">
              <a:solidFill>
                <a:srgbClr val="16305B"/>
              </a:solidFill>
              <a:round/>
            </a:ln>
          </c:spPr>
          <c:marker>
            <c:symbol val="circle"/>
            <c:size val="7"/>
            <c:spPr>
              <a:solidFill>
                <a:srgbClr val="16305B"/>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'00-Overview'!$A$56:$A$58</c:f>
              <c:strCache>
                <c:ptCount val="3"/>
                <c:pt idx="0">
                  <c:v>2026</c:v>
                </c:pt>
                <c:pt idx="1">
                  <c:v>2027</c:v>
                </c:pt>
                <c:pt idx="2">
                  <c:v>2028</c:v>
                </c:pt>
              </c:strCache>
            </c:strRef>
          </c:cat>
          <c:val>
            <c:numRef>
              <c:f>'00-Overview'!$E$56:$E$58</c:f>
              <c:numCache>
                <c:formatCode>0.0%;[Red]\-0.0%;0.0%</c:formatCode>
                <c:ptCount val="3"/>
                <c:pt idx="0">
                  <c:v>-0.13951261391371647</c:v>
                </c:pt>
                <c:pt idx="1">
                  <c:v>-0.16813457305789237</c:v>
                </c:pt>
                <c:pt idx="2">
                  <c:v>-9.4430550991501438E-2</c:v>
                </c:pt>
              </c:numCache>
            </c:numRef>
          </c:val>
          <c:smooth val="0"/>
          <c:extLst>
            <c:ext xmlns:c16="http://schemas.microsoft.com/office/drawing/2014/chart" uri="{C3380CC4-5D6E-409C-BE32-E72D297353CC}">
              <c16:uniqueId val="{00000000-0C0C-4F34-A238-D132048BCB55}"/>
            </c:ext>
          </c:extLst>
        </c:ser>
        <c:ser>
          <c:idx val="1"/>
          <c:order val="1"/>
          <c:tx>
            <c:strRef>
              <c:f>'00-Overview'!$F$55</c:f>
              <c:strCache>
                <c:ptCount val="1"/>
                <c:pt idx="0">
                  <c:v>NAND stock</c:v>
                </c:pt>
              </c:strCache>
            </c:strRef>
          </c:tx>
          <c:spPr>
            <a:ln w="38160">
              <a:solidFill>
                <a:srgbClr val="2E9B57"/>
              </a:solidFill>
              <a:round/>
            </a:ln>
          </c:spPr>
          <c:marker>
            <c:symbol val="circle"/>
            <c:size val="7"/>
            <c:spPr>
              <a:solidFill>
                <a:srgbClr val="2E9B57"/>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'00-Overview'!$A$56:$A$58</c:f>
              <c:strCache>
                <c:ptCount val="3"/>
                <c:pt idx="0">
                  <c:v>2026</c:v>
                </c:pt>
                <c:pt idx="1">
                  <c:v>2027</c:v>
                </c:pt>
                <c:pt idx="2">
                  <c:v>2028</c:v>
                </c:pt>
              </c:strCache>
            </c:strRef>
          </c:cat>
          <c:val>
            <c:numRef>
              <c:f>'00-Overview'!$F$56:$F$58</c:f>
              <c:numCache>
                <c:formatCode>0.0%;[Red]\-0.0%;0.0%</c:formatCode>
                <c:ptCount val="3"/>
                <c:pt idx="0">
                  <c:v>-7.356921832033339E-2</c:v>
                </c:pt>
                <c:pt idx="1">
                  <c:v>-2.0312744956163389E-2</c:v>
                </c:pt>
                <c:pt idx="2">
                  <c:v>9.3843630806567851E-2</c:v>
                </c:pt>
              </c:numCache>
            </c:numRef>
          </c:val>
          <c:smooth val="0"/>
          <c:extLst>
            <c:ext xmlns:c16="http://schemas.microsoft.com/office/drawing/2014/chart" uri="{C3380CC4-5D6E-409C-BE32-E72D297353CC}">
              <c16:uniqueId val="{00000001-0C0C-4F34-A238-D132048BCB55}"/>
            </c:ext>
          </c:extLst>
        </c:ser>
        <c:dLbls>
          <c:showLegendKey val="0"/>
          <c:showVal val="0"/>
          <c:showCatName val="0"/>
          <c:showSerName val="0"/>
          <c:showPercent val="0"/>
          <c:showBubbleSize val="0"/>
        </c:dLbls>
        <c:hiLowLines>
          <c:spPr>
            <a:ln w="0">
              <a:noFill/>
            </a:ln>
          </c:spPr>
        </c:hiLowLines>
        <c:marker val="1"/>
        <c:smooth val="0"/>
        <c:axId val="56354506"/>
        <c:axId val="85051026"/>
      </c:lineChart>
      <c:catAx>
        <c:axId val="56354506"/>
        <c:scaling>
          <c:orientation val="minMax"/>
        </c:scaling>
        <c:delete val="0"/>
        <c:axPos val="b"/>
        <c:numFmt formatCode="General" sourceLinked="1"/>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85051026"/>
        <c:crosses val="autoZero"/>
        <c:auto val="1"/>
        <c:lblAlgn val="ctr"/>
        <c:lblOffset val="100"/>
        <c:noMultiLvlLbl val="0"/>
      </c:catAx>
      <c:valAx>
        <c:axId val="85051026"/>
        <c:scaling>
          <c:orientation val="minMax"/>
        </c:scaling>
        <c:delete val="0"/>
        <c:axPos val="l"/>
        <c:majorGridlines>
          <c:spPr>
            <a:ln w="9360">
              <a:solidFill>
                <a:srgbClr val="E6EAF0"/>
              </a:solidFill>
              <a:round/>
            </a:ln>
          </c:spPr>
        </c:majorGridlines>
        <c:numFmt formatCode="0%" sourceLinked="0"/>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56354506"/>
        <c:crosses val="autoZero"/>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Arial"/>
            </a:defRPr>
          </a:pPr>
          <a:endParaRPr lang="zh-C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300" b="1" strike="noStrike" spc="-1">
                <a:solidFill>
                  <a:srgbClr val="16305B"/>
                </a:solidFill>
                <a:latin typeface="Arial"/>
              </a:defRPr>
            </a:pPr>
            <a:r>
              <a:rPr lang="fr-FR" sz="1300" b="1" strike="noStrike" spc="-1">
                <a:solidFill>
                  <a:srgbClr val="16305B"/>
                </a:solidFill>
                <a:latin typeface="Arial"/>
              </a:rPr>
              <a:t>Chart 1 · Growth gap across five scenarios (flow basis): below zero is shortage</a:t>
            </a:r>
          </a:p>
        </c:rich>
      </c:tx>
      <c:overlay val="0"/>
      <c:spPr>
        <a:noFill/>
        <a:ln w="0">
          <a:noFill/>
        </a:ln>
      </c:spPr>
    </c:title>
    <c:autoTitleDeleted val="0"/>
    <c:plotArea>
      <c:layout/>
      <c:lineChart>
        <c:grouping val="standard"/>
        <c:varyColors val="0"/>
        <c:ser>
          <c:idx val="0"/>
          <c:order val="0"/>
          <c:tx>
            <c:strRef>
              <c:f>'01-DRAM-Model'!$A$48</c:f>
              <c:strCache>
                <c:ptCount val="1"/>
                <c:pt idx="0">
                  <c:v>S1 Extreme tightness</c:v>
                </c:pt>
              </c:strCache>
            </c:strRef>
          </c:tx>
          <c:spPr>
            <a:ln w="22320">
              <a:solidFill>
                <a:srgbClr val="C0392B"/>
              </a:solidFill>
              <a:round/>
            </a:ln>
          </c:spPr>
          <c:marker>
            <c:symbol val="circle"/>
            <c:size val="7"/>
            <c:spPr>
              <a:solidFill>
                <a:srgbClr val="C0392B"/>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'01-DRAM-Model'!$D$47:$F$47</c:f>
              <c:strCache>
                <c:ptCount val="3"/>
                <c:pt idx="0">
                  <c:v>2026</c:v>
                </c:pt>
                <c:pt idx="1">
                  <c:v>2027</c:v>
                </c:pt>
                <c:pt idx="2">
                  <c:v>2028</c:v>
                </c:pt>
              </c:strCache>
            </c:strRef>
          </c:cat>
          <c:val>
            <c:numRef>
              <c:f>'01-DRAM-Model'!$D$48:$F$48</c:f>
              <c:numCache>
                <c:formatCode>0.0%;[Red]\-0.0%;0.0%</c:formatCode>
                <c:ptCount val="3"/>
                <c:pt idx="0">
                  <c:v>-0.12501096919597393</c:v>
                </c:pt>
                <c:pt idx="1">
                  <c:v>-0.19461840373246736</c:v>
                </c:pt>
                <c:pt idx="2">
                  <c:v>-0.10386131377970509</c:v>
                </c:pt>
              </c:numCache>
            </c:numRef>
          </c:val>
          <c:smooth val="0"/>
          <c:extLst>
            <c:ext xmlns:c16="http://schemas.microsoft.com/office/drawing/2014/chart" uri="{C3380CC4-5D6E-409C-BE32-E72D297353CC}">
              <c16:uniqueId val="{00000000-5E3F-43DA-9E04-F20081794DBD}"/>
            </c:ext>
          </c:extLst>
        </c:ser>
        <c:ser>
          <c:idx val="1"/>
          <c:order val="1"/>
          <c:tx>
            <c:strRef>
              <c:f>'01-DRAM-Model'!$A$49</c:f>
              <c:strCache>
                <c:ptCount val="1"/>
                <c:pt idx="0">
                  <c:v>S2 Base case</c:v>
                </c:pt>
              </c:strCache>
            </c:strRef>
          </c:tx>
          <c:spPr>
            <a:ln w="22320">
              <a:solidFill>
                <a:srgbClr val="16305B"/>
              </a:solidFill>
              <a:round/>
            </a:ln>
          </c:spPr>
          <c:marker>
            <c:symbol val="circle"/>
            <c:size val="7"/>
            <c:spPr>
              <a:solidFill>
                <a:srgbClr val="16305B"/>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'01-DRAM-Model'!$D$47:$F$47</c:f>
              <c:strCache>
                <c:ptCount val="3"/>
                <c:pt idx="0">
                  <c:v>2026</c:v>
                </c:pt>
                <c:pt idx="1">
                  <c:v>2027</c:v>
                </c:pt>
                <c:pt idx="2">
                  <c:v>2028</c:v>
                </c:pt>
              </c:strCache>
            </c:strRef>
          </c:cat>
          <c:val>
            <c:numRef>
              <c:f>'01-DRAM-Model'!$D$49:$F$49</c:f>
              <c:numCache>
                <c:formatCode>0.0%;[Red]\-0.0%;0.0%</c:formatCode>
                <c:ptCount val="3"/>
                <c:pt idx="0">
                  <c:v>-0.10501096919597397</c:v>
                </c:pt>
                <c:pt idx="1">
                  <c:v>-9.4810099542180337E-2</c:v>
                </c:pt>
                <c:pt idx="2">
                  <c:v>2.2756561792224961E-2</c:v>
                </c:pt>
              </c:numCache>
            </c:numRef>
          </c:val>
          <c:smooth val="0"/>
          <c:extLst>
            <c:ext xmlns:c16="http://schemas.microsoft.com/office/drawing/2014/chart" uri="{C3380CC4-5D6E-409C-BE32-E72D297353CC}">
              <c16:uniqueId val="{00000001-5E3F-43DA-9E04-F20081794DBD}"/>
            </c:ext>
          </c:extLst>
        </c:ser>
        <c:ser>
          <c:idx val="2"/>
          <c:order val="2"/>
          <c:tx>
            <c:strRef>
              <c:f>'01-DRAM-Model'!$A$50</c:f>
              <c:strCache>
                <c:ptCount val="1"/>
                <c:pt idx="0">
                  <c:v>S3 Relief</c:v>
                </c:pt>
              </c:strCache>
            </c:strRef>
          </c:tx>
          <c:spPr>
            <a:ln w="22320">
              <a:solidFill>
                <a:srgbClr val="2E9B57"/>
              </a:solidFill>
              <a:round/>
            </a:ln>
          </c:spPr>
          <c:marker>
            <c:symbol val="circle"/>
            <c:size val="7"/>
            <c:spPr>
              <a:solidFill>
                <a:srgbClr val="2E9B57"/>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'01-DRAM-Model'!$D$47:$F$47</c:f>
              <c:strCache>
                <c:ptCount val="3"/>
                <c:pt idx="0">
                  <c:v>2026</c:v>
                </c:pt>
                <c:pt idx="1">
                  <c:v>2027</c:v>
                </c:pt>
                <c:pt idx="2">
                  <c:v>2028</c:v>
                </c:pt>
              </c:strCache>
            </c:strRef>
          </c:cat>
          <c:val>
            <c:numRef>
              <c:f>'01-DRAM-Model'!$D$50:$F$50</c:f>
              <c:numCache>
                <c:formatCode>0.0%;[Red]\-0.0%;0.0%</c:formatCode>
                <c:ptCount val="3"/>
                <c:pt idx="0">
                  <c:v>-8.5010969195973951E-2</c:v>
                </c:pt>
                <c:pt idx="1">
                  <c:v>2.3154457550948526E-2</c:v>
                </c:pt>
                <c:pt idx="2">
                  <c:v>0.18381095364322747</c:v>
                </c:pt>
              </c:numCache>
            </c:numRef>
          </c:val>
          <c:smooth val="0"/>
          <c:extLst>
            <c:ext xmlns:c16="http://schemas.microsoft.com/office/drawing/2014/chart" uri="{C3380CC4-5D6E-409C-BE32-E72D297353CC}">
              <c16:uniqueId val="{00000002-5E3F-43DA-9E04-F20081794DBD}"/>
            </c:ext>
          </c:extLst>
        </c:ser>
        <c:ser>
          <c:idx val="3"/>
          <c:order val="3"/>
          <c:tx>
            <c:strRef>
              <c:f>'01-DRAM-Model'!$A$51</c:f>
              <c:strCache>
                <c:ptCount val="1"/>
                <c:pt idx="0">
                  <c:v>S4 Surplus</c:v>
                </c:pt>
              </c:strCache>
            </c:strRef>
          </c:tx>
          <c:spPr>
            <a:ln w="22320">
              <a:solidFill>
                <a:srgbClr val="E08A1E"/>
              </a:solidFill>
              <a:round/>
            </a:ln>
          </c:spPr>
          <c:marker>
            <c:symbol val="circle"/>
            <c:size val="7"/>
            <c:spPr>
              <a:solidFill>
                <a:srgbClr val="E08A1E"/>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'01-DRAM-Model'!$D$47:$F$47</c:f>
              <c:strCache>
                <c:ptCount val="3"/>
                <c:pt idx="0">
                  <c:v>2026</c:v>
                </c:pt>
                <c:pt idx="1">
                  <c:v>2027</c:v>
                </c:pt>
                <c:pt idx="2">
                  <c:v>2028</c:v>
                </c:pt>
              </c:strCache>
            </c:strRef>
          </c:cat>
          <c:val>
            <c:numRef>
              <c:f>'01-DRAM-Model'!$D$51:$F$51</c:f>
              <c:numCache>
                <c:formatCode>0.0%;[Red]\-0.0%;0.0%</c:formatCode>
                <c:ptCount val="3"/>
                <c:pt idx="0">
                  <c:v>-6.5010969195973933E-2</c:v>
                </c:pt>
                <c:pt idx="1">
                  <c:v>9.6080805399973046E-2</c:v>
                </c:pt>
                <c:pt idx="2">
                  <c:v>0.29121465526826984</c:v>
                </c:pt>
              </c:numCache>
            </c:numRef>
          </c:val>
          <c:smooth val="0"/>
          <c:extLst>
            <c:ext xmlns:c16="http://schemas.microsoft.com/office/drawing/2014/chart" uri="{C3380CC4-5D6E-409C-BE32-E72D297353CC}">
              <c16:uniqueId val="{00000003-5E3F-43DA-9E04-F20081794DBD}"/>
            </c:ext>
          </c:extLst>
        </c:ser>
        <c:ser>
          <c:idx val="4"/>
          <c:order val="4"/>
          <c:tx>
            <c:strRef>
              <c:f>'01-DRAM-Model'!$A$52</c:f>
              <c:strCache>
                <c:ptCount val="1"/>
                <c:pt idx="0">
                  <c:v>S5 Collapse</c:v>
                </c:pt>
              </c:strCache>
            </c:strRef>
          </c:tx>
          <c:spPr>
            <a:ln w="22320">
              <a:solidFill>
                <a:srgbClr val="8E44AD"/>
              </a:solidFill>
              <a:round/>
            </a:ln>
          </c:spPr>
          <c:marker>
            <c:symbol val="circle"/>
            <c:size val="7"/>
            <c:spPr>
              <a:solidFill>
                <a:srgbClr val="8E44AD"/>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'01-DRAM-Model'!$D$47:$F$47</c:f>
              <c:strCache>
                <c:ptCount val="3"/>
                <c:pt idx="0">
                  <c:v>2026</c:v>
                </c:pt>
                <c:pt idx="1">
                  <c:v>2027</c:v>
                </c:pt>
                <c:pt idx="2">
                  <c:v>2028</c:v>
                </c:pt>
              </c:strCache>
            </c:strRef>
          </c:cat>
          <c:val>
            <c:numRef>
              <c:f>'01-DRAM-Model'!$D$52:$F$52</c:f>
              <c:numCache>
                <c:formatCode>0.0%;[Red]\-0.0%;0.0%</c:formatCode>
                <c:ptCount val="3"/>
                <c:pt idx="0">
                  <c:v>-5.0109691959739355E-3</c:v>
                </c:pt>
                <c:pt idx="1">
                  <c:v>0.21029297216994214</c:v>
                </c:pt>
                <c:pt idx="2">
                  <c:v>0.57523516262434349</c:v>
                </c:pt>
              </c:numCache>
            </c:numRef>
          </c:val>
          <c:smooth val="0"/>
          <c:extLst>
            <c:ext xmlns:c16="http://schemas.microsoft.com/office/drawing/2014/chart" uri="{C3380CC4-5D6E-409C-BE32-E72D297353CC}">
              <c16:uniqueId val="{00000004-5E3F-43DA-9E04-F20081794DBD}"/>
            </c:ext>
          </c:extLst>
        </c:ser>
        <c:ser>
          <c:idx val="5"/>
          <c:order val="5"/>
          <c:tx>
            <c:strRef>
              <c:f>'01-DRAM-Model'!$A$53</c:f>
              <c:strCache>
                <c:ptCount val="1"/>
                <c:pt idx="0">
                  <c:v>Probability weighted (mean)</c:v>
                </c:pt>
              </c:strCache>
            </c:strRef>
          </c:tx>
          <c:spPr>
            <a:ln w="38160">
              <a:solidFill>
                <a:srgbClr val="000000"/>
              </a:solidFill>
              <a:round/>
            </a:ln>
          </c:spPr>
          <c:marker>
            <c:symbol val="circle"/>
            <c:size val="7"/>
            <c:spPr>
              <a:solidFill>
                <a:srgbClr val="000000"/>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'01-DRAM-Model'!$D$47:$F$47</c:f>
              <c:strCache>
                <c:ptCount val="3"/>
                <c:pt idx="0">
                  <c:v>2026</c:v>
                </c:pt>
                <c:pt idx="1">
                  <c:v>2027</c:v>
                </c:pt>
                <c:pt idx="2">
                  <c:v>2028</c:v>
                </c:pt>
              </c:strCache>
            </c:strRef>
          </c:cat>
          <c:val>
            <c:numRef>
              <c:f>'01-DRAM-Model'!$D$53:$F$53</c:f>
              <c:numCache>
                <c:formatCode>0.0%;[Red]\-0.0%;0.0%</c:formatCode>
                <c:ptCount val="3"/>
                <c:pt idx="0">
                  <c:v>-9.6010969195973961E-2</c:v>
                </c:pt>
                <c:pt idx="1">
                  <c:v>-4.647754395731539E-2</c:v>
                </c:pt>
                <c:pt idx="2">
                  <c:v>9.1620263391414464E-2</c:v>
                </c:pt>
              </c:numCache>
            </c:numRef>
          </c:val>
          <c:smooth val="0"/>
          <c:extLst>
            <c:ext xmlns:c16="http://schemas.microsoft.com/office/drawing/2014/chart" uri="{C3380CC4-5D6E-409C-BE32-E72D297353CC}">
              <c16:uniqueId val="{00000005-5E3F-43DA-9E04-F20081794DBD}"/>
            </c:ext>
          </c:extLst>
        </c:ser>
        <c:dLbls>
          <c:showLegendKey val="0"/>
          <c:showVal val="0"/>
          <c:showCatName val="0"/>
          <c:showSerName val="0"/>
          <c:showPercent val="0"/>
          <c:showBubbleSize val="0"/>
        </c:dLbls>
        <c:hiLowLines>
          <c:spPr>
            <a:ln w="0">
              <a:noFill/>
            </a:ln>
          </c:spPr>
        </c:hiLowLines>
        <c:marker val="1"/>
        <c:smooth val="0"/>
        <c:axId val="39877936"/>
        <c:axId val="54018878"/>
      </c:lineChart>
      <c:catAx>
        <c:axId val="39877936"/>
        <c:scaling>
          <c:orientation val="minMax"/>
        </c:scaling>
        <c:delete val="0"/>
        <c:axPos val="b"/>
        <c:numFmt formatCode="General" sourceLinked="1"/>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54018878"/>
        <c:crosses val="autoZero"/>
        <c:auto val="1"/>
        <c:lblAlgn val="ctr"/>
        <c:lblOffset val="100"/>
        <c:noMultiLvlLbl val="0"/>
      </c:catAx>
      <c:valAx>
        <c:axId val="54018878"/>
        <c:scaling>
          <c:orientation val="minMax"/>
        </c:scaling>
        <c:delete val="0"/>
        <c:axPos val="l"/>
        <c:majorGridlines>
          <c:spPr>
            <a:ln w="9360">
              <a:solidFill>
                <a:srgbClr val="E6EAF0"/>
              </a:solidFill>
              <a:round/>
            </a:ln>
          </c:spPr>
        </c:majorGridlines>
        <c:numFmt formatCode="0%" sourceLinked="0"/>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39877936"/>
        <c:crosses val="autoZero"/>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Arial"/>
            </a:defRPr>
          </a:pPr>
          <a:endParaRPr lang="zh-C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300" b="1" strike="noStrike" spc="-1">
                <a:solidFill>
                  <a:srgbClr val="16305B"/>
                </a:solidFill>
                <a:latin typeface="Arial"/>
              </a:defRPr>
            </a:pPr>
            <a:r>
              <a:rPr sz="1300" b="1" strike="noStrike" spc="-1">
                <a:solidFill>
                  <a:srgbClr val="16305B"/>
                </a:solidFill>
                <a:latin typeface="Arial"/>
              </a:rPr>
              <a:t>Chart 2 · Horizontal adequacy across five scenarios (stock basis)</a:t>
            </a:r>
          </a:p>
        </c:rich>
      </c:tx>
      <c:overlay val="0"/>
      <c:spPr>
        <a:noFill/>
        <a:ln w="0">
          <a:noFill/>
        </a:ln>
      </c:spPr>
    </c:title>
    <c:autoTitleDeleted val="0"/>
    <c:plotArea>
      <c:layout/>
      <c:lineChart>
        <c:grouping val="standard"/>
        <c:varyColors val="0"/>
        <c:ser>
          <c:idx val="0"/>
          <c:order val="0"/>
          <c:tx>
            <c:strRef>
              <c:f>'01-DRAM-Model'!$A$59</c:f>
              <c:strCache>
                <c:ptCount val="1"/>
                <c:pt idx="0">
                  <c:v>S1 Extreme tightness</c:v>
                </c:pt>
              </c:strCache>
            </c:strRef>
          </c:tx>
          <c:spPr>
            <a:ln w="22320">
              <a:solidFill>
                <a:srgbClr val="C0392B"/>
              </a:solidFill>
              <a:round/>
            </a:ln>
          </c:spPr>
          <c:marker>
            <c:symbol val="circle"/>
            <c:size val="7"/>
            <c:spPr>
              <a:solidFill>
                <a:srgbClr val="C0392B"/>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'01-DRAM-Model'!$D$58:$G$58</c:f>
              <c:strCache>
                <c:ptCount val="4"/>
                <c:pt idx="0">
                  <c:v>2025 start</c:v>
                </c:pt>
                <c:pt idx="1">
                  <c:v>2026</c:v>
                </c:pt>
                <c:pt idx="2">
                  <c:v>2027</c:v>
                </c:pt>
                <c:pt idx="3">
                  <c:v>2028</c:v>
                </c:pt>
              </c:strCache>
            </c:strRef>
          </c:cat>
          <c:val>
            <c:numRef>
              <c:f>'01-DRAM-Model'!$D$59:$G$59</c:f>
              <c:numCache>
                <c:formatCode>0.0%;[Red]\-0.0%;0.0%</c:formatCode>
                <c:ptCount val="4"/>
                <c:pt idx="0">
                  <c:v>-7.0000000000000007E-2</c:v>
                </c:pt>
                <c:pt idx="1">
                  <c:v>-0.15874824530706555</c:v>
                </c:pt>
                <c:pt idx="2">
                  <c:v>-0.28184830067208522</c:v>
                </c:pt>
                <c:pt idx="3">
                  <c:v>-0.33966859445915887</c:v>
                </c:pt>
              </c:numCache>
            </c:numRef>
          </c:val>
          <c:smooth val="0"/>
          <c:extLst>
            <c:ext xmlns:c16="http://schemas.microsoft.com/office/drawing/2014/chart" uri="{C3380CC4-5D6E-409C-BE32-E72D297353CC}">
              <c16:uniqueId val="{00000000-6C33-44E7-A9F6-7A6A7831F313}"/>
            </c:ext>
          </c:extLst>
        </c:ser>
        <c:ser>
          <c:idx val="1"/>
          <c:order val="1"/>
          <c:tx>
            <c:strRef>
              <c:f>'01-DRAM-Model'!$A$60</c:f>
              <c:strCache>
                <c:ptCount val="1"/>
                <c:pt idx="0">
                  <c:v>S2 Base case</c:v>
                </c:pt>
              </c:strCache>
            </c:strRef>
          </c:tx>
          <c:spPr>
            <a:ln w="22320">
              <a:solidFill>
                <a:srgbClr val="16305B"/>
              </a:solidFill>
              <a:round/>
            </a:ln>
          </c:spPr>
          <c:marker>
            <c:symbol val="circle"/>
            <c:size val="7"/>
            <c:spPr>
              <a:solidFill>
                <a:srgbClr val="16305B"/>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'01-DRAM-Model'!$D$58:$G$58</c:f>
              <c:strCache>
                <c:ptCount val="4"/>
                <c:pt idx="0">
                  <c:v>2025 start</c:v>
                </c:pt>
                <c:pt idx="1">
                  <c:v>2026</c:v>
                </c:pt>
                <c:pt idx="2">
                  <c:v>2027</c:v>
                </c:pt>
                <c:pt idx="3">
                  <c:v>2028</c:v>
                </c:pt>
              </c:strCache>
            </c:strRef>
          </c:cat>
          <c:val>
            <c:numRef>
              <c:f>'01-DRAM-Model'!$D$60:$G$60</c:f>
              <c:numCache>
                <c:formatCode>0.0%;[Red]\-0.0%;0.0%</c:formatCode>
                <c:ptCount val="4"/>
                <c:pt idx="0">
                  <c:v>-7.0000000000000007E-2</c:v>
                </c:pt>
                <c:pt idx="1">
                  <c:v>-0.14570558244360921</c:v>
                </c:pt>
                <c:pt idx="2">
                  <c:v>-0.20948175470097175</c:v>
                </c:pt>
                <c:pt idx="3">
                  <c:v>-0.19509017286334895</c:v>
                </c:pt>
              </c:numCache>
            </c:numRef>
          </c:val>
          <c:smooth val="0"/>
          <c:extLst>
            <c:ext xmlns:c16="http://schemas.microsoft.com/office/drawing/2014/chart" uri="{C3380CC4-5D6E-409C-BE32-E72D297353CC}">
              <c16:uniqueId val="{00000001-6C33-44E7-A9F6-7A6A7831F313}"/>
            </c:ext>
          </c:extLst>
        </c:ser>
        <c:ser>
          <c:idx val="2"/>
          <c:order val="2"/>
          <c:tx>
            <c:strRef>
              <c:f>'01-DRAM-Model'!$A$61</c:f>
              <c:strCache>
                <c:ptCount val="1"/>
                <c:pt idx="0">
                  <c:v>S3 Relief</c:v>
                </c:pt>
              </c:strCache>
            </c:strRef>
          </c:tx>
          <c:spPr>
            <a:ln w="22320">
              <a:solidFill>
                <a:srgbClr val="2E9B57"/>
              </a:solidFill>
              <a:round/>
            </a:ln>
          </c:spPr>
          <c:marker>
            <c:symbol val="circle"/>
            <c:size val="7"/>
            <c:spPr>
              <a:solidFill>
                <a:srgbClr val="2E9B57"/>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'01-DRAM-Model'!$D$58:$G$58</c:f>
              <c:strCache>
                <c:ptCount val="4"/>
                <c:pt idx="0">
                  <c:v>2025 start</c:v>
                </c:pt>
                <c:pt idx="1">
                  <c:v>2026</c:v>
                </c:pt>
                <c:pt idx="2">
                  <c:v>2027</c:v>
                </c:pt>
                <c:pt idx="3">
                  <c:v>2028</c:v>
                </c:pt>
              </c:strCache>
            </c:strRef>
          </c:cat>
          <c:val>
            <c:numRef>
              <c:f>'01-DRAM-Model'!$D$61:$G$61</c:f>
              <c:numCache>
                <c:formatCode>0.0%;[Red]\-0.0%;0.0%</c:formatCode>
                <c:ptCount val="4"/>
                <c:pt idx="0">
                  <c:v>-7.0000000000000007E-2</c:v>
                </c:pt>
                <c:pt idx="1">
                  <c:v>-0.13225212704902034</c:v>
                </c:pt>
                <c:pt idx="2">
                  <c:v>-0.11564697722326045</c:v>
                </c:pt>
                <c:pt idx="3">
                  <c:v>2.0952831578305409E-2</c:v>
                </c:pt>
              </c:numCache>
            </c:numRef>
          </c:val>
          <c:smooth val="0"/>
          <c:extLst>
            <c:ext xmlns:c16="http://schemas.microsoft.com/office/drawing/2014/chart" uri="{C3380CC4-5D6E-409C-BE32-E72D297353CC}">
              <c16:uniqueId val="{00000002-6C33-44E7-A9F6-7A6A7831F313}"/>
            </c:ext>
          </c:extLst>
        </c:ser>
        <c:ser>
          <c:idx val="3"/>
          <c:order val="3"/>
          <c:tx>
            <c:strRef>
              <c:f>'01-DRAM-Model'!$A$62</c:f>
              <c:strCache>
                <c:ptCount val="1"/>
                <c:pt idx="0">
                  <c:v>S4 Surplus</c:v>
                </c:pt>
              </c:strCache>
            </c:strRef>
          </c:tx>
          <c:spPr>
            <a:ln w="22320">
              <a:solidFill>
                <a:srgbClr val="E08A1E"/>
              </a:solidFill>
              <a:round/>
            </a:ln>
          </c:spPr>
          <c:marker>
            <c:symbol val="circle"/>
            <c:size val="7"/>
            <c:spPr>
              <a:solidFill>
                <a:srgbClr val="E08A1E"/>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'01-DRAM-Model'!$D$58:$G$58</c:f>
              <c:strCache>
                <c:ptCount val="4"/>
                <c:pt idx="0">
                  <c:v>2025 start</c:v>
                </c:pt>
                <c:pt idx="1">
                  <c:v>2026</c:v>
                </c:pt>
                <c:pt idx="2">
                  <c:v>2027</c:v>
                </c:pt>
                <c:pt idx="3">
                  <c:v>2028</c:v>
                </c:pt>
              </c:strCache>
            </c:strRef>
          </c:cat>
          <c:val>
            <c:numRef>
              <c:f>'01-DRAM-Model'!$D$62:$G$62</c:f>
              <c:numCache>
                <c:formatCode>0.0%;[Red]\-0.0%;0.0%</c:formatCode>
                <c:ptCount val="4"/>
                <c:pt idx="0">
                  <c:v>-7.0000000000000007E-2</c:v>
                </c:pt>
                <c:pt idx="1">
                  <c:v>-0.1183681610818047</c:v>
                </c:pt>
                <c:pt idx="2">
                  <c:v>-4.718505423346897E-2</c:v>
                </c:pt>
                <c:pt idx="3">
                  <c:v>0.18997193377153598</c:v>
                </c:pt>
              </c:numCache>
            </c:numRef>
          </c:val>
          <c:smooth val="0"/>
          <c:extLst>
            <c:ext xmlns:c16="http://schemas.microsoft.com/office/drawing/2014/chart" uri="{C3380CC4-5D6E-409C-BE32-E72D297353CC}">
              <c16:uniqueId val="{00000003-6C33-44E7-A9F6-7A6A7831F313}"/>
            </c:ext>
          </c:extLst>
        </c:ser>
        <c:ser>
          <c:idx val="4"/>
          <c:order val="4"/>
          <c:tx>
            <c:strRef>
              <c:f>'01-DRAM-Model'!$A$63</c:f>
              <c:strCache>
                <c:ptCount val="1"/>
                <c:pt idx="0">
                  <c:v>S5 Collapse</c:v>
                </c:pt>
              </c:strCache>
            </c:strRef>
          </c:tx>
          <c:spPr>
            <a:ln w="22320">
              <a:solidFill>
                <a:srgbClr val="8E44AD"/>
              </a:solidFill>
              <a:round/>
            </a:ln>
          </c:spPr>
          <c:marker>
            <c:symbol val="circle"/>
            <c:size val="7"/>
            <c:spPr>
              <a:solidFill>
                <a:srgbClr val="8E44AD"/>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'01-DRAM-Model'!$D$58:$G$58</c:f>
              <c:strCache>
                <c:ptCount val="4"/>
                <c:pt idx="0">
                  <c:v>2025 start</c:v>
                </c:pt>
                <c:pt idx="1">
                  <c:v>2026</c:v>
                </c:pt>
                <c:pt idx="2">
                  <c:v>2027</c:v>
                </c:pt>
                <c:pt idx="3">
                  <c:v>2028</c:v>
                </c:pt>
              </c:strCache>
            </c:strRef>
          </c:cat>
          <c:val>
            <c:numRef>
              <c:f>'01-DRAM-Model'!$D$63:$G$63</c:f>
              <c:numCache>
                <c:formatCode>0.0%;[Red]\-0.0%;0.0%</c:formatCode>
                <c:ptCount val="4"/>
                <c:pt idx="0">
                  <c:v>-7.0000000000000007E-2</c:v>
                </c:pt>
                <c:pt idx="1">
                  <c:v>-7.3916135590130883E-2</c:v>
                </c:pt>
                <c:pt idx="2">
                  <c:v>9.8428048768609777E-2</c:v>
                </c:pt>
                <c:pt idx="3">
                  <c:v>0.77784142217135321</c:v>
                </c:pt>
              </c:numCache>
            </c:numRef>
          </c:val>
          <c:smooth val="0"/>
          <c:extLst>
            <c:ext xmlns:c16="http://schemas.microsoft.com/office/drawing/2014/chart" uri="{C3380CC4-5D6E-409C-BE32-E72D297353CC}">
              <c16:uniqueId val="{00000004-6C33-44E7-A9F6-7A6A7831F313}"/>
            </c:ext>
          </c:extLst>
        </c:ser>
        <c:ser>
          <c:idx val="5"/>
          <c:order val="5"/>
          <c:tx>
            <c:strRef>
              <c:f>'01-DRAM-Model'!$A$64</c:f>
              <c:strCache>
                <c:ptCount val="1"/>
                <c:pt idx="0">
                  <c:v>Probability weighted (mean)</c:v>
                </c:pt>
              </c:strCache>
            </c:strRef>
          </c:tx>
          <c:spPr>
            <a:ln w="38160">
              <a:solidFill>
                <a:srgbClr val="000000"/>
              </a:solidFill>
              <a:round/>
            </a:ln>
          </c:spPr>
          <c:marker>
            <c:symbol val="circle"/>
            <c:size val="7"/>
            <c:spPr>
              <a:solidFill>
                <a:srgbClr val="000000"/>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'01-DRAM-Model'!$D$58:$G$58</c:f>
              <c:strCache>
                <c:ptCount val="4"/>
                <c:pt idx="0">
                  <c:v>2025 start</c:v>
                </c:pt>
                <c:pt idx="1">
                  <c:v>2026</c:v>
                </c:pt>
                <c:pt idx="2">
                  <c:v>2027</c:v>
                </c:pt>
                <c:pt idx="3">
                  <c:v>2028</c:v>
                </c:pt>
              </c:strCache>
            </c:strRef>
          </c:cat>
          <c:val>
            <c:numRef>
              <c:f>'01-DRAM-Model'!$D$64:$G$64</c:f>
              <c:numCache>
                <c:formatCode>0.0%;[Red]\-0.0%;0.0%</c:formatCode>
                <c:ptCount val="4"/>
                <c:pt idx="0">
                  <c:v>-7.0000000000000021E-2</c:v>
                </c:pt>
                <c:pt idx="1">
                  <c:v>-0.13951261391371647</c:v>
                </c:pt>
                <c:pt idx="2">
                  <c:v>-0.16813457305789237</c:v>
                </c:pt>
                <c:pt idx="3">
                  <c:v>-9.4430550991501438E-2</c:v>
                </c:pt>
              </c:numCache>
            </c:numRef>
          </c:val>
          <c:smooth val="0"/>
          <c:extLst>
            <c:ext xmlns:c16="http://schemas.microsoft.com/office/drawing/2014/chart" uri="{C3380CC4-5D6E-409C-BE32-E72D297353CC}">
              <c16:uniqueId val="{00000005-6C33-44E7-A9F6-7A6A7831F313}"/>
            </c:ext>
          </c:extLst>
        </c:ser>
        <c:dLbls>
          <c:showLegendKey val="0"/>
          <c:showVal val="0"/>
          <c:showCatName val="0"/>
          <c:showSerName val="0"/>
          <c:showPercent val="0"/>
          <c:showBubbleSize val="0"/>
        </c:dLbls>
        <c:hiLowLines>
          <c:spPr>
            <a:ln w="0">
              <a:noFill/>
            </a:ln>
          </c:spPr>
        </c:hiLowLines>
        <c:marker val="1"/>
        <c:smooth val="0"/>
        <c:axId val="65756910"/>
        <c:axId val="78527974"/>
      </c:lineChart>
      <c:catAx>
        <c:axId val="65756910"/>
        <c:scaling>
          <c:orientation val="minMax"/>
        </c:scaling>
        <c:delete val="0"/>
        <c:axPos val="b"/>
        <c:numFmt formatCode="General" sourceLinked="1"/>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78527974"/>
        <c:crosses val="autoZero"/>
        <c:auto val="1"/>
        <c:lblAlgn val="ctr"/>
        <c:lblOffset val="100"/>
        <c:noMultiLvlLbl val="0"/>
      </c:catAx>
      <c:valAx>
        <c:axId val="78527974"/>
        <c:scaling>
          <c:orientation val="minMax"/>
        </c:scaling>
        <c:delete val="0"/>
        <c:axPos val="l"/>
        <c:majorGridlines>
          <c:spPr>
            <a:ln w="9360">
              <a:solidFill>
                <a:srgbClr val="E6EAF0"/>
              </a:solidFill>
              <a:round/>
            </a:ln>
          </c:spPr>
        </c:majorGridlines>
        <c:numFmt formatCode="0%" sourceLinked="0"/>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65756910"/>
        <c:crosses val="autoZero"/>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Arial"/>
            </a:defRPr>
          </a:pPr>
          <a:endParaRPr lang="zh-C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300" b="1" strike="noStrike" spc="-1">
                <a:solidFill>
                  <a:srgbClr val="16305B"/>
                </a:solidFill>
                <a:latin typeface="Arial"/>
              </a:defRPr>
            </a:pPr>
            <a:r>
              <a:rPr sz="1300" b="1" strike="noStrike" spc="-1">
                <a:solidFill>
                  <a:srgbClr val="16305B"/>
                </a:solidFill>
                <a:latin typeface="Arial"/>
              </a:rPr>
              <a:t>Chart 3 · S2 base case: three-factor decomposition of supply bit growth</a:t>
            </a:r>
          </a:p>
        </c:rich>
      </c:tx>
      <c:overlay val="0"/>
      <c:spPr>
        <a:noFill/>
        <a:ln w="0">
          <a:noFill/>
        </a:ln>
      </c:spPr>
    </c:title>
    <c:autoTitleDeleted val="0"/>
    <c:plotArea>
      <c:layout/>
      <c:barChart>
        <c:barDir val="col"/>
        <c:grouping val="clustered"/>
        <c:varyColors val="0"/>
        <c:ser>
          <c:idx val="0"/>
          <c:order val="0"/>
          <c:tx>
            <c:strRef>
              <c:f>'01-DRAM-Model'!$B$70</c:f>
              <c:strCache>
                <c:ptCount val="1"/>
                <c:pt idx="0">
                  <c:v>Wafer capacity contribution</c:v>
                </c:pt>
              </c:strCache>
            </c:strRef>
          </c:tx>
          <c:spPr>
            <a:solidFill>
              <a:srgbClr val="9AA7B5"/>
            </a:solidFill>
            <a:ln w="0">
              <a:noFill/>
            </a:ln>
          </c:spPr>
          <c:invertIfNegative val="0"/>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'01-DRAM-Model'!$A$71:$A$73</c:f>
              <c:strCache>
                <c:ptCount val="3"/>
                <c:pt idx="0">
                  <c:v>2026</c:v>
                </c:pt>
                <c:pt idx="1">
                  <c:v>2027</c:v>
                </c:pt>
                <c:pt idx="2">
                  <c:v>2028</c:v>
                </c:pt>
              </c:strCache>
            </c:strRef>
          </c:cat>
          <c:val>
            <c:numRef>
              <c:f>'01-DRAM-Model'!$B$71:$B$73</c:f>
              <c:numCache>
                <c:formatCode>0.0%;[Red]\-0.0%;0.0%</c:formatCode>
                <c:ptCount val="3"/>
                <c:pt idx="0">
                  <c:v>7.0000000000000007E-2</c:v>
                </c:pt>
                <c:pt idx="1">
                  <c:v>0.1</c:v>
                </c:pt>
                <c:pt idx="2">
                  <c:v>0.16</c:v>
                </c:pt>
              </c:numCache>
            </c:numRef>
          </c:val>
          <c:extLst>
            <c:ext xmlns:c16="http://schemas.microsoft.com/office/drawing/2014/chart" uri="{C3380CC4-5D6E-409C-BE32-E72D297353CC}">
              <c16:uniqueId val="{00000000-A5BF-4BA5-9A03-A7D18F38D099}"/>
            </c:ext>
          </c:extLst>
        </c:ser>
        <c:ser>
          <c:idx val="1"/>
          <c:order val="1"/>
          <c:tx>
            <c:strRef>
              <c:f>'01-DRAM-Model'!$C$70</c:f>
              <c:strCache>
                <c:ptCount val="1"/>
                <c:pt idx="0">
                  <c:v>Node migration contribution</c:v>
                </c:pt>
              </c:strCache>
            </c:strRef>
          </c:tx>
          <c:spPr>
            <a:solidFill>
              <a:srgbClr val="16305B"/>
            </a:solidFill>
            <a:ln w="0">
              <a:noFill/>
            </a:ln>
          </c:spPr>
          <c:invertIfNegative val="0"/>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'01-DRAM-Model'!$A$71:$A$73</c:f>
              <c:strCache>
                <c:ptCount val="3"/>
                <c:pt idx="0">
                  <c:v>2026</c:v>
                </c:pt>
                <c:pt idx="1">
                  <c:v>2027</c:v>
                </c:pt>
                <c:pt idx="2">
                  <c:v>2028</c:v>
                </c:pt>
              </c:strCache>
            </c:strRef>
          </c:cat>
          <c:val>
            <c:numRef>
              <c:f>'01-DRAM-Model'!$C$71:$C$73</c:f>
              <c:numCache>
                <c:formatCode>0.0%;[Red]\-0.0%;0.0%</c:formatCode>
                <c:ptCount val="3"/>
                <c:pt idx="0">
                  <c:v>0.1391</c:v>
                </c:pt>
                <c:pt idx="1">
                  <c:v>0.13200000000000001</c:v>
                </c:pt>
                <c:pt idx="2">
                  <c:v>0.12759999999999999</c:v>
                </c:pt>
              </c:numCache>
            </c:numRef>
          </c:val>
          <c:extLst>
            <c:ext xmlns:c16="http://schemas.microsoft.com/office/drawing/2014/chart" uri="{C3380CC4-5D6E-409C-BE32-E72D297353CC}">
              <c16:uniqueId val="{00000001-A5BF-4BA5-9A03-A7D18F38D099}"/>
            </c:ext>
          </c:extLst>
        </c:ser>
        <c:ser>
          <c:idx val="2"/>
          <c:order val="2"/>
          <c:tx>
            <c:strRef>
              <c:f>'01-DRAM-Model'!$D$70</c:f>
              <c:strCache>
                <c:ptCount val="1"/>
                <c:pt idx="0">
                  <c:v>HBM drag</c:v>
                </c:pt>
              </c:strCache>
            </c:strRef>
          </c:tx>
          <c:spPr>
            <a:solidFill>
              <a:srgbClr val="C0392B"/>
            </a:solidFill>
            <a:ln w="0">
              <a:noFill/>
            </a:ln>
          </c:spPr>
          <c:invertIfNegative val="0"/>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'01-DRAM-Model'!$A$71:$A$73</c:f>
              <c:strCache>
                <c:ptCount val="3"/>
                <c:pt idx="0">
                  <c:v>2026</c:v>
                </c:pt>
                <c:pt idx="1">
                  <c:v>2027</c:v>
                </c:pt>
                <c:pt idx="2">
                  <c:v>2028</c:v>
                </c:pt>
              </c:strCache>
            </c:strRef>
          </c:cat>
          <c:val>
            <c:numRef>
              <c:f>'01-DRAM-Model'!$D$71:$D$73</c:f>
              <c:numCache>
                <c:formatCode>0.0%;[Red]\-0.0%;0.0%</c:formatCode>
                <c:ptCount val="3"/>
                <c:pt idx="0">
                  <c:v>-2.4110969195973941E-2</c:v>
                </c:pt>
                <c:pt idx="1">
                  <c:v>-5.6810099542180512E-2</c:v>
                </c:pt>
                <c:pt idx="2">
                  <c:v>-1.4843438207775011E-2</c:v>
                </c:pt>
              </c:numCache>
            </c:numRef>
          </c:val>
          <c:extLst>
            <c:ext xmlns:c16="http://schemas.microsoft.com/office/drawing/2014/chart" uri="{C3380CC4-5D6E-409C-BE32-E72D297353CC}">
              <c16:uniqueId val="{00000002-A5BF-4BA5-9A03-A7D18F38D099}"/>
            </c:ext>
          </c:extLst>
        </c:ser>
        <c:dLbls>
          <c:showLegendKey val="0"/>
          <c:showVal val="0"/>
          <c:showCatName val="0"/>
          <c:showSerName val="0"/>
          <c:showPercent val="0"/>
          <c:showBubbleSize val="0"/>
        </c:dLbls>
        <c:gapWidth val="70"/>
        <c:axId val="30531434"/>
        <c:axId val="50137388"/>
      </c:barChart>
      <c:catAx>
        <c:axId val="30531434"/>
        <c:scaling>
          <c:orientation val="minMax"/>
        </c:scaling>
        <c:delete val="0"/>
        <c:axPos val="b"/>
        <c:numFmt formatCode="General" sourceLinked="1"/>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50137388"/>
        <c:crosses val="autoZero"/>
        <c:auto val="1"/>
        <c:lblAlgn val="ctr"/>
        <c:lblOffset val="100"/>
        <c:noMultiLvlLbl val="0"/>
      </c:catAx>
      <c:valAx>
        <c:axId val="50137388"/>
        <c:scaling>
          <c:orientation val="minMax"/>
        </c:scaling>
        <c:delete val="0"/>
        <c:axPos val="l"/>
        <c:majorGridlines>
          <c:spPr>
            <a:ln w="9360">
              <a:solidFill>
                <a:srgbClr val="E6EAF0"/>
              </a:solidFill>
              <a:round/>
            </a:ln>
          </c:spPr>
        </c:majorGridlines>
        <c:numFmt formatCode="0%" sourceLinked="0"/>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30531434"/>
        <c:crosses val="autoZero"/>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Arial"/>
            </a:defRPr>
          </a:pPr>
          <a:endParaRPr lang="zh-C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300" b="1" strike="noStrike" spc="-1">
                <a:solidFill>
                  <a:srgbClr val="16305B"/>
                </a:solidFill>
                <a:latin typeface="Arial"/>
              </a:defRPr>
            </a:pPr>
            <a:r>
              <a:rPr sz="1300" b="1" strike="noStrike" spc="-1">
                <a:solidFill>
                  <a:srgbClr val="16305B"/>
                </a:solidFill>
                <a:latin typeface="Arial"/>
              </a:rPr>
              <a:t>Chart 4 · 2027 single-variable sensitivity: effect of ±4pp on the growth gap</a:t>
            </a:r>
          </a:p>
        </c:rich>
      </c:tx>
      <c:overlay val="0"/>
      <c:spPr>
        <a:noFill/>
        <a:ln w="0">
          <a:noFill/>
        </a:ln>
      </c:spPr>
    </c:title>
    <c:autoTitleDeleted val="0"/>
    <c:plotArea>
      <c:layout/>
      <c:barChart>
        <c:barDir val="bar"/>
        <c:grouping val="clustered"/>
        <c:varyColors val="0"/>
        <c:ser>
          <c:idx val="0"/>
          <c:order val="0"/>
          <c:tx>
            <c:strRef>
              <c:f>'01-DRAM-Model'!$C$77</c:f>
              <c:strCache>
                <c:ptCount val="1"/>
                <c:pt idx="0">
                  <c:v>−4pp</c:v>
                </c:pt>
              </c:strCache>
            </c:strRef>
          </c:tx>
          <c:spPr>
            <a:solidFill>
              <a:srgbClr val="C0392B"/>
            </a:solidFill>
            <a:ln w="0">
              <a:noFill/>
            </a:ln>
          </c:spPr>
          <c:invertIfNegative val="0"/>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'01-DRAM-Model'!$A$78:$A$81</c:f>
              <c:strCache>
                <c:ptCount val="4"/>
                <c:pt idx="0">
                  <c:v>Wafer capacity growth</c:v>
                </c:pt>
                <c:pt idx="1">
                  <c:v>Node bit uplift</c:v>
                </c:pt>
                <c:pt idx="2">
                  <c:v>HBM wafer share</c:v>
                </c:pt>
                <c:pt idx="3">
                  <c:v>Demand growth</c:v>
                </c:pt>
              </c:strCache>
            </c:strRef>
          </c:cat>
          <c:val>
            <c:numRef>
              <c:f>'01-DRAM-Model'!$C$78:$C$81</c:f>
              <c:numCache>
                <c:formatCode>0.0%;[Red]\-0.0%;0.0%</c:formatCode>
                <c:ptCount val="4"/>
                <c:pt idx="0">
                  <c:v>-0.13754427774064637</c:v>
                </c:pt>
                <c:pt idx="1">
                  <c:v>-0.13678116741567381</c:v>
                </c:pt>
                <c:pt idx="2">
                  <c:v>-5.8922481385401682E-2</c:v>
                </c:pt>
                <c:pt idx="3">
                  <c:v>-5.4810099542180329E-2</c:v>
                </c:pt>
              </c:numCache>
            </c:numRef>
          </c:val>
          <c:extLst>
            <c:ext xmlns:c16="http://schemas.microsoft.com/office/drawing/2014/chart" uri="{C3380CC4-5D6E-409C-BE32-E72D297353CC}">
              <c16:uniqueId val="{00000000-2097-4744-A4D2-083558D7C17A}"/>
            </c:ext>
          </c:extLst>
        </c:ser>
        <c:ser>
          <c:idx val="1"/>
          <c:order val="1"/>
          <c:tx>
            <c:strRef>
              <c:f>'01-DRAM-Model'!$G$77</c:f>
              <c:strCache>
                <c:ptCount val="1"/>
                <c:pt idx="0">
                  <c:v>+4pp</c:v>
                </c:pt>
              </c:strCache>
            </c:strRef>
          </c:tx>
          <c:spPr>
            <a:solidFill>
              <a:srgbClr val="4472C4"/>
            </a:solidFill>
            <a:ln w="0">
              <a:noFill/>
            </a:ln>
          </c:spPr>
          <c:invertIfNegative val="0"/>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'01-DRAM-Model'!$A$78:$A$81</c:f>
              <c:strCache>
                <c:ptCount val="4"/>
                <c:pt idx="0">
                  <c:v>Wafer capacity growth</c:v>
                </c:pt>
                <c:pt idx="1">
                  <c:v>Node bit uplift</c:v>
                </c:pt>
                <c:pt idx="2">
                  <c:v>HBM wafer share</c:v>
                </c:pt>
                <c:pt idx="3">
                  <c:v>Demand growth</c:v>
                </c:pt>
              </c:strCache>
            </c:strRef>
          </c:cat>
          <c:val>
            <c:numRef>
              <c:f>'01-DRAM-Model'!$G$78:$G$81</c:f>
              <c:numCache>
                <c:formatCode>0.0%;[Red]\-0.0%;0.0%</c:formatCode>
                <c:ptCount val="4"/>
                <c:pt idx="0">
                  <c:v>-5.2075921343714304E-2</c:v>
                </c:pt>
                <c:pt idx="1">
                  <c:v>-5.2839031668686642E-2</c:v>
                </c:pt>
                <c:pt idx="2">
                  <c:v>-0.13069771769895877</c:v>
                </c:pt>
                <c:pt idx="3">
                  <c:v>-0.13481009954218032</c:v>
                </c:pt>
              </c:numCache>
            </c:numRef>
          </c:val>
          <c:extLst>
            <c:ext xmlns:c16="http://schemas.microsoft.com/office/drawing/2014/chart" uri="{C3380CC4-5D6E-409C-BE32-E72D297353CC}">
              <c16:uniqueId val="{00000001-2097-4744-A4D2-083558D7C17A}"/>
            </c:ext>
          </c:extLst>
        </c:ser>
        <c:dLbls>
          <c:showLegendKey val="0"/>
          <c:showVal val="0"/>
          <c:showCatName val="0"/>
          <c:showSerName val="0"/>
          <c:showPercent val="0"/>
          <c:showBubbleSize val="0"/>
        </c:dLbls>
        <c:gapWidth val="70"/>
        <c:axId val="97421431"/>
        <c:axId val="4131430"/>
      </c:barChart>
      <c:catAx>
        <c:axId val="97421431"/>
        <c:scaling>
          <c:orientation val="minMax"/>
        </c:scaling>
        <c:delete val="0"/>
        <c:axPos val="l"/>
        <c:numFmt formatCode="General" sourceLinked="1"/>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4131430"/>
        <c:crosses val="autoZero"/>
        <c:auto val="1"/>
        <c:lblAlgn val="ctr"/>
        <c:lblOffset val="100"/>
        <c:noMultiLvlLbl val="0"/>
      </c:catAx>
      <c:valAx>
        <c:axId val="4131430"/>
        <c:scaling>
          <c:orientation val="minMax"/>
        </c:scaling>
        <c:delete val="0"/>
        <c:axPos val="b"/>
        <c:majorGridlines>
          <c:spPr>
            <a:ln w="9360">
              <a:solidFill>
                <a:srgbClr val="E6EAF0"/>
              </a:solidFill>
              <a:round/>
            </a:ln>
          </c:spPr>
        </c:majorGridlines>
        <c:numFmt formatCode="0%" sourceLinked="0"/>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97421431"/>
        <c:crosses val="autoZero"/>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Arial"/>
            </a:defRPr>
          </a:pPr>
          <a:endParaRPr lang="zh-C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300" b="1" strike="noStrike" spc="-1">
                <a:solidFill>
                  <a:srgbClr val="16305B"/>
                </a:solidFill>
                <a:latin typeface="Arial"/>
              </a:defRPr>
            </a:pPr>
            <a:r>
              <a:rPr sz="1300" b="1" strike="noStrike" spc="-1">
                <a:solidFill>
                  <a:srgbClr val="16305B"/>
                </a:solidFill>
                <a:latin typeface="Arial"/>
              </a:rPr>
              <a:t>Chart 5 · The same model on four bases: how much the word 'basis' is worth</a:t>
            </a:r>
          </a:p>
        </c:rich>
      </c:tx>
      <c:overlay val="0"/>
      <c:spPr>
        <a:noFill/>
        <a:ln w="0">
          <a:noFill/>
        </a:ln>
      </c:spPr>
    </c:title>
    <c:autoTitleDeleted val="0"/>
    <c:plotArea>
      <c:layout/>
      <c:lineChart>
        <c:grouping val="standard"/>
        <c:varyColors val="0"/>
        <c:ser>
          <c:idx val="0"/>
          <c:order val="0"/>
          <c:tx>
            <c:strRef>
              <c:f>'01-DRAM-Model'!$A$121</c:f>
              <c:strCache>
                <c:ptCount val="1"/>
                <c:pt idx="0">
                  <c:v>v1.0 flow: supply−demand growth gap</c:v>
                </c:pt>
              </c:strCache>
            </c:strRef>
          </c:tx>
          <c:spPr>
            <a:ln w="22320">
              <a:solidFill>
                <a:srgbClr val="C0392B"/>
              </a:solidFill>
              <a:round/>
            </a:ln>
          </c:spPr>
          <c:marker>
            <c:symbol val="circle"/>
            <c:size val="7"/>
            <c:spPr>
              <a:solidFill>
                <a:srgbClr val="C0392B"/>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'01-DRAM-Model'!$B$120:$D$120</c:f>
              <c:strCache>
                <c:ptCount val="3"/>
                <c:pt idx="0">
                  <c:v>2026</c:v>
                </c:pt>
                <c:pt idx="1">
                  <c:v>2027</c:v>
                </c:pt>
                <c:pt idx="2">
                  <c:v>2028</c:v>
                </c:pt>
              </c:strCache>
            </c:strRef>
          </c:cat>
          <c:val>
            <c:numRef>
              <c:f>'01-DRAM-Model'!$B$121:$D$121</c:f>
              <c:numCache>
                <c:formatCode>0.0%;[Red]\-0.0%;0.0%</c:formatCode>
                <c:ptCount val="3"/>
                <c:pt idx="0">
                  <c:v>-9.6010969195973961E-2</c:v>
                </c:pt>
                <c:pt idx="1">
                  <c:v>-4.647754395731539E-2</c:v>
                </c:pt>
                <c:pt idx="2">
                  <c:v>9.1620263391414464E-2</c:v>
                </c:pt>
              </c:numCache>
            </c:numRef>
          </c:val>
          <c:smooth val="0"/>
          <c:extLst>
            <c:ext xmlns:c16="http://schemas.microsoft.com/office/drawing/2014/chart" uri="{C3380CC4-5D6E-409C-BE32-E72D297353CC}">
              <c16:uniqueId val="{00000000-705F-49FE-9897-6A9AC70C2633}"/>
            </c:ext>
          </c:extLst>
        </c:ser>
        <c:ser>
          <c:idx val="1"/>
          <c:order val="1"/>
          <c:tx>
            <c:strRef>
              <c:f>'01-DRAM-Model'!$A$122</c:f>
              <c:strCache>
                <c:ptCount val="1"/>
                <c:pt idx="0">
                  <c:v>v2.0 stock: multiplicative recursion</c:v>
                </c:pt>
              </c:strCache>
            </c:strRef>
          </c:tx>
          <c:spPr>
            <a:ln w="22320">
              <a:solidFill>
                <a:srgbClr val="16305B"/>
              </a:solidFill>
              <a:round/>
            </a:ln>
          </c:spPr>
          <c:marker>
            <c:symbol val="circle"/>
            <c:size val="7"/>
            <c:spPr>
              <a:solidFill>
                <a:srgbClr val="16305B"/>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'01-DRAM-Model'!$B$120:$D$120</c:f>
              <c:strCache>
                <c:ptCount val="3"/>
                <c:pt idx="0">
                  <c:v>2026</c:v>
                </c:pt>
                <c:pt idx="1">
                  <c:v>2027</c:v>
                </c:pt>
                <c:pt idx="2">
                  <c:v>2028</c:v>
                </c:pt>
              </c:strCache>
            </c:strRef>
          </c:cat>
          <c:val>
            <c:numRef>
              <c:f>'01-DRAM-Model'!$B$122:$D$122</c:f>
              <c:numCache>
                <c:formatCode>0.0%;[Red]\-0.0%;0.0%</c:formatCode>
                <c:ptCount val="3"/>
                <c:pt idx="0">
                  <c:v>-0.13951261391371647</c:v>
                </c:pt>
                <c:pt idx="1">
                  <c:v>-0.16813457305789237</c:v>
                </c:pt>
                <c:pt idx="2">
                  <c:v>-9.4430550991501438E-2</c:v>
                </c:pt>
              </c:numCache>
            </c:numRef>
          </c:val>
          <c:smooth val="0"/>
          <c:extLst>
            <c:ext xmlns:c16="http://schemas.microsoft.com/office/drawing/2014/chart" uri="{C3380CC4-5D6E-409C-BE32-E72D297353CC}">
              <c16:uniqueId val="{00000001-705F-49FE-9897-6A9AC70C2633}"/>
            </c:ext>
          </c:extLst>
        </c:ser>
        <c:ser>
          <c:idx val="2"/>
          <c:order val="2"/>
          <c:tx>
            <c:strRef>
              <c:f>'01-DRAM-Model'!$A$123</c:f>
              <c:strCache>
                <c:ptCount val="1"/>
                <c:pt idx="0">
                  <c:v>After the HBM basis correction</c:v>
                </c:pt>
              </c:strCache>
            </c:strRef>
          </c:tx>
          <c:spPr>
            <a:ln w="22320">
              <a:solidFill>
                <a:srgbClr val="2E9B57"/>
              </a:solidFill>
              <a:round/>
            </a:ln>
          </c:spPr>
          <c:marker>
            <c:symbol val="circle"/>
            <c:size val="7"/>
            <c:spPr>
              <a:solidFill>
                <a:srgbClr val="2E9B57"/>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'01-DRAM-Model'!$B$120:$D$120</c:f>
              <c:strCache>
                <c:ptCount val="3"/>
                <c:pt idx="0">
                  <c:v>2026</c:v>
                </c:pt>
                <c:pt idx="1">
                  <c:v>2027</c:v>
                </c:pt>
                <c:pt idx="2">
                  <c:v>2028</c:v>
                </c:pt>
              </c:strCache>
            </c:strRef>
          </c:cat>
          <c:val>
            <c:numRef>
              <c:f>'01-DRAM-Model'!$B$123:$D$123</c:f>
              <c:numCache>
                <c:formatCode>0.0%;[Red]\-0.0%;0.0%</c:formatCode>
                <c:ptCount val="3"/>
                <c:pt idx="0">
                  <c:v>-0.13951261391371647</c:v>
                </c:pt>
                <c:pt idx="1">
                  <c:v>-0.16813457305789237</c:v>
                </c:pt>
                <c:pt idx="2">
                  <c:v>-9.4430550991501438E-2</c:v>
                </c:pt>
              </c:numCache>
            </c:numRef>
          </c:val>
          <c:smooth val="0"/>
          <c:extLst>
            <c:ext xmlns:c16="http://schemas.microsoft.com/office/drawing/2014/chart" uri="{C3380CC4-5D6E-409C-BE32-E72D297353CC}">
              <c16:uniqueId val="{00000002-705F-49FE-9897-6A9AC70C2633}"/>
            </c:ext>
          </c:extLst>
        </c:ser>
        <c:ser>
          <c:idx val="3"/>
          <c:order val="3"/>
          <c:tx>
            <c:strRef>
              <c:f>'01-DRAM-Model'!$A$124</c:f>
              <c:strCache>
                <c:ptCount val="1"/>
                <c:pt idx="0">
                  <c:v>True stock: additive accumulation</c:v>
                </c:pt>
              </c:strCache>
            </c:strRef>
          </c:tx>
          <c:spPr>
            <a:ln w="22320">
              <a:solidFill>
                <a:srgbClr val="E08A1E"/>
              </a:solidFill>
              <a:round/>
            </a:ln>
          </c:spPr>
          <c:marker>
            <c:symbol val="circle"/>
            <c:size val="7"/>
            <c:spPr>
              <a:solidFill>
                <a:srgbClr val="E08A1E"/>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'01-DRAM-Model'!$B$120:$D$120</c:f>
              <c:strCache>
                <c:ptCount val="3"/>
                <c:pt idx="0">
                  <c:v>2026</c:v>
                </c:pt>
                <c:pt idx="1">
                  <c:v>2027</c:v>
                </c:pt>
                <c:pt idx="2">
                  <c:v>2028</c:v>
                </c:pt>
              </c:strCache>
            </c:strRef>
          </c:cat>
          <c:val>
            <c:numRef>
              <c:f>'01-DRAM-Model'!$B$124:$D$124</c:f>
              <c:numCache>
                <c:formatCode>0.0%;[Red]\-0.0%;0.0%</c:formatCode>
                <c:ptCount val="3"/>
                <c:pt idx="0">
                  <c:v>-0.12940168058476045</c:v>
                </c:pt>
                <c:pt idx="1">
                  <c:v>-0.20882474780376481</c:v>
                </c:pt>
                <c:pt idx="2">
                  <c:v>-0.19422988098558347</c:v>
                </c:pt>
              </c:numCache>
            </c:numRef>
          </c:val>
          <c:smooth val="0"/>
          <c:extLst>
            <c:ext xmlns:c16="http://schemas.microsoft.com/office/drawing/2014/chart" uri="{C3380CC4-5D6E-409C-BE32-E72D297353CC}">
              <c16:uniqueId val="{00000003-705F-49FE-9897-6A9AC70C2633}"/>
            </c:ext>
          </c:extLst>
        </c:ser>
        <c:dLbls>
          <c:showLegendKey val="0"/>
          <c:showVal val="0"/>
          <c:showCatName val="0"/>
          <c:showSerName val="0"/>
          <c:showPercent val="0"/>
          <c:showBubbleSize val="0"/>
        </c:dLbls>
        <c:hiLowLines>
          <c:spPr>
            <a:ln w="0">
              <a:noFill/>
            </a:ln>
          </c:spPr>
        </c:hiLowLines>
        <c:marker val="1"/>
        <c:smooth val="0"/>
        <c:axId val="54855857"/>
        <c:axId val="95680843"/>
      </c:lineChart>
      <c:catAx>
        <c:axId val="54855857"/>
        <c:scaling>
          <c:orientation val="minMax"/>
        </c:scaling>
        <c:delete val="0"/>
        <c:axPos val="b"/>
        <c:numFmt formatCode="General" sourceLinked="1"/>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95680843"/>
        <c:crosses val="autoZero"/>
        <c:auto val="1"/>
        <c:lblAlgn val="ctr"/>
        <c:lblOffset val="100"/>
        <c:noMultiLvlLbl val="0"/>
      </c:catAx>
      <c:valAx>
        <c:axId val="95680843"/>
        <c:scaling>
          <c:orientation val="minMax"/>
        </c:scaling>
        <c:delete val="0"/>
        <c:axPos val="l"/>
        <c:majorGridlines>
          <c:spPr>
            <a:ln w="9360">
              <a:solidFill>
                <a:srgbClr val="E6EAF0"/>
              </a:solidFill>
              <a:round/>
            </a:ln>
          </c:spPr>
        </c:majorGridlines>
        <c:numFmt formatCode="0%" sourceLinked="0"/>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54855857"/>
        <c:crosses val="autoZero"/>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Arial"/>
            </a:defRPr>
          </a:pPr>
          <a:endParaRPr lang="zh-C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300" b="1" strike="noStrike" spc="-1">
                <a:solidFill>
                  <a:srgbClr val="16305B"/>
                </a:solidFill>
                <a:latin typeface="Arial"/>
              </a:defRPr>
            </a:pPr>
            <a:r>
              <a:rPr sz="1300" b="1" strike="noStrike" spc="-1">
                <a:solidFill>
                  <a:srgbClr val="16305B"/>
                </a:solidFill>
                <a:latin typeface="Arial"/>
              </a:rPr>
              <a:t>Chart 6 (v4.0) · 2027 growth gap by scenario: before and after the inventory correction</a:t>
            </a:r>
          </a:p>
        </c:rich>
      </c:tx>
      <c:overlay val="0"/>
      <c:spPr>
        <a:noFill/>
        <a:ln w="0">
          <a:noFill/>
        </a:ln>
      </c:spPr>
    </c:title>
    <c:autoTitleDeleted val="0"/>
    <c:plotArea>
      <c:layout/>
      <c:barChart>
        <c:barDir val="col"/>
        <c:grouping val="clustered"/>
        <c:varyColors val="0"/>
        <c:ser>
          <c:idx val="0"/>
          <c:order val="0"/>
          <c:tx>
            <c:strRef>
              <c:f>'01-DRAM-Model'!$C$129</c:f>
              <c:strCache>
                <c:ptCount val="1"/>
                <c:pt idx="0">
                  <c:v>2027 gap · v3.0
(production basis)</c:v>
                </c:pt>
              </c:strCache>
            </c:strRef>
          </c:tx>
          <c:spPr>
            <a:solidFill>
              <a:srgbClr val="9AA7B5"/>
            </a:solidFill>
            <a:ln w="0">
              <a:noFill/>
            </a:ln>
          </c:spPr>
          <c:invertIfNegative val="0"/>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'01-DRAM-Model'!$A$130:$A$134</c:f>
              <c:strCache>
                <c:ptCount val="5"/>
                <c:pt idx="0">
                  <c:v>S1 Extreme tightness</c:v>
                </c:pt>
                <c:pt idx="1">
                  <c:v>S2 Base case</c:v>
                </c:pt>
                <c:pt idx="2">
                  <c:v>S3 Relief</c:v>
                </c:pt>
                <c:pt idx="3">
                  <c:v>S4 Surplus</c:v>
                </c:pt>
                <c:pt idx="4">
                  <c:v>S5 Collapse</c:v>
                </c:pt>
              </c:strCache>
            </c:strRef>
          </c:cat>
          <c:val>
            <c:numRef>
              <c:f>'01-DRAM-Model'!$C$130:$C$134</c:f>
              <c:numCache>
                <c:formatCode>0.0%;[Red]\-0.0%;0.0%</c:formatCode>
                <c:ptCount val="5"/>
                <c:pt idx="0">
                  <c:v>-0.19461840373246736</c:v>
                </c:pt>
                <c:pt idx="1">
                  <c:v>-9.4810099542180337E-2</c:v>
                </c:pt>
                <c:pt idx="2">
                  <c:v>2.3154457550948526E-2</c:v>
                </c:pt>
                <c:pt idx="3">
                  <c:v>9.6080805399973046E-2</c:v>
                </c:pt>
                <c:pt idx="4">
                  <c:v>0.21029297216994214</c:v>
                </c:pt>
              </c:numCache>
            </c:numRef>
          </c:val>
          <c:extLst>
            <c:ext xmlns:c16="http://schemas.microsoft.com/office/drawing/2014/chart" uri="{C3380CC4-5D6E-409C-BE32-E72D297353CC}">
              <c16:uniqueId val="{00000000-056F-45F3-94E9-0403D0AF4EF3}"/>
            </c:ext>
          </c:extLst>
        </c:ser>
        <c:ser>
          <c:idx val="1"/>
          <c:order val="1"/>
          <c:tx>
            <c:strRef>
              <c:f>'01-DRAM-Model'!$D$129</c:f>
              <c:strCache>
                <c:ptCount val="1"/>
                <c:pt idx="0">
                  <c:v>2027 gap · v4.0
(inventory correction)</c:v>
                </c:pt>
              </c:strCache>
            </c:strRef>
          </c:tx>
          <c:spPr>
            <a:solidFill>
              <a:srgbClr val="B35C00"/>
            </a:solidFill>
            <a:ln w="0">
              <a:noFill/>
            </a:ln>
          </c:spPr>
          <c:invertIfNegative val="0"/>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'01-DRAM-Model'!$A$130:$A$134</c:f>
              <c:strCache>
                <c:ptCount val="5"/>
                <c:pt idx="0">
                  <c:v>S1 Extreme tightness</c:v>
                </c:pt>
                <c:pt idx="1">
                  <c:v>S2 Base case</c:v>
                </c:pt>
                <c:pt idx="2">
                  <c:v>S3 Relief</c:v>
                </c:pt>
                <c:pt idx="3">
                  <c:v>S4 Surplus</c:v>
                </c:pt>
                <c:pt idx="4">
                  <c:v>S5 Collapse</c:v>
                </c:pt>
              </c:strCache>
            </c:strRef>
          </c:cat>
          <c:val>
            <c:numRef>
              <c:f>'01-DRAM-Model'!$D$130:$D$134</c:f>
              <c:numCache>
                <c:formatCode>0.0%;[Red]\-0.0%;0.0%</c:formatCode>
                <c:ptCount val="5"/>
                <c:pt idx="0">
                  <c:v>-0.24404148065554426</c:v>
                </c:pt>
                <c:pt idx="1">
                  <c:v>-0.14423317646525724</c:v>
                </c:pt>
                <c:pt idx="2">
                  <c:v>-2.6268619372128377E-2</c:v>
                </c:pt>
                <c:pt idx="3">
                  <c:v>4.6657728476896143E-2</c:v>
                </c:pt>
                <c:pt idx="4">
                  <c:v>0.16086989524686524</c:v>
                </c:pt>
              </c:numCache>
            </c:numRef>
          </c:val>
          <c:extLst>
            <c:ext xmlns:c16="http://schemas.microsoft.com/office/drawing/2014/chart" uri="{C3380CC4-5D6E-409C-BE32-E72D297353CC}">
              <c16:uniqueId val="{00000001-056F-45F3-94E9-0403D0AF4EF3}"/>
            </c:ext>
          </c:extLst>
        </c:ser>
        <c:dLbls>
          <c:showLegendKey val="0"/>
          <c:showVal val="0"/>
          <c:showCatName val="0"/>
          <c:showSerName val="0"/>
          <c:showPercent val="0"/>
          <c:showBubbleSize val="0"/>
        </c:dLbls>
        <c:gapWidth val="70"/>
        <c:axId val="83366978"/>
        <c:axId val="76908740"/>
      </c:barChart>
      <c:catAx>
        <c:axId val="83366978"/>
        <c:scaling>
          <c:orientation val="minMax"/>
        </c:scaling>
        <c:delete val="0"/>
        <c:axPos val="b"/>
        <c:numFmt formatCode="General" sourceLinked="1"/>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76908740"/>
        <c:crosses val="autoZero"/>
        <c:auto val="1"/>
        <c:lblAlgn val="ctr"/>
        <c:lblOffset val="100"/>
        <c:noMultiLvlLbl val="0"/>
      </c:catAx>
      <c:valAx>
        <c:axId val="76908740"/>
        <c:scaling>
          <c:orientation val="minMax"/>
        </c:scaling>
        <c:delete val="0"/>
        <c:axPos val="l"/>
        <c:majorGridlines>
          <c:spPr>
            <a:ln w="9360">
              <a:solidFill>
                <a:srgbClr val="E6EAF0"/>
              </a:solidFill>
              <a:round/>
            </a:ln>
          </c:spPr>
        </c:majorGridlines>
        <c:numFmt formatCode="0%" sourceLinked="0"/>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83366978"/>
        <c:crosses val="autoZero"/>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Arial"/>
            </a:defRPr>
          </a:pPr>
          <a:endParaRPr lang="zh-C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300" b="1" strike="noStrike" spc="-1">
                <a:solidFill>
                  <a:srgbClr val="16305B"/>
                </a:solidFill>
                <a:latin typeface="Arial"/>
              </a:defRPr>
            </a:pPr>
            <a:r>
              <a:rPr lang="fr-FR" sz="1300" b="1" strike="noStrike" spc="-1">
                <a:solidFill>
                  <a:srgbClr val="16305B"/>
                </a:solidFill>
                <a:latin typeface="Arial"/>
              </a:rPr>
              <a:t>Chart 1 · Growth gap across four scenarios (flow basis)</a:t>
            </a:r>
          </a:p>
        </c:rich>
      </c:tx>
      <c:overlay val="0"/>
      <c:spPr>
        <a:noFill/>
        <a:ln w="0">
          <a:noFill/>
        </a:ln>
      </c:spPr>
    </c:title>
    <c:autoTitleDeleted val="0"/>
    <c:plotArea>
      <c:layout/>
      <c:lineChart>
        <c:grouping val="standard"/>
        <c:varyColors val="0"/>
        <c:ser>
          <c:idx val="0"/>
          <c:order val="0"/>
          <c:tx>
            <c:strRef>
              <c:f>'02-NAND-Model'!$A$30</c:f>
              <c:strCache>
                <c:ptCount val="1"/>
                <c:pt idx="0">
                  <c:v>N1 Stays tight</c:v>
                </c:pt>
              </c:strCache>
            </c:strRef>
          </c:tx>
          <c:spPr>
            <a:ln w="22320">
              <a:solidFill>
                <a:srgbClr val="C0392B"/>
              </a:solidFill>
              <a:round/>
            </a:ln>
          </c:spPr>
          <c:marker>
            <c:symbol val="circle"/>
            <c:size val="7"/>
            <c:spPr>
              <a:solidFill>
                <a:srgbClr val="C0392B"/>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'02-NAND-Model'!$D$29:$F$29</c:f>
              <c:strCache>
                <c:ptCount val="3"/>
                <c:pt idx="0">
                  <c:v>2026</c:v>
                </c:pt>
                <c:pt idx="1">
                  <c:v>2027</c:v>
                </c:pt>
                <c:pt idx="2">
                  <c:v>2028</c:v>
                </c:pt>
              </c:strCache>
            </c:strRef>
          </c:cat>
          <c:val>
            <c:numRef>
              <c:f>'02-NAND-Model'!$D$30:$F$30</c:f>
              <c:numCache>
                <c:formatCode>0.0%;[Red]\-0.0%;0.0%</c:formatCode>
                <c:ptCount val="3"/>
                <c:pt idx="0">
                  <c:v>-6.734500000000021E-2</c:v>
                </c:pt>
                <c:pt idx="1">
                  <c:v>-4.1536000000000017E-2</c:v>
                </c:pt>
                <c:pt idx="2">
                  <c:v>-1.6159999999999952E-2</c:v>
                </c:pt>
              </c:numCache>
            </c:numRef>
          </c:val>
          <c:smooth val="0"/>
          <c:extLst>
            <c:ext xmlns:c16="http://schemas.microsoft.com/office/drawing/2014/chart" uri="{C3380CC4-5D6E-409C-BE32-E72D297353CC}">
              <c16:uniqueId val="{00000000-F6FA-4E0A-B44C-3B0D39524D3C}"/>
            </c:ext>
          </c:extLst>
        </c:ser>
        <c:ser>
          <c:idx val="1"/>
          <c:order val="1"/>
          <c:tx>
            <c:strRef>
              <c:f>'02-NAND-Model'!$A$31</c:f>
              <c:strCache>
                <c:ptCount val="1"/>
                <c:pt idx="0">
                  <c:v>N2 Base case</c:v>
                </c:pt>
              </c:strCache>
            </c:strRef>
          </c:tx>
          <c:spPr>
            <a:ln w="22320">
              <a:solidFill>
                <a:srgbClr val="16305B"/>
              </a:solidFill>
              <a:round/>
            </a:ln>
          </c:spPr>
          <c:marker>
            <c:symbol val="circle"/>
            <c:size val="7"/>
            <c:spPr>
              <a:solidFill>
                <a:srgbClr val="16305B"/>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'02-NAND-Model'!$D$29:$F$29</c:f>
              <c:strCache>
                <c:ptCount val="3"/>
                <c:pt idx="0">
                  <c:v>2026</c:v>
                </c:pt>
                <c:pt idx="1">
                  <c:v>2027</c:v>
                </c:pt>
                <c:pt idx="2">
                  <c:v>2028</c:v>
                </c:pt>
              </c:strCache>
            </c:strRef>
          </c:cat>
          <c:val>
            <c:numRef>
              <c:f>'02-NAND-Model'!$D$31:$F$31</c:f>
              <c:numCache>
                <c:formatCode>0.0%;[Red]\-0.0%;0.0%</c:formatCode>
                <c:ptCount val="3"/>
                <c:pt idx="0">
                  <c:v>-6.734500000000021E-2</c:v>
                </c:pt>
                <c:pt idx="1">
                  <c:v>5.6170000000000025E-2</c:v>
                </c:pt>
                <c:pt idx="2">
                  <c:v>0.11449499999999999</c:v>
                </c:pt>
              </c:numCache>
            </c:numRef>
          </c:val>
          <c:smooth val="0"/>
          <c:extLst>
            <c:ext xmlns:c16="http://schemas.microsoft.com/office/drawing/2014/chart" uri="{C3380CC4-5D6E-409C-BE32-E72D297353CC}">
              <c16:uniqueId val="{00000001-F6FA-4E0A-B44C-3B0D39524D3C}"/>
            </c:ext>
          </c:extLst>
        </c:ser>
        <c:ser>
          <c:idx val="2"/>
          <c:order val="2"/>
          <c:tx>
            <c:strRef>
              <c:f>'02-NAND-Model'!$A$32</c:f>
              <c:strCache>
                <c:ptCount val="1"/>
                <c:pt idx="0">
                  <c:v>N3 Turns to surplus</c:v>
                </c:pt>
              </c:strCache>
            </c:strRef>
          </c:tx>
          <c:spPr>
            <a:ln w="22320">
              <a:solidFill>
                <a:srgbClr val="2E9B57"/>
              </a:solidFill>
              <a:round/>
            </a:ln>
          </c:spPr>
          <c:marker>
            <c:symbol val="circle"/>
            <c:size val="7"/>
            <c:spPr>
              <a:solidFill>
                <a:srgbClr val="2E9B57"/>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'02-NAND-Model'!$D$29:$F$29</c:f>
              <c:strCache>
                <c:ptCount val="3"/>
                <c:pt idx="0">
                  <c:v>2026</c:v>
                </c:pt>
                <c:pt idx="1">
                  <c:v>2027</c:v>
                </c:pt>
                <c:pt idx="2">
                  <c:v>2028</c:v>
                </c:pt>
              </c:strCache>
            </c:strRef>
          </c:cat>
          <c:val>
            <c:numRef>
              <c:f>'02-NAND-Model'!$D$32:$F$32</c:f>
              <c:numCache>
                <c:formatCode>0.0%;[Red]\-0.0%;0.0%</c:formatCode>
                <c:ptCount val="3"/>
                <c:pt idx="0">
                  <c:v>-4.734500000000022E-2</c:v>
                </c:pt>
                <c:pt idx="1">
                  <c:v>0.17943499999999996</c:v>
                </c:pt>
                <c:pt idx="2">
                  <c:v>0.27192000000000005</c:v>
                </c:pt>
              </c:numCache>
            </c:numRef>
          </c:val>
          <c:smooth val="0"/>
          <c:extLst>
            <c:ext xmlns:c16="http://schemas.microsoft.com/office/drawing/2014/chart" uri="{C3380CC4-5D6E-409C-BE32-E72D297353CC}">
              <c16:uniqueId val="{00000002-F6FA-4E0A-B44C-3B0D39524D3C}"/>
            </c:ext>
          </c:extLst>
        </c:ser>
        <c:ser>
          <c:idx val="3"/>
          <c:order val="3"/>
          <c:tx>
            <c:strRef>
              <c:f>'02-NAND-Model'!$A$33</c:f>
              <c:strCache>
                <c:ptCount val="1"/>
                <c:pt idx="0">
                  <c:v>N4 Large surplus</c:v>
                </c:pt>
              </c:strCache>
            </c:strRef>
          </c:tx>
          <c:spPr>
            <a:ln w="22320">
              <a:solidFill>
                <a:srgbClr val="E08A1E"/>
              </a:solidFill>
              <a:round/>
            </a:ln>
          </c:spPr>
          <c:marker>
            <c:symbol val="circle"/>
            <c:size val="7"/>
            <c:spPr>
              <a:solidFill>
                <a:srgbClr val="E08A1E"/>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'02-NAND-Model'!$D$29:$F$29</c:f>
              <c:strCache>
                <c:ptCount val="3"/>
                <c:pt idx="0">
                  <c:v>2026</c:v>
                </c:pt>
                <c:pt idx="1">
                  <c:v>2027</c:v>
                </c:pt>
                <c:pt idx="2">
                  <c:v>2028</c:v>
                </c:pt>
              </c:strCache>
            </c:strRef>
          </c:cat>
          <c:val>
            <c:numRef>
              <c:f>'02-NAND-Model'!$D$33:$F$33</c:f>
              <c:numCache>
                <c:formatCode>0.0%;[Red]\-0.0%;0.0%</c:formatCode>
                <c:ptCount val="3"/>
                <c:pt idx="0">
                  <c:v>-2.7345000000000202E-2</c:v>
                </c:pt>
                <c:pt idx="1">
                  <c:v>0.29294399999999998</c:v>
                </c:pt>
                <c:pt idx="2">
                  <c:v>0.40120999999999996</c:v>
                </c:pt>
              </c:numCache>
            </c:numRef>
          </c:val>
          <c:smooth val="0"/>
          <c:extLst>
            <c:ext xmlns:c16="http://schemas.microsoft.com/office/drawing/2014/chart" uri="{C3380CC4-5D6E-409C-BE32-E72D297353CC}">
              <c16:uniqueId val="{00000003-F6FA-4E0A-B44C-3B0D39524D3C}"/>
            </c:ext>
          </c:extLst>
        </c:ser>
        <c:ser>
          <c:idx val="4"/>
          <c:order val="4"/>
          <c:tx>
            <c:strRef>
              <c:f>'02-NAND-Model'!$A$34</c:f>
              <c:strCache>
                <c:ptCount val="1"/>
                <c:pt idx="0">
                  <c:v>Probability weighted (mean)</c:v>
                </c:pt>
              </c:strCache>
            </c:strRef>
          </c:tx>
          <c:spPr>
            <a:ln w="38160">
              <a:solidFill>
                <a:srgbClr val="000000"/>
              </a:solidFill>
              <a:round/>
            </a:ln>
          </c:spPr>
          <c:marker>
            <c:symbol val="circle"/>
            <c:size val="7"/>
            <c:spPr>
              <a:solidFill>
                <a:srgbClr val="000000"/>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'02-NAND-Model'!$D$29:$F$29</c:f>
              <c:strCache>
                <c:ptCount val="3"/>
                <c:pt idx="0">
                  <c:v>2026</c:v>
                </c:pt>
                <c:pt idx="1">
                  <c:v>2027</c:v>
                </c:pt>
                <c:pt idx="2">
                  <c:v>2028</c:v>
                </c:pt>
              </c:strCache>
            </c:strRef>
          </c:cat>
          <c:val>
            <c:numRef>
              <c:f>'02-NAND-Model'!$D$34:$F$34</c:f>
              <c:numCache>
                <c:formatCode>0.0%;[Red]\-0.0%;0.0%</c:formatCode>
                <c:ptCount val="3"/>
                <c:pt idx="0">
                  <c:v>-6.1545000000000211E-2</c:v>
                </c:pt>
                <c:pt idx="1">
                  <c:v>6.7490349999999991E-2</c:v>
                </c:pt>
                <c:pt idx="2">
                  <c:v>0.1274845</c:v>
                </c:pt>
              </c:numCache>
            </c:numRef>
          </c:val>
          <c:smooth val="0"/>
          <c:extLst>
            <c:ext xmlns:c16="http://schemas.microsoft.com/office/drawing/2014/chart" uri="{C3380CC4-5D6E-409C-BE32-E72D297353CC}">
              <c16:uniqueId val="{00000004-F6FA-4E0A-B44C-3B0D39524D3C}"/>
            </c:ext>
          </c:extLst>
        </c:ser>
        <c:dLbls>
          <c:showLegendKey val="0"/>
          <c:showVal val="0"/>
          <c:showCatName val="0"/>
          <c:showSerName val="0"/>
          <c:showPercent val="0"/>
          <c:showBubbleSize val="0"/>
        </c:dLbls>
        <c:hiLowLines>
          <c:spPr>
            <a:ln w="0">
              <a:noFill/>
            </a:ln>
          </c:spPr>
        </c:hiLowLines>
        <c:marker val="1"/>
        <c:smooth val="0"/>
        <c:axId val="50200468"/>
        <c:axId val="22259355"/>
      </c:lineChart>
      <c:catAx>
        <c:axId val="50200468"/>
        <c:scaling>
          <c:orientation val="minMax"/>
        </c:scaling>
        <c:delete val="0"/>
        <c:axPos val="b"/>
        <c:numFmt formatCode="General" sourceLinked="1"/>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22259355"/>
        <c:crosses val="autoZero"/>
        <c:auto val="1"/>
        <c:lblAlgn val="ctr"/>
        <c:lblOffset val="100"/>
        <c:noMultiLvlLbl val="0"/>
      </c:catAx>
      <c:valAx>
        <c:axId val="22259355"/>
        <c:scaling>
          <c:orientation val="minMax"/>
        </c:scaling>
        <c:delete val="0"/>
        <c:axPos val="l"/>
        <c:majorGridlines>
          <c:spPr>
            <a:ln w="9360">
              <a:solidFill>
                <a:srgbClr val="E6EAF0"/>
              </a:solidFill>
              <a:round/>
            </a:ln>
          </c:spPr>
        </c:majorGridlines>
        <c:numFmt formatCode="0%" sourceLinked="0"/>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50200468"/>
        <c:crosses val="autoZero"/>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Arial"/>
            </a:defRPr>
          </a:pPr>
          <a:endParaRPr lang="zh-C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300" b="1" strike="noStrike" spc="-1">
                <a:solidFill>
                  <a:srgbClr val="16305B"/>
                </a:solidFill>
                <a:latin typeface="Arial"/>
              </a:defRPr>
            </a:pPr>
            <a:r>
              <a:rPr sz="1300" b="1" strike="noStrike" spc="-1">
                <a:solidFill>
                  <a:srgbClr val="16305B"/>
                </a:solidFill>
                <a:latin typeface="Arial"/>
              </a:rPr>
              <a:t>Chart 2 · Horizontal adequacy across four scenarios (stock basis)</a:t>
            </a:r>
          </a:p>
        </c:rich>
      </c:tx>
      <c:overlay val="0"/>
      <c:spPr>
        <a:noFill/>
        <a:ln w="0">
          <a:noFill/>
        </a:ln>
      </c:spPr>
    </c:title>
    <c:autoTitleDeleted val="0"/>
    <c:plotArea>
      <c:layout/>
      <c:lineChart>
        <c:grouping val="standard"/>
        <c:varyColors val="0"/>
        <c:ser>
          <c:idx val="0"/>
          <c:order val="0"/>
          <c:tx>
            <c:strRef>
              <c:f>'02-NAND-Model'!$A$39</c:f>
              <c:strCache>
                <c:ptCount val="1"/>
                <c:pt idx="0">
                  <c:v>N1 Stays tight</c:v>
                </c:pt>
              </c:strCache>
            </c:strRef>
          </c:tx>
          <c:spPr>
            <a:ln w="22320">
              <a:solidFill>
                <a:srgbClr val="C0392B"/>
              </a:solidFill>
              <a:round/>
            </a:ln>
          </c:spPr>
          <c:marker>
            <c:symbol val="circle"/>
            <c:size val="7"/>
            <c:spPr>
              <a:solidFill>
                <a:srgbClr val="C0392B"/>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'02-NAND-Model'!$D$38:$G$38</c:f>
              <c:strCache>
                <c:ptCount val="4"/>
                <c:pt idx="0">
                  <c:v>2025 start</c:v>
                </c:pt>
                <c:pt idx="1">
                  <c:v>2026</c:v>
                </c:pt>
                <c:pt idx="2">
                  <c:v>2027</c:v>
                </c:pt>
                <c:pt idx="3">
                  <c:v>2028</c:v>
                </c:pt>
              </c:strCache>
            </c:strRef>
          </c:cat>
          <c:val>
            <c:numRef>
              <c:f>'02-NAND-Model'!$D$39:$G$39</c:f>
              <c:numCache>
                <c:formatCode>0.0%;[Red]\-0.0%;0.0%</c:formatCode>
                <c:ptCount val="4"/>
                <c:pt idx="0">
                  <c:v>-2.5000000000000001E-2</c:v>
                </c:pt>
                <c:pt idx="1">
                  <c:v>-7.7952721774193767E-2</c:v>
                </c:pt>
                <c:pt idx="2">
                  <c:v>-0.10834808347926295</c:v>
                </c:pt>
                <c:pt idx="3">
                  <c:v>-0.11978387313876704</c:v>
                </c:pt>
              </c:numCache>
            </c:numRef>
          </c:val>
          <c:smooth val="0"/>
          <c:extLst>
            <c:ext xmlns:c16="http://schemas.microsoft.com/office/drawing/2014/chart" uri="{C3380CC4-5D6E-409C-BE32-E72D297353CC}">
              <c16:uniqueId val="{00000000-BA89-4821-8890-A1317C50235D}"/>
            </c:ext>
          </c:extLst>
        </c:ser>
        <c:ser>
          <c:idx val="1"/>
          <c:order val="1"/>
          <c:tx>
            <c:strRef>
              <c:f>'02-NAND-Model'!$A$40</c:f>
              <c:strCache>
                <c:ptCount val="1"/>
                <c:pt idx="0">
                  <c:v>N2 Base case</c:v>
                </c:pt>
              </c:strCache>
            </c:strRef>
          </c:tx>
          <c:spPr>
            <a:ln w="22320">
              <a:solidFill>
                <a:srgbClr val="16305B"/>
              </a:solidFill>
              <a:round/>
            </a:ln>
          </c:spPr>
          <c:marker>
            <c:symbol val="circle"/>
            <c:size val="7"/>
            <c:spPr>
              <a:solidFill>
                <a:srgbClr val="16305B"/>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'02-NAND-Model'!$D$38:$G$38</c:f>
              <c:strCache>
                <c:ptCount val="4"/>
                <c:pt idx="0">
                  <c:v>2025 start</c:v>
                </c:pt>
                <c:pt idx="1">
                  <c:v>2026</c:v>
                </c:pt>
                <c:pt idx="2">
                  <c:v>2027</c:v>
                </c:pt>
                <c:pt idx="3">
                  <c:v>2028</c:v>
                </c:pt>
              </c:strCache>
            </c:strRef>
          </c:cat>
          <c:val>
            <c:numRef>
              <c:f>'02-NAND-Model'!$D$40:$G$40</c:f>
              <c:numCache>
                <c:formatCode>0.0%;[Red]\-0.0%;0.0%</c:formatCode>
                <c:ptCount val="4"/>
                <c:pt idx="0">
                  <c:v>-2.5000000000000001E-2</c:v>
                </c:pt>
                <c:pt idx="1">
                  <c:v>-7.7952721774193767E-2</c:v>
                </c:pt>
                <c:pt idx="2">
                  <c:v>-3.5500758152928524E-2</c:v>
                </c:pt>
                <c:pt idx="3">
                  <c:v>5.6524525759805266E-2</c:v>
                </c:pt>
              </c:numCache>
            </c:numRef>
          </c:val>
          <c:smooth val="0"/>
          <c:extLst>
            <c:ext xmlns:c16="http://schemas.microsoft.com/office/drawing/2014/chart" uri="{C3380CC4-5D6E-409C-BE32-E72D297353CC}">
              <c16:uniqueId val="{00000001-BA89-4821-8890-A1317C50235D}"/>
            </c:ext>
          </c:extLst>
        </c:ser>
        <c:ser>
          <c:idx val="2"/>
          <c:order val="2"/>
          <c:tx>
            <c:strRef>
              <c:f>'02-NAND-Model'!$A$41</c:f>
              <c:strCache>
                <c:ptCount val="1"/>
                <c:pt idx="0">
                  <c:v>N3 Turns to surplus</c:v>
                </c:pt>
              </c:strCache>
            </c:strRef>
          </c:tx>
          <c:spPr>
            <a:ln w="22320">
              <a:solidFill>
                <a:srgbClr val="2E9B57"/>
              </a:solidFill>
              <a:round/>
            </a:ln>
          </c:spPr>
          <c:marker>
            <c:symbol val="circle"/>
            <c:size val="7"/>
            <c:spPr>
              <a:solidFill>
                <a:srgbClr val="2E9B57"/>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'02-NAND-Model'!$D$38:$G$38</c:f>
              <c:strCache>
                <c:ptCount val="4"/>
                <c:pt idx="0">
                  <c:v>2025 start</c:v>
                </c:pt>
                <c:pt idx="1">
                  <c:v>2026</c:v>
                </c:pt>
                <c:pt idx="2">
                  <c:v>2027</c:v>
                </c:pt>
                <c:pt idx="3">
                  <c:v>2028</c:v>
                </c:pt>
              </c:strCache>
            </c:strRef>
          </c:cat>
          <c:val>
            <c:numRef>
              <c:f>'02-NAND-Model'!$D$41:$G$41</c:f>
              <c:numCache>
                <c:formatCode>0.0%;[Red]\-0.0%;0.0%</c:formatCode>
                <c:ptCount val="4"/>
                <c:pt idx="0">
                  <c:v>-2.5000000000000001E-2</c:v>
                </c:pt>
                <c:pt idx="1">
                  <c:v>-6.2837192622951066E-2</c:v>
                </c:pt>
                <c:pt idx="2">
                  <c:v>7.9671119531032675E-2</c:v>
                </c:pt>
                <c:pt idx="3">
                  <c:v>0.33720109393706621</c:v>
                </c:pt>
              </c:numCache>
            </c:numRef>
          </c:val>
          <c:smooth val="0"/>
          <c:extLst>
            <c:ext xmlns:c16="http://schemas.microsoft.com/office/drawing/2014/chart" uri="{C3380CC4-5D6E-409C-BE32-E72D297353CC}">
              <c16:uniqueId val="{00000002-BA89-4821-8890-A1317C50235D}"/>
            </c:ext>
          </c:extLst>
        </c:ser>
        <c:ser>
          <c:idx val="3"/>
          <c:order val="3"/>
          <c:tx>
            <c:strRef>
              <c:f>'02-NAND-Model'!$A$42</c:f>
              <c:strCache>
                <c:ptCount val="1"/>
                <c:pt idx="0">
                  <c:v>N4 Large surplus</c:v>
                </c:pt>
              </c:strCache>
            </c:strRef>
          </c:tx>
          <c:spPr>
            <a:ln w="22320">
              <a:solidFill>
                <a:srgbClr val="E08A1E"/>
              </a:solidFill>
              <a:round/>
            </a:ln>
          </c:spPr>
          <c:marker>
            <c:symbol val="circle"/>
            <c:size val="7"/>
            <c:spPr>
              <a:solidFill>
                <a:srgbClr val="E08A1E"/>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'02-NAND-Model'!$D$38:$G$38</c:f>
              <c:strCache>
                <c:ptCount val="4"/>
                <c:pt idx="0">
                  <c:v>2025 start</c:v>
                </c:pt>
                <c:pt idx="1">
                  <c:v>2026</c:v>
                </c:pt>
                <c:pt idx="2">
                  <c:v>2027</c:v>
                </c:pt>
                <c:pt idx="3">
                  <c:v>2028</c:v>
                </c:pt>
              </c:strCache>
            </c:strRef>
          </c:cat>
          <c:val>
            <c:numRef>
              <c:f>'02-NAND-Model'!$D$42:$G$42</c:f>
              <c:numCache>
                <c:formatCode>0.0%;[Red]\-0.0%;0.0%</c:formatCode>
                <c:ptCount val="4"/>
                <c:pt idx="0">
                  <c:v>-2.5000000000000001E-2</c:v>
                </c:pt>
                <c:pt idx="1">
                  <c:v>-4.7217812500000234E-2</c:v>
                </c:pt>
                <c:pt idx="2">
                  <c:v>0.19761712182894686</c:v>
                </c:pt>
                <c:pt idx="3">
                  <c:v>0.63443163587348472</c:v>
                </c:pt>
              </c:numCache>
            </c:numRef>
          </c:val>
          <c:smooth val="0"/>
          <c:extLst>
            <c:ext xmlns:c16="http://schemas.microsoft.com/office/drawing/2014/chart" uri="{C3380CC4-5D6E-409C-BE32-E72D297353CC}">
              <c16:uniqueId val="{00000003-BA89-4821-8890-A1317C50235D}"/>
            </c:ext>
          </c:extLst>
        </c:ser>
        <c:ser>
          <c:idx val="4"/>
          <c:order val="4"/>
          <c:tx>
            <c:strRef>
              <c:f>'02-NAND-Model'!$A$43</c:f>
              <c:strCache>
                <c:ptCount val="1"/>
                <c:pt idx="0">
                  <c:v>Probability weighted (mean)</c:v>
                </c:pt>
              </c:strCache>
            </c:strRef>
          </c:tx>
          <c:spPr>
            <a:ln w="38160">
              <a:solidFill>
                <a:srgbClr val="000000"/>
              </a:solidFill>
              <a:round/>
            </a:ln>
          </c:spPr>
          <c:marker>
            <c:symbol val="circle"/>
            <c:size val="7"/>
            <c:spPr>
              <a:solidFill>
                <a:srgbClr val="000000"/>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'02-NAND-Model'!$D$38:$G$38</c:f>
              <c:strCache>
                <c:ptCount val="4"/>
                <c:pt idx="0">
                  <c:v>2025 start</c:v>
                </c:pt>
                <c:pt idx="1">
                  <c:v>2026</c:v>
                </c:pt>
                <c:pt idx="2">
                  <c:v>2027</c:v>
                </c:pt>
                <c:pt idx="3">
                  <c:v>2028</c:v>
                </c:pt>
              </c:strCache>
            </c:strRef>
          </c:cat>
          <c:val>
            <c:numRef>
              <c:f>'02-NAND-Model'!$D$43:$G$43</c:f>
              <c:numCache>
                <c:formatCode>0.0%;[Red]\-0.0%;0.0%</c:formatCode>
                <c:ptCount val="4"/>
                <c:pt idx="0">
                  <c:v>-2.5000000000000001E-2</c:v>
                </c:pt>
                <c:pt idx="1">
                  <c:v>-7.356921832033339E-2</c:v>
                </c:pt>
                <c:pt idx="2">
                  <c:v>-2.0312744956163389E-2</c:v>
                </c:pt>
                <c:pt idx="3">
                  <c:v>9.3843630806567851E-2</c:v>
                </c:pt>
              </c:numCache>
            </c:numRef>
          </c:val>
          <c:smooth val="0"/>
          <c:extLst>
            <c:ext xmlns:c16="http://schemas.microsoft.com/office/drawing/2014/chart" uri="{C3380CC4-5D6E-409C-BE32-E72D297353CC}">
              <c16:uniqueId val="{00000004-BA89-4821-8890-A1317C50235D}"/>
            </c:ext>
          </c:extLst>
        </c:ser>
        <c:dLbls>
          <c:showLegendKey val="0"/>
          <c:showVal val="0"/>
          <c:showCatName val="0"/>
          <c:showSerName val="0"/>
          <c:showPercent val="0"/>
          <c:showBubbleSize val="0"/>
        </c:dLbls>
        <c:hiLowLines>
          <c:spPr>
            <a:ln w="0">
              <a:noFill/>
            </a:ln>
          </c:spPr>
        </c:hiLowLines>
        <c:marker val="1"/>
        <c:smooth val="0"/>
        <c:axId val="63579717"/>
        <c:axId val="46140880"/>
      </c:lineChart>
      <c:catAx>
        <c:axId val="63579717"/>
        <c:scaling>
          <c:orientation val="minMax"/>
        </c:scaling>
        <c:delete val="0"/>
        <c:axPos val="b"/>
        <c:numFmt formatCode="General" sourceLinked="1"/>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46140880"/>
        <c:crosses val="autoZero"/>
        <c:auto val="1"/>
        <c:lblAlgn val="ctr"/>
        <c:lblOffset val="100"/>
        <c:noMultiLvlLbl val="0"/>
      </c:catAx>
      <c:valAx>
        <c:axId val="46140880"/>
        <c:scaling>
          <c:orientation val="minMax"/>
        </c:scaling>
        <c:delete val="0"/>
        <c:axPos val="l"/>
        <c:majorGridlines>
          <c:spPr>
            <a:ln w="9360">
              <a:solidFill>
                <a:srgbClr val="E6EAF0"/>
              </a:solidFill>
              <a:round/>
            </a:ln>
          </c:spPr>
        </c:majorGridlines>
        <c:numFmt formatCode="0%" sourceLinked="0"/>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63579717"/>
        <c:crosses val="autoZero"/>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Arial"/>
            </a:defRPr>
          </a:pPr>
          <a:endParaRPr lang="zh-C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300" b="1" strike="noStrike" spc="-1">
                <a:solidFill>
                  <a:srgbClr val="16305B"/>
                </a:solidFill>
                <a:latin typeface="Arial"/>
              </a:defRPr>
            </a:pPr>
            <a:r>
              <a:rPr sz="1300" b="1" strike="noStrike" spc="-1">
                <a:solidFill>
                  <a:srgbClr val="16305B"/>
                </a:solidFill>
                <a:latin typeface="Arial"/>
              </a:rPr>
              <a:t>Chart 3 · N2 base case: bit growth comes from layers and QLC, not from wafers</a:t>
            </a:r>
          </a:p>
        </c:rich>
      </c:tx>
      <c:overlay val="0"/>
      <c:spPr>
        <a:noFill/>
        <a:ln w="0">
          <a:noFill/>
        </a:ln>
      </c:spPr>
    </c:title>
    <c:autoTitleDeleted val="0"/>
    <c:plotArea>
      <c:layout/>
      <c:barChart>
        <c:barDir val="col"/>
        <c:grouping val="clustered"/>
        <c:varyColors val="0"/>
        <c:ser>
          <c:idx val="0"/>
          <c:order val="0"/>
          <c:tx>
            <c:strRef>
              <c:f>'02-NAND-Model'!$B$56</c:f>
              <c:strCache>
                <c:ptCount val="1"/>
                <c:pt idx="0">
                  <c:v>Wafer capacity contribution</c:v>
                </c:pt>
              </c:strCache>
            </c:strRef>
          </c:tx>
          <c:spPr>
            <a:solidFill>
              <a:srgbClr val="9AA7B5"/>
            </a:solidFill>
            <a:ln w="0">
              <a:noFill/>
            </a:ln>
          </c:spPr>
          <c:invertIfNegative val="0"/>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'02-NAND-Model'!$A$57:$A$59</c:f>
              <c:strCache>
                <c:ptCount val="3"/>
                <c:pt idx="0">
                  <c:v>2026</c:v>
                </c:pt>
                <c:pt idx="1">
                  <c:v>2027</c:v>
                </c:pt>
                <c:pt idx="2">
                  <c:v>2028</c:v>
                </c:pt>
              </c:strCache>
            </c:strRef>
          </c:cat>
          <c:val>
            <c:numRef>
              <c:f>'02-NAND-Model'!$B$57:$B$59</c:f>
              <c:numCache>
                <c:formatCode>0.0%;[Red]\-0.0%;0.0%</c:formatCode>
                <c:ptCount val="3"/>
                <c:pt idx="0">
                  <c:v>-0.01</c:v>
                </c:pt>
                <c:pt idx="1">
                  <c:v>0.03</c:v>
                </c:pt>
                <c:pt idx="2">
                  <c:v>7.0000000000000007E-2</c:v>
                </c:pt>
              </c:numCache>
            </c:numRef>
          </c:val>
          <c:extLst>
            <c:ext xmlns:c16="http://schemas.microsoft.com/office/drawing/2014/chart" uri="{C3380CC4-5D6E-409C-BE32-E72D297353CC}">
              <c16:uniqueId val="{00000000-5425-434A-A9EB-5691B37A0719}"/>
            </c:ext>
          </c:extLst>
        </c:ser>
        <c:ser>
          <c:idx val="1"/>
          <c:order val="1"/>
          <c:tx>
            <c:strRef>
              <c:f>'02-NAND-Model'!$C$56</c:f>
              <c:strCache>
                <c:ptCount val="1"/>
                <c:pt idx="0">
                  <c:v>Layer stacking contribution</c:v>
                </c:pt>
              </c:strCache>
            </c:strRef>
          </c:tx>
          <c:spPr>
            <a:solidFill>
              <a:srgbClr val="16305B"/>
            </a:solidFill>
            <a:ln w="0">
              <a:noFill/>
            </a:ln>
          </c:spPr>
          <c:invertIfNegative val="0"/>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'02-NAND-Model'!$A$57:$A$59</c:f>
              <c:strCache>
                <c:ptCount val="3"/>
                <c:pt idx="0">
                  <c:v>2026</c:v>
                </c:pt>
                <c:pt idx="1">
                  <c:v>2027</c:v>
                </c:pt>
                <c:pt idx="2">
                  <c:v>2028</c:v>
                </c:pt>
              </c:strCache>
            </c:strRef>
          </c:cat>
          <c:val>
            <c:numRef>
              <c:f>'02-NAND-Model'!$C$57:$C$59</c:f>
              <c:numCache>
                <c:formatCode>0.0%;[Red]\-0.0%;0.0%</c:formatCode>
                <c:ptCount val="3"/>
                <c:pt idx="0">
                  <c:v>0.14849999999999999</c:v>
                </c:pt>
                <c:pt idx="1">
                  <c:v>0.18540000000000001</c:v>
                </c:pt>
                <c:pt idx="2">
                  <c:v>0.18190000000000003</c:v>
                </c:pt>
              </c:numCache>
            </c:numRef>
          </c:val>
          <c:extLst>
            <c:ext xmlns:c16="http://schemas.microsoft.com/office/drawing/2014/chart" uri="{C3380CC4-5D6E-409C-BE32-E72D297353CC}">
              <c16:uniqueId val="{00000001-5425-434A-A9EB-5691B37A0719}"/>
            </c:ext>
          </c:extLst>
        </c:ser>
        <c:ser>
          <c:idx val="2"/>
          <c:order val="2"/>
          <c:tx>
            <c:strRef>
              <c:f>'02-NAND-Model'!$D$56</c:f>
              <c:strCache>
                <c:ptCount val="1"/>
                <c:pt idx="0">
                  <c:v>QLC contribution</c:v>
                </c:pt>
              </c:strCache>
            </c:strRef>
          </c:tx>
          <c:spPr>
            <a:solidFill>
              <a:srgbClr val="2E9B57"/>
            </a:solidFill>
            <a:ln w="0">
              <a:noFill/>
            </a:ln>
          </c:spPr>
          <c:invertIfNegative val="0"/>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'02-NAND-Model'!$A$57:$A$59</c:f>
              <c:strCache>
                <c:ptCount val="3"/>
                <c:pt idx="0">
                  <c:v>2026</c:v>
                </c:pt>
                <c:pt idx="1">
                  <c:v>2027</c:v>
                </c:pt>
                <c:pt idx="2">
                  <c:v>2028</c:v>
                </c:pt>
              </c:strCache>
            </c:strRef>
          </c:cat>
          <c:val>
            <c:numRef>
              <c:f>'02-NAND-Model'!$D$57:$D$59</c:f>
              <c:numCache>
                <c:formatCode>0.0%;[Red]\-0.0%;0.0%</c:formatCode>
                <c:ptCount val="3"/>
                <c:pt idx="0">
                  <c:v>3.4154999999999991E-2</c:v>
                </c:pt>
                <c:pt idx="1">
                  <c:v>6.0770000000000005E-2</c:v>
                </c:pt>
                <c:pt idx="2">
                  <c:v>6.2594999999999998E-2</c:v>
                </c:pt>
              </c:numCache>
            </c:numRef>
          </c:val>
          <c:extLst>
            <c:ext xmlns:c16="http://schemas.microsoft.com/office/drawing/2014/chart" uri="{C3380CC4-5D6E-409C-BE32-E72D297353CC}">
              <c16:uniqueId val="{00000002-5425-434A-A9EB-5691B37A0719}"/>
            </c:ext>
          </c:extLst>
        </c:ser>
        <c:dLbls>
          <c:showLegendKey val="0"/>
          <c:showVal val="0"/>
          <c:showCatName val="0"/>
          <c:showSerName val="0"/>
          <c:showPercent val="0"/>
          <c:showBubbleSize val="0"/>
        </c:dLbls>
        <c:gapWidth val="70"/>
        <c:axId val="40807836"/>
        <c:axId val="15599646"/>
      </c:barChart>
      <c:catAx>
        <c:axId val="40807836"/>
        <c:scaling>
          <c:orientation val="minMax"/>
        </c:scaling>
        <c:delete val="0"/>
        <c:axPos val="b"/>
        <c:numFmt formatCode="General" sourceLinked="1"/>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15599646"/>
        <c:crosses val="autoZero"/>
        <c:auto val="1"/>
        <c:lblAlgn val="ctr"/>
        <c:lblOffset val="100"/>
        <c:noMultiLvlLbl val="0"/>
      </c:catAx>
      <c:valAx>
        <c:axId val="15599646"/>
        <c:scaling>
          <c:orientation val="minMax"/>
        </c:scaling>
        <c:delete val="0"/>
        <c:axPos val="l"/>
        <c:majorGridlines>
          <c:spPr>
            <a:ln w="9360">
              <a:solidFill>
                <a:srgbClr val="E6EAF0"/>
              </a:solidFill>
              <a:round/>
            </a:ln>
          </c:spPr>
        </c:majorGridlines>
        <c:numFmt formatCode="0%" sourceLinked="0"/>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40807836"/>
        <c:crosses val="autoZero"/>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Arial"/>
            </a:defRPr>
          </a:pPr>
          <a:endParaRPr lang="zh-C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300" b="1" strike="noStrike" spc="-1">
                <a:solidFill>
                  <a:srgbClr val="16305B"/>
                </a:solidFill>
                <a:latin typeface="Arial"/>
              </a:defRPr>
            </a:pPr>
            <a:r>
              <a:rPr sz="1300" b="1" strike="noStrike" spc="-1">
                <a:solidFill>
                  <a:srgbClr val="16305B"/>
                </a:solidFill>
                <a:latin typeface="Arial"/>
              </a:rPr>
              <a:t>Chart 4 · DRAM × NAND divergence: the two lines separate in 2027</a:t>
            </a:r>
          </a:p>
        </c:rich>
      </c:tx>
      <c:overlay val="0"/>
      <c:spPr>
        <a:noFill/>
        <a:ln w="0">
          <a:noFill/>
        </a:ln>
      </c:spPr>
    </c:title>
    <c:autoTitleDeleted val="0"/>
    <c:plotArea>
      <c:layout/>
      <c:lineChart>
        <c:grouping val="standard"/>
        <c:varyColors val="0"/>
        <c:ser>
          <c:idx val="0"/>
          <c:order val="0"/>
          <c:tx>
            <c:strRef>
              <c:f>'02-NAND-Model'!$E$48</c:f>
              <c:strCache>
                <c:ptCount val="1"/>
                <c:pt idx="0">
                  <c:v>DRAM
horizontal gap</c:v>
                </c:pt>
              </c:strCache>
            </c:strRef>
          </c:tx>
          <c:spPr>
            <a:ln w="38160">
              <a:solidFill>
                <a:srgbClr val="16305B"/>
              </a:solidFill>
              <a:round/>
            </a:ln>
          </c:spPr>
          <c:marker>
            <c:symbol val="circle"/>
            <c:size val="7"/>
            <c:spPr>
              <a:solidFill>
                <a:srgbClr val="16305B"/>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'02-NAND-Model'!$A$49:$A$51</c:f>
              <c:strCache>
                <c:ptCount val="3"/>
                <c:pt idx="0">
                  <c:v>2026</c:v>
                </c:pt>
                <c:pt idx="1">
                  <c:v>2027</c:v>
                </c:pt>
                <c:pt idx="2">
                  <c:v>2028</c:v>
                </c:pt>
              </c:strCache>
            </c:strRef>
          </c:cat>
          <c:val>
            <c:numRef>
              <c:f>'02-NAND-Model'!$E$49:$E$51</c:f>
              <c:numCache>
                <c:formatCode>0.0%;[Red]\-0.0%;0.0%</c:formatCode>
                <c:ptCount val="3"/>
                <c:pt idx="0">
                  <c:v>-0.13951261391371647</c:v>
                </c:pt>
                <c:pt idx="1">
                  <c:v>-0.16813457305789237</c:v>
                </c:pt>
                <c:pt idx="2">
                  <c:v>-9.4430550991501438E-2</c:v>
                </c:pt>
              </c:numCache>
            </c:numRef>
          </c:val>
          <c:smooth val="0"/>
          <c:extLst>
            <c:ext xmlns:c16="http://schemas.microsoft.com/office/drawing/2014/chart" uri="{C3380CC4-5D6E-409C-BE32-E72D297353CC}">
              <c16:uniqueId val="{00000000-4F70-4353-BA6E-047473EF60EE}"/>
            </c:ext>
          </c:extLst>
        </c:ser>
        <c:ser>
          <c:idx val="1"/>
          <c:order val="1"/>
          <c:tx>
            <c:strRef>
              <c:f>'02-NAND-Model'!$F$48</c:f>
              <c:strCache>
                <c:ptCount val="1"/>
                <c:pt idx="0">
                  <c:v>NAND
horizontal gap</c:v>
                </c:pt>
              </c:strCache>
            </c:strRef>
          </c:tx>
          <c:spPr>
            <a:ln w="38160">
              <a:solidFill>
                <a:srgbClr val="2E9B57"/>
              </a:solidFill>
              <a:round/>
            </a:ln>
          </c:spPr>
          <c:marker>
            <c:symbol val="circle"/>
            <c:size val="7"/>
            <c:spPr>
              <a:solidFill>
                <a:srgbClr val="2E9B57"/>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'02-NAND-Model'!$A$49:$A$51</c:f>
              <c:strCache>
                <c:ptCount val="3"/>
                <c:pt idx="0">
                  <c:v>2026</c:v>
                </c:pt>
                <c:pt idx="1">
                  <c:v>2027</c:v>
                </c:pt>
                <c:pt idx="2">
                  <c:v>2028</c:v>
                </c:pt>
              </c:strCache>
            </c:strRef>
          </c:cat>
          <c:val>
            <c:numRef>
              <c:f>'02-NAND-Model'!$F$49:$F$51</c:f>
              <c:numCache>
                <c:formatCode>0.0%;[Red]\-0.0%;0.0%</c:formatCode>
                <c:ptCount val="3"/>
                <c:pt idx="0">
                  <c:v>-7.356921832033339E-2</c:v>
                </c:pt>
                <c:pt idx="1">
                  <c:v>-2.0312744956163389E-2</c:v>
                </c:pt>
                <c:pt idx="2">
                  <c:v>9.3843630806567851E-2</c:v>
                </c:pt>
              </c:numCache>
            </c:numRef>
          </c:val>
          <c:smooth val="0"/>
          <c:extLst>
            <c:ext xmlns:c16="http://schemas.microsoft.com/office/drawing/2014/chart" uri="{C3380CC4-5D6E-409C-BE32-E72D297353CC}">
              <c16:uniqueId val="{00000001-4F70-4353-BA6E-047473EF60EE}"/>
            </c:ext>
          </c:extLst>
        </c:ser>
        <c:dLbls>
          <c:showLegendKey val="0"/>
          <c:showVal val="0"/>
          <c:showCatName val="0"/>
          <c:showSerName val="0"/>
          <c:showPercent val="0"/>
          <c:showBubbleSize val="0"/>
        </c:dLbls>
        <c:hiLowLines>
          <c:spPr>
            <a:ln w="0">
              <a:noFill/>
            </a:ln>
          </c:spPr>
        </c:hiLowLines>
        <c:marker val="1"/>
        <c:smooth val="0"/>
        <c:axId val="4313771"/>
        <c:axId val="41213953"/>
      </c:lineChart>
      <c:catAx>
        <c:axId val="4313771"/>
        <c:scaling>
          <c:orientation val="minMax"/>
        </c:scaling>
        <c:delete val="0"/>
        <c:axPos val="b"/>
        <c:numFmt formatCode="General" sourceLinked="1"/>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41213953"/>
        <c:crosses val="autoZero"/>
        <c:auto val="1"/>
        <c:lblAlgn val="ctr"/>
        <c:lblOffset val="100"/>
        <c:noMultiLvlLbl val="0"/>
      </c:catAx>
      <c:valAx>
        <c:axId val="41213953"/>
        <c:scaling>
          <c:orientation val="minMax"/>
        </c:scaling>
        <c:delete val="0"/>
        <c:axPos val="l"/>
        <c:majorGridlines>
          <c:spPr>
            <a:ln w="9360">
              <a:solidFill>
                <a:srgbClr val="E6EAF0"/>
              </a:solidFill>
              <a:round/>
            </a:ln>
          </c:spPr>
        </c:majorGridlines>
        <c:numFmt formatCode="0%" sourceLinked="0"/>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4313771"/>
        <c:crosses val="autoZero"/>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Arial"/>
            </a:defRPr>
          </a:pPr>
          <a:endParaRPr lang="zh-C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300" b="1" strike="noStrike" spc="-1">
                <a:solidFill>
                  <a:srgbClr val="16305B"/>
                </a:solidFill>
                <a:latin typeface="Arial"/>
              </a:defRPr>
            </a:pPr>
            <a:r>
              <a:rPr sz="1300" b="1" strike="noStrike" spc="-1">
                <a:solidFill>
                  <a:srgbClr val="16305B"/>
                </a:solidFill>
                <a:latin typeface="Arial"/>
              </a:rPr>
              <a:t>Chart 1 (v4.0) · Supplier inventory: from 31 weeks to under 1.5</a:t>
            </a:r>
          </a:p>
        </c:rich>
      </c:tx>
      <c:overlay val="0"/>
      <c:spPr>
        <a:noFill/>
        <a:ln w="0">
          <a:noFill/>
        </a:ln>
      </c:spPr>
    </c:title>
    <c:autoTitleDeleted val="0"/>
    <c:plotArea>
      <c:layout/>
      <c:lineChart>
        <c:grouping val="standard"/>
        <c:varyColors val="0"/>
        <c:ser>
          <c:idx val="0"/>
          <c:order val="0"/>
          <c:tx>
            <c:strRef>
              <c:f>'00-Overview'!$B$30</c:f>
              <c:strCache>
                <c:ptCount val="1"/>
                <c:pt idx="0">
                  <c:v>Inventory weeks</c:v>
                </c:pt>
              </c:strCache>
            </c:strRef>
          </c:tx>
          <c:spPr>
            <a:ln w="38160">
              <a:solidFill>
                <a:srgbClr val="B35C00"/>
              </a:solidFill>
              <a:round/>
            </a:ln>
          </c:spPr>
          <c:marker>
            <c:symbol val="circle"/>
            <c:size val="8"/>
            <c:spPr>
              <a:solidFill>
                <a:srgbClr val="B35C00"/>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'00-Overview'!$A$31:$A$35</c:f>
              <c:strCache>
                <c:ptCount val="5"/>
                <c:pt idx="0">
                  <c:v>Early 2023</c:v>
                </c:pt>
                <c:pt idx="1">
                  <c:v>End 2025 Q3</c:v>
                </c:pt>
                <c:pt idx="2">
                  <c:v>Nov 2025 (SK hynix DRAM)</c:v>
                </c:pt>
                <c:pt idx="3">
                  <c:v>July 2026</c:v>
                </c:pt>
                <c:pt idx="4">
                  <c:v>2026 Q3</c:v>
                </c:pt>
              </c:strCache>
            </c:strRef>
          </c:cat>
          <c:val>
            <c:numRef>
              <c:f>'00-Overview'!$B$31:$B$35</c:f>
              <c:numCache>
                <c:formatCode>0.00" wk"</c:formatCode>
                <c:ptCount val="5"/>
                <c:pt idx="0">
                  <c:v>31</c:v>
                </c:pt>
                <c:pt idx="1">
                  <c:v>3.3</c:v>
                </c:pt>
                <c:pt idx="2">
                  <c:v>2</c:v>
                </c:pt>
                <c:pt idx="3">
                  <c:v>4</c:v>
                </c:pt>
                <c:pt idx="4">
                  <c:v>1.43</c:v>
                </c:pt>
              </c:numCache>
            </c:numRef>
          </c:val>
          <c:smooth val="0"/>
          <c:extLst>
            <c:ext xmlns:c16="http://schemas.microsoft.com/office/drawing/2014/chart" uri="{C3380CC4-5D6E-409C-BE32-E72D297353CC}">
              <c16:uniqueId val="{00000000-32E2-4B4B-B2DD-9056A1CB80A8}"/>
            </c:ext>
          </c:extLst>
        </c:ser>
        <c:dLbls>
          <c:showLegendKey val="0"/>
          <c:showVal val="0"/>
          <c:showCatName val="0"/>
          <c:showSerName val="0"/>
          <c:showPercent val="0"/>
          <c:showBubbleSize val="0"/>
        </c:dLbls>
        <c:hiLowLines>
          <c:spPr>
            <a:ln w="0">
              <a:noFill/>
            </a:ln>
          </c:spPr>
        </c:hiLowLines>
        <c:marker val="1"/>
        <c:smooth val="0"/>
        <c:axId val="70542609"/>
        <c:axId val="3576471"/>
      </c:lineChart>
      <c:catAx>
        <c:axId val="70542609"/>
        <c:scaling>
          <c:orientation val="minMax"/>
        </c:scaling>
        <c:delete val="0"/>
        <c:axPos val="b"/>
        <c:numFmt formatCode="General" sourceLinked="1"/>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3576471"/>
        <c:crosses val="autoZero"/>
        <c:auto val="1"/>
        <c:lblAlgn val="ctr"/>
        <c:lblOffset val="100"/>
        <c:noMultiLvlLbl val="0"/>
      </c:catAx>
      <c:valAx>
        <c:axId val="3576471"/>
        <c:scaling>
          <c:orientation val="minMax"/>
        </c:scaling>
        <c:delete val="0"/>
        <c:axPos val="l"/>
        <c:majorGridlines>
          <c:spPr>
            <a:ln w="9360">
              <a:solidFill>
                <a:srgbClr val="E6EAF0"/>
              </a:solidFill>
              <a:round/>
            </a:ln>
          </c:spPr>
        </c:majorGridlines>
        <c:numFmt formatCode="0.0&quot; wk&quot;" sourceLinked="0"/>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70542609"/>
        <c:crosses val="autoZero"/>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Arial"/>
            </a:defRPr>
          </a:pPr>
          <a:endParaRPr lang="zh-C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300" b="1" strike="noStrike" spc="-1">
                <a:solidFill>
                  <a:srgbClr val="16305B"/>
                </a:solidFill>
                <a:latin typeface="Arial"/>
              </a:defRPr>
            </a:pPr>
            <a:r>
              <a:rPr sz="1300" b="1" strike="noStrike" spc="-1">
                <a:solidFill>
                  <a:srgbClr val="16305B"/>
                </a:solidFill>
                <a:latin typeface="Arial"/>
              </a:rPr>
              <a:t>Chart 2 (v4.0) · 2027 growth gap by scenario: v3.0, inventory correction, all three</a:t>
            </a:r>
          </a:p>
        </c:rich>
      </c:tx>
      <c:overlay val="0"/>
      <c:spPr>
        <a:noFill/>
        <a:ln w="0">
          <a:noFill/>
        </a:ln>
      </c:spPr>
    </c:title>
    <c:autoTitleDeleted val="0"/>
    <c:plotArea>
      <c:layout/>
      <c:barChart>
        <c:barDir val="col"/>
        <c:grouping val="clustered"/>
        <c:varyColors val="0"/>
        <c:ser>
          <c:idx val="0"/>
          <c:order val="0"/>
          <c:tx>
            <c:strRef>
              <c:f>'06-Inventory-Burn-v4'!$D$17</c:f>
              <c:strCache>
                <c:ptCount val="1"/>
                <c:pt idx="0">
                  <c:v>2027 gap
v3.0</c:v>
                </c:pt>
              </c:strCache>
            </c:strRef>
          </c:tx>
          <c:spPr>
            <a:solidFill>
              <a:srgbClr val="9AA7B5"/>
            </a:solidFill>
            <a:ln w="0">
              <a:noFill/>
            </a:ln>
          </c:spPr>
          <c:invertIfNegative val="0"/>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'06-Inventory-Burn-v4'!$A$18:$A$22</c:f>
              <c:strCache>
                <c:ptCount val="5"/>
                <c:pt idx="0">
                  <c:v>S1 Extreme tightness</c:v>
                </c:pt>
                <c:pt idx="1">
                  <c:v>S2 Base case</c:v>
                </c:pt>
                <c:pt idx="2">
                  <c:v>S3 Relief</c:v>
                </c:pt>
                <c:pt idx="3">
                  <c:v>S4 Surplus</c:v>
                </c:pt>
                <c:pt idx="4">
                  <c:v>S5 Collapse</c:v>
                </c:pt>
              </c:strCache>
            </c:strRef>
          </c:cat>
          <c:val>
            <c:numRef>
              <c:f>'06-Inventory-Burn-v4'!$D$18:$D$22</c:f>
              <c:numCache>
                <c:formatCode>0.0%;[Red]\-0.0%;0.0%</c:formatCode>
                <c:ptCount val="5"/>
                <c:pt idx="0">
                  <c:v>-0.19461840373246736</c:v>
                </c:pt>
                <c:pt idx="1">
                  <c:v>-9.4810099542180337E-2</c:v>
                </c:pt>
                <c:pt idx="2">
                  <c:v>2.3154457550948526E-2</c:v>
                </c:pt>
                <c:pt idx="3">
                  <c:v>9.6080805399973046E-2</c:v>
                </c:pt>
                <c:pt idx="4">
                  <c:v>0.21029297216994214</c:v>
                </c:pt>
              </c:numCache>
            </c:numRef>
          </c:val>
          <c:extLst>
            <c:ext xmlns:c16="http://schemas.microsoft.com/office/drawing/2014/chart" uri="{C3380CC4-5D6E-409C-BE32-E72D297353CC}">
              <c16:uniqueId val="{00000000-4865-4350-8C3B-D359CCD1C584}"/>
            </c:ext>
          </c:extLst>
        </c:ser>
        <c:ser>
          <c:idx val="1"/>
          <c:order val="1"/>
          <c:tx>
            <c:strRef>
              <c:f>'06-Inventory-Burn-v4'!$E$17</c:f>
              <c:strCache>
                <c:ptCount val="1"/>
                <c:pt idx="0">
                  <c:v>2027 gap
v4.0 (inventory only)</c:v>
                </c:pt>
              </c:strCache>
            </c:strRef>
          </c:tx>
          <c:spPr>
            <a:solidFill>
              <a:srgbClr val="B35C00"/>
            </a:solidFill>
            <a:ln w="0">
              <a:noFill/>
            </a:ln>
          </c:spPr>
          <c:invertIfNegative val="0"/>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'06-Inventory-Burn-v4'!$A$18:$A$22</c:f>
              <c:strCache>
                <c:ptCount val="5"/>
                <c:pt idx="0">
                  <c:v>S1 Extreme tightness</c:v>
                </c:pt>
                <c:pt idx="1">
                  <c:v>S2 Base case</c:v>
                </c:pt>
                <c:pt idx="2">
                  <c:v>S3 Relief</c:v>
                </c:pt>
                <c:pt idx="3">
                  <c:v>S4 Surplus</c:v>
                </c:pt>
                <c:pt idx="4">
                  <c:v>S5 Collapse</c:v>
                </c:pt>
              </c:strCache>
            </c:strRef>
          </c:cat>
          <c:val>
            <c:numRef>
              <c:f>'06-Inventory-Burn-v4'!$E$18:$E$22</c:f>
              <c:numCache>
                <c:formatCode>0.0%;[Red]\-0.0%;0.0%</c:formatCode>
                <c:ptCount val="5"/>
                <c:pt idx="0">
                  <c:v>-0.24404148065554426</c:v>
                </c:pt>
                <c:pt idx="1">
                  <c:v>-0.14423317646525724</c:v>
                </c:pt>
                <c:pt idx="2">
                  <c:v>-2.6268619372128377E-2</c:v>
                </c:pt>
                <c:pt idx="3">
                  <c:v>4.6657728476896143E-2</c:v>
                </c:pt>
                <c:pt idx="4">
                  <c:v>0.16086989524686524</c:v>
                </c:pt>
              </c:numCache>
            </c:numRef>
          </c:val>
          <c:extLst>
            <c:ext xmlns:c16="http://schemas.microsoft.com/office/drawing/2014/chart" uri="{C3380CC4-5D6E-409C-BE32-E72D297353CC}">
              <c16:uniqueId val="{00000001-4865-4350-8C3B-D359CCD1C584}"/>
            </c:ext>
          </c:extLst>
        </c:ser>
        <c:ser>
          <c:idx val="2"/>
          <c:order val="2"/>
          <c:tx>
            <c:strRef>
              <c:f>'06-Inventory-Burn-v4'!$G$17</c:f>
              <c:strCache>
                <c:ptCount val="1"/>
                <c:pt idx="0">
                  <c:v>2027 gap
v4.0 (all three)</c:v>
                </c:pt>
              </c:strCache>
            </c:strRef>
          </c:tx>
          <c:spPr>
            <a:solidFill>
              <a:srgbClr val="16305B"/>
            </a:solidFill>
            <a:ln w="0">
              <a:noFill/>
            </a:ln>
          </c:spPr>
          <c:invertIfNegative val="0"/>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'06-Inventory-Burn-v4'!$A$18:$A$22</c:f>
              <c:strCache>
                <c:ptCount val="5"/>
                <c:pt idx="0">
                  <c:v>S1 Extreme tightness</c:v>
                </c:pt>
                <c:pt idx="1">
                  <c:v>S2 Base case</c:v>
                </c:pt>
                <c:pt idx="2">
                  <c:v>S3 Relief</c:v>
                </c:pt>
                <c:pt idx="3">
                  <c:v>S4 Surplus</c:v>
                </c:pt>
                <c:pt idx="4">
                  <c:v>S5 Collapse</c:v>
                </c:pt>
              </c:strCache>
            </c:strRef>
          </c:cat>
          <c:val>
            <c:numRef>
              <c:f>'06-Inventory-Burn-v4'!$G$18:$G$22</c:f>
              <c:numCache>
                <c:formatCode>0.0%;[Red]\-0.0%;0.0%</c:formatCode>
                <c:ptCount val="5"/>
                <c:pt idx="0">
                  <c:v>-0.20846197394846316</c:v>
                </c:pt>
                <c:pt idx="1">
                  <c:v>-0.1098126766991028</c:v>
                </c:pt>
                <c:pt idx="2">
                  <c:v>7.8435731289520361E-3</c:v>
                </c:pt>
                <c:pt idx="3">
                  <c:v>7.9607039805543872E-2</c:v>
                </c:pt>
                <c:pt idx="4">
                  <c:v>0.19261105806654197</c:v>
                </c:pt>
              </c:numCache>
            </c:numRef>
          </c:val>
          <c:extLst>
            <c:ext xmlns:c16="http://schemas.microsoft.com/office/drawing/2014/chart" uri="{C3380CC4-5D6E-409C-BE32-E72D297353CC}">
              <c16:uniqueId val="{00000002-4865-4350-8C3B-D359CCD1C584}"/>
            </c:ext>
          </c:extLst>
        </c:ser>
        <c:dLbls>
          <c:showLegendKey val="0"/>
          <c:showVal val="0"/>
          <c:showCatName val="0"/>
          <c:showSerName val="0"/>
          <c:showPercent val="0"/>
          <c:showBubbleSize val="0"/>
        </c:dLbls>
        <c:gapWidth val="70"/>
        <c:axId val="6405976"/>
        <c:axId val="22557754"/>
      </c:barChart>
      <c:catAx>
        <c:axId val="6405976"/>
        <c:scaling>
          <c:orientation val="minMax"/>
        </c:scaling>
        <c:delete val="0"/>
        <c:axPos val="b"/>
        <c:numFmt formatCode="General" sourceLinked="1"/>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22557754"/>
        <c:crosses val="autoZero"/>
        <c:auto val="1"/>
        <c:lblAlgn val="ctr"/>
        <c:lblOffset val="100"/>
        <c:noMultiLvlLbl val="0"/>
      </c:catAx>
      <c:valAx>
        <c:axId val="22557754"/>
        <c:scaling>
          <c:orientation val="minMax"/>
        </c:scaling>
        <c:delete val="0"/>
        <c:axPos val="l"/>
        <c:majorGridlines>
          <c:spPr>
            <a:ln w="9360">
              <a:solidFill>
                <a:srgbClr val="E6EAF0"/>
              </a:solidFill>
              <a:round/>
            </a:ln>
          </c:spPr>
        </c:majorGridlines>
        <c:numFmt formatCode="0%" sourceLinked="0"/>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6405976"/>
        <c:crosses val="autoZero"/>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Arial"/>
            </a:defRPr>
          </a:pPr>
          <a:endParaRPr lang="zh-C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300" b="1" strike="noStrike" spc="-1">
                <a:solidFill>
                  <a:srgbClr val="16305B"/>
                </a:solidFill>
                <a:latin typeface="Arial"/>
              </a:defRPr>
            </a:pPr>
            <a:r>
              <a:rPr sz="1300" b="1" strike="noStrike" spc="-1">
                <a:solidFill>
                  <a:srgbClr val="16305B"/>
                </a:solidFill>
                <a:latin typeface="Arial"/>
              </a:rPr>
              <a:t>Chart 3 (v4.0) · The three corrections decomposed (percentage points on the 2027 gap)</a:t>
            </a:r>
          </a:p>
        </c:rich>
      </c:tx>
      <c:overlay val="0"/>
      <c:spPr>
        <a:noFill/>
        <a:ln w="0">
          <a:noFill/>
        </a:ln>
      </c:spPr>
    </c:title>
    <c:autoTitleDeleted val="0"/>
    <c:plotArea>
      <c:layout/>
      <c:barChart>
        <c:barDir val="col"/>
        <c:grouping val="clustered"/>
        <c:varyColors val="0"/>
        <c:ser>
          <c:idx val="0"/>
          <c:order val="0"/>
          <c:tx>
            <c:strRef>
              <c:f>'06-Inventory-Burn-v4'!$D$40</c:f>
              <c:strCache>
                <c:ptCount val="1"/>
                <c:pt idx="0">
                  <c:v>Contribution (pp)</c:v>
                </c:pt>
              </c:strCache>
            </c:strRef>
          </c:tx>
          <c:spPr>
            <a:solidFill>
              <a:srgbClr val="B35C00"/>
            </a:solidFill>
            <a:ln w="0">
              <a:noFill/>
            </a:ln>
          </c:spPr>
          <c:invertIfNegative val="0"/>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'06-Inventory-Burn-v4'!$A$42:$A$44</c:f>
              <c:strCache>
                <c:ptCount val="3"/>
                <c:pt idx="0">
                  <c:v>Correction 1 · 8-high HBM4 lowers the wafer penalty from 2027</c:v>
                </c:pt>
                <c:pt idx="1">
                  <c:v>Correction 2 · inventory exhaustion removes the 2026 release from the 2027 base</c:v>
                </c:pt>
                <c:pt idx="2">
                  <c:v>Correction 3 · the second de-spec caps unconstrained demand</c:v>
                </c:pt>
              </c:strCache>
            </c:strRef>
          </c:cat>
          <c:val>
            <c:numRef>
              <c:f>'06-Inventory-Burn-v4'!$D$42:$D$44</c:f>
              <c:numCache>
                <c:formatCode>\+0.0"pp";[Red]\-0.0"pp";0.0"pp"</c:formatCode>
                <c:ptCount val="3"/>
                <c:pt idx="0">
                  <c:v>0.92725958807565456</c:v>
                </c:pt>
                <c:pt idx="1">
                  <c:v>-4.9423076923076872</c:v>
                </c:pt>
                <c:pt idx="2">
                  <c:v>2.4999999999999996</c:v>
                </c:pt>
              </c:numCache>
            </c:numRef>
          </c:val>
          <c:extLst>
            <c:ext xmlns:c16="http://schemas.microsoft.com/office/drawing/2014/chart" uri="{C3380CC4-5D6E-409C-BE32-E72D297353CC}">
              <c16:uniqueId val="{00000000-2BAA-4669-88C9-941992B5E2E7}"/>
            </c:ext>
          </c:extLst>
        </c:ser>
        <c:dLbls>
          <c:showLegendKey val="0"/>
          <c:showVal val="0"/>
          <c:showCatName val="0"/>
          <c:showSerName val="0"/>
          <c:showPercent val="0"/>
          <c:showBubbleSize val="0"/>
        </c:dLbls>
        <c:gapWidth val="70"/>
        <c:axId val="71546420"/>
        <c:axId val="90755022"/>
      </c:barChart>
      <c:catAx>
        <c:axId val="71546420"/>
        <c:scaling>
          <c:orientation val="minMax"/>
        </c:scaling>
        <c:delete val="0"/>
        <c:axPos val="b"/>
        <c:numFmt formatCode="General" sourceLinked="1"/>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90755022"/>
        <c:crosses val="autoZero"/>
        <c:auto val="1"/>
        <c:lblAlgn val="ctr"/>
        <c:lblOffset val="100"/>
        <c:noMultiLvlLbl val="0"/>
      </c:catAx>
      <c:valAx>
        <c:axId val="90755022"/>
        <c:scaling>
          <c:orientation val="minMax"/>
        </c:scaling>
        <c:delete val="0"/>
        <c:axPos val="l"/>
        <c:majorGridlines>
          <c:spPr>
            <a:ln w="9360">
              <a:solidFill>
                <a:srgbClr val="E6EAF0"/>
              </a:solidFill>
              <a:round/>
            </a:ln>
          </c:spPr>
        </c:majorGridlines>
        <c:numFmt formatCode="0.0&quot;pp&quot;" sourceLinked="0"/>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71546420"/>
        <c:crosses val="autoZero"/>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Arial"/>
            </a:defRPr>
          </a:pPr>
          <a:endParaRPr lang="zh-C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300" b="1" strike="noStrike" spc="-1">
                <a:solidFill>
                  <a:srgbClr val="16305B"/>
                </a:solidFill>
                <a:latin typeface="Arial"/>
              </a:defRPr>
            </a:pPr>
            <a:r>
              <a:rPr lang="fr-FR" sz="1300" b="1" strike="noStrike" spc="-1">
                <a:solidFill>
                  <a:srgbClr val="16305B"/>
                </a:solidFill>
                <a:latin typeface="Arial"/>
              </a:rPr>
              <a:t>8-high versus 12-high: two opposing effects, and where they net out</a:t>
            </a:r>
          </a:p>
        </c:rich>
      </c:tx>
      <c:overlay val="0"/>
      <c:spPr>
        <a:noFill/>
        <a:ln w="0">
          <a:noFill/>
        </a:ln>
      </c:spPr>
    </c:title>
    <c:autoTitleDeleted val="0"/>
    <c:plotArea>
      <c:layout/>
      <c:lineChart>
        <c:grouping val="standard"/>
        <c:varyColors val="0"/>
        <c:ser>
          <c:idx val="0"/>
          <c:order val="0"/>
          <c:tx>
            <c:strRef>
              <c:f>'07-HBM-8High-Math-v4'!$D$14</c:f>
              <c:strCache>
                <c:ptCount val="1"/>
                <c:pt idx="0">
                  <c:v>8-high yield advantage</c:v>
                </c:pt>
              </c:strCache>
            </c:strRef>
          </c:tx>
          <c:spPr>
            <a:ln w="22320">
              <a:solidFill>
                <a:srgbClr val="2E9B57"/>
              </a:solidFill>
              <a:round/>
            </a:ln>
          </c:spPr>
          <c:marker>
            <c:symbol val="circle"/>
            <c:size val="7"/>
            <c:spPr>
              <a:solidFill>
                <a:srgbClr val="2E9B57"/>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'07-HBM-8High-Math-v4'!$A$15:$A$19</c:f>
              <c:numCache>
                <c:formatCode>0.000</c:formatCode>
                <c:ptCount val="5"/>
                <c:pt idx="0">
                  <c:v>0.995</c:v>
                </c:pt>
                <c:pt idx="1">
                  <c:v>0.99</c:v>
                </c:pt>
                <c:pt idx="2">
                  <c:v>0.98</c:v>
                </c:pt>
                <c:pt idx="3">
                  <c:v>0.97</c:v>
                </c:pt>
                <c:pt idx="4">
                  <c:v>0.95</c:v>
                </c:pt>
              </c:numCache>
            </c:numRef>
          </c:cat>
          <c:val>
            <c:numRef>
              <c:f>'07-HBM-8High-Math-v4'!$D$15:$D$19</c:f>
              <c:numCache>
                <c:formatCode>0.00%;[Red]\-0.00%;0.00%</c:formatCode>
                <c:ptCount val="5"/>
                <c:pt idx="0">
                  <c:v>2.0252522051321886E-2</c:v>
                </c:pt>
                <c:pt idx="1">
                  <c:v>4.102035568521667E-2</c:v>
                </c:pt>
                <c:pt idx="2">
                  <c:v>8.4165784733939875E-2</c:v>
                </c:pt>
                <c:pt idx="3">
                  <c:v>0.12956977477316256</c:v>
                </c:pt>
                <c:pt idx="4">
                  <c:v>0.22773766315482558</c:v>
                </c:pt>
              </c:numCache>
            </c:numRef>
          </c:val>
          <c:smooth val="0"/>
          <c:extLst>
            <c:ext xmlns:c16="http://schemas.microsoft.com/office/drawing/2014/chart" uri="{C3380CC4-5D6E-409C-BE32-E72D297353CC}">
              <c16:uniqueId val="{00000000-39BE-4949-B506-513BD62D16AC}"/>
            </c:ext>
          </c:extLst>
        </c:ser>
        <c:ser>
          <c:idx val="1"/>
          <c:order val="1"/>
          <c:tx>
            <c:strRef>
              <c:f>'07-HBM-8High-Math-v4'!$E$14</c:f>
              <c:strCache>
                <c:ptCount val="1"/>
                <c:pt idx="0">
                  <c:v>Base-die dilution</c:v>
                </c:pt>
              </c:strCache>
            </c:strRef>
          </c:tx>
          <c:spPr>
            <a:ln w="22320">
              <a:solidFill>
                <a:srgbClr val="C0392B"/>
              </a:solidFill>
              <a:round/>
            </a:ln>
          </c:spPr>
          <c:marker>
            <c:symbol val="circle"/>
            <c:size val="7"/>
            <c:spPr>
              <a:solidFill>
                <a:srgbClr val="C0392B"/>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'07-HBM-8High-Math-v4'!$A$15:$A$19</c:f>
              <c:numCache>
                <c:formatCode>0.000</c:formatCode>
                <c:ptCount val="5"/>
                <c:pt idx="0">
                  <c:v>0.995</c:v>
                </c:pt>
                <c:pt idx="1">
                  <c:v>0.99</c:v>
                </c:pt>
                <c:pt idx="2">
                  <c:v>0.98</c:v>
                </c:pt>
                <c:pt idx="3">
                  <c:v>0.97</c:v>
                </c:pt>
                <c:pt idx="4">
                  <c:v>0.95</c:v>
                </c:pt>
              </c:numCache>
            </c:numRef>
          </c:cat>
          <c:val>
            <c:numRef>
              <c:f>'07-HBM-8High-Math-v4'!$E$15:$E$19</c:f>
              <c:numCache>
                <c:formatCode>0.00%;[Red]\-0.00%;0.00%</c:formatCode>
                <c:ptCount val="5"/>
                <c:pt idx="0">
                  <c:v>-3.703703703703709E-2</c:v>
                </c:pt>
                <c:pt idx="1">
                  <c:v>-3.703703703703709E-2</c:v>
                </c:pt>
                <c:pt idx="2">
                  <c:v>-3.703703703703709E-2</c:v>
                </c:pt>
                <c:pt idx="3">
                  <c:v>-3.703703703703709E-2</c:v>
                </c:pt>
                <c:pt idx="4">
                  <c:v>-3.703703703703709E-2</c:v>
                </c:pt>
              </c:numCache>
            </c:numRef>
          </c:val>
          <c:smooth val="0"/>
          <c:extLst>
            <c:ext xmlns:c16="http://schemas.microsoft.com/office/drawing/2014/chart" uri="{C3380CC4-5D6E-409C-BE32-E72D297353CC}">
              <c16:uniqueId val="{00000001-39BE-4949-B506-513BD62D16AC}"/>
            </c:ext>
          </c:extLst>
        </c:ser>
        <c:ser>
          <c:idx val="2"/>
          <c:order val="2"/>
          <c:tx>
            <c:strRef>
              <c:f>'07-HBM-8High-Math-v4'!$F$14</c:f>
              <c:strCache>
                <c:ptCount val="1"/>
                <c:pt idx="0">
                  <c:v>Net wafer efficiency per bit</c:v>
                </c:pt>
              </c:strCache>
            </c:strRef>
          </c:tx>
          <c:spPr>
            <a:ln w="38160">
              <a:solidFill>
                <a:srgbClr val="B35C00"/>
              </a:solidFill>
              <a:round/>
            </a:ln>
          </c:spPr>
          <c:marker>
            <c:symbol val="circle"/>
            <c:size val="7"/>
            <c:spPr>
              <a:solidFill>
                <a:srgbClr val="B35C00"/>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'07-HBM-8High-Math-v4'!$A$15:$A$19</c:f>
              <c:numCache>
                <c:formatCode>0.000</c:formatCode>
                <c:ptCount val="5"/>
                <c:pt idx="0">
                  <c:v>0.995</c:v>
                </c:pt>
                <c:pt idx="1">
                  <c:v>0.99</c:v>
                </c:pt>
                <c:pt idx="2">
                  <c:v>0.98</c:v>
                </c:pt>
                <c:pt idx="3">
                  <c:v>0.97</c:v>
                </c:pt>
                <c:pt idx="4">
                  <c:v>0.95</c:v>
                </c:pt>
              </c:numCache>
            </c:numRef>
          </c:cat>
          <c:val>
            <c:numRef>
              <c:f>'07-HBM-8High-Math-v4'!$F$15:$F$19</c:f>
              <c:numCache>
                <c:formatCode>0.00%;[Red]\-0.00%;0.00%</c:formatCode>
                <c:ptCount val="5"/>
                <c:pt idx="0">
                  <c:v>-1.753460839502341E-2</c:v>
                </c:pt>
                <c:pt idx="1">
                  <c:v>2.4640462153937559E-3</c:v>
                </c:pt>
                <c:pt idx="2">
                  <c:v>4.4011496410460538E-2</c:v>
                </c:pt>
                <c:pt idx="3">
                  <c:v>8.7733857188971198E-2</c:v>
                </c:pt>
                <c:pt idx="4">
                  <c:v>0.1822658978527949</c:v>
                </c:pt>
              </c:numCache>
            </c:numRef>
          </c:val>
          <c:smooth val="0"/>
          <c:extLst>
            <c:ext xmlns:c16="http://schemas.microsoft.com/office/drawing/2014/chart" uri="{C3380CC4-5D6E-409C-BE32-E72D297353CC}">
              <c16:uniqueId val="{00000002-39BE-4949-B506-513BD62D16AC}"/>
            </c:ext>
          </c:extLst>
        </c:ser>
        <c:dLbls>
          <c:showLegendKey val="0"/>
          <c:showVal val="0"/>
          <c:showCatName val="0"/>
          <c:showSerName val="0"/>
          <c:showPercent val="0"/>
          <c:showBubbleSize val="0"/>
        </c:dLbls>
        <c:hiLowLines>
          <c:spPr>
            <a:ln w="0">
              <a:noFill/>
            </a:ln>
          </c:spPr>
        </c:hiLowLines>
        <c:marker val="1"/>
        <c:smooth val="0"/>
        <c:axId val="93634906"/>
        <c:axId val="51721940"/>
      </c:lineChart>
      <c:catAx>
        <c:axId val="93634906"/>
        <c:scaling>
          <c:orientation val="minMax"/>
        </c:scaling>
        <c:delete val="0"/>
        <c:axPos val="b"/>
        <c:numFmt formatCode="0.000" sourceLinked="1"/>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51721940"/>
        <c:crosses val="autoZero"/>
        <c:auto val="1"/>
        <c:lblAlgn val="ctr"/>
        <c:lblOffset val="100"/>
        <c:noMultiLvlLbl val="0"/>
      </c:catAx>
      <c:valAx>
        <c:axId val="51721940"/>
        <c:scaling>
          <c:orientation val="minMax"/>
        </c:scaling>
        <c:delete val="0"/>
        <c:axPos val="l"/>
        <c:majorGridlines>
          <c:spPr>
            <a:ln w="9360">
              <a:solidFill>
                <a:srgbClr val="E6EAF0"/>
              </a:solidFill>
              <a:round/>
            </a:ln>
          </c:spPr>
        </c:majorGridlines>
        <c:numFmt formatCode="0.0%" sourceLinked="0"/>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93634906"/>
        <c:crosses val="autoZero"/>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Arial"/>
            </a:defRPr>
          </a:pPr>
          <a:endParaRPr lang="zh-C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trlProps/ctrlProp1.xml><?xml version="1.0" encoding="utf-8"?>
<formControlPr xmlns="http://schemas.microsoft.com/office/spreadsheetml/2009/9/main" objectType="Scroll" dx="16" fmlaLink="'01-DRAM-Model'!$H$143" horiz="1" max="40" min="25" val="28"/>
</file>

<file path=xl/ctrlProps/ctrlProp2.xml><?xml version="1.0" encoding="utf-8"?>
<formControlPr xmlns="http://schemas.microsoft.com/office/spreadsheetml/2009/9/main" objectType="Scroll" dx="16" fmlaLink="'01-DRAM-Model'!$H$144" horiz="1" max="300" page="30" val="70"/>
</file>

<file path=xl/ctrlProps/ctrlProp3.xml><?xml version="1.0" encoding="utf-8"?>
<formControlPr xmlns="http://schemas.microsoft.com/office/spreadsheetml/2009/9/main" objectType="Scroll" dx="16" fmlaLink="'01-DRAM-Model'!$H$145" horiz="1" max="1"/>
</file>

<file path=xl/ctrlProps/ctrlProp4.xml><?xml version="1.0" encoding="utf-8"?>
<formControlPr xmlns="http://schemas.microsoft.com/office/spreadsheetml/2009/9/main" objectType="Scroll" dx="16" fmlaLink="'01-DRAM-Model'!$H$146" horiz="1" max="150" page="15" val="50"/>
</file>

<file path=xl/ctrlProps/ctrlProp5.xml><?xml version="1.0" encoding="utf-8"?>
<formControlPr xmlns="http://schemas.microsoft.com/office/spreadsheetml/2009/9/main" objectType="Scroll" dx="16" fmlaLink="'01-DRAM-Model'!$H$147" horiz="1" max="100" page="10" val="50"/>
</file>

<file path=xl/ctrlProps/ctrlProp6.xml><?xml version="1.0" encoding="utf-8"?>
<formControlPr xmlns="http://schemas.microsoft.com/office/spreadsheetml/2009/9/main" objectType="Scroll" dx="16" fmlaLink="'01-DRAM-Model'!$H$148" horiz="1" max="200" page="20" val="100"/>
</file>

<file path=xl/ctrlProps/ctrlProp7.xml><?xml version="1.0" encoding="utf-8"?>
<formControlPr xmlns="http://schemas.microsoft.com/office/spreadsheetml/2009/9/main" objectType="Scroll" dx="16" fmlaLink="'01-DRAM-Model'!$H$149" horiz="1" max="250" page="25" val="110"/>
</file>

<file path=xl/ctrlProps/ctrlProp8.xml><?xml version="1.0" encoding="utf-8"?>
<formControlPr xmlns="http://schemas.microsoft.com/office/spreadsheetml/2009/9/main" objectType="Scroll" dx="16" fmlaLink="'01-DRAM-Model'!$H$151" horiz="1" max="100" page="5" val="16"/>
</file>

<file path=xl/ctrlProps/ctrlProp9.xml><?xml version="1.0" encoding="utf-8"?>
<formControlPr xmlns="http://schemas.microsoft.com/office/spreadsheetml/2009/9/main" objectType="Scroll" dx="16" fmlaLink="'01-DRAM-Model'!$H$152" horiz="1" max="100" page="5" val="40"/>
</file>

<file path=xl/ctrlProps/ctrlProp10.xml><?xml version="1.0" encoding="utf-8"?>
<formControlPr xmlns="http://schemas.microsoft.com/office/spreadsheetml/2009/9/main" objectType="Scroll" dx="16" fmlaLink="'01-DRAM-Model'!$H$153" horiz="1" max="100" page="5" val="27"/>
</file>

<file path=xl/ctrlProps/ctrlProp11.xml><?xml version="1.0" encoding="utf-8"?>
<formControlPr xmlns="http://schemas.microsoft.com/office/spreadsheetml/2009/9/main" objectType="Scroll" dx="16" fmlaLink="'01-DRAM-Model'!$H$154" horiz="1" max="100" page="5" val="17"/>
</file>

<file path=xl/ctrlProps/ctrlProp12.xml><?xml version="1.0" encoding="utf-8"?>
<formControlPr xmlns="http://schemas.microsoft.com/office/spreadsheetml/2009/9/main" objectType="Scroll" dx="16" fmlaLink="'01-DRAM-Model'!$H$155" horiz="1" max="100" page="5" val="0"/>
</file>

<file path=xl/ctrlProps/ctrlProp13.xml><?xml version="1.0" encoding="utf-8"?>
<formControlPr xmlns="http://schemas.microsoft.com/office/spreadsheetml/2009/9/main" objectType="Scroll" dx="16" fmlaLink="'02-NAND-Model'!$H$76" horiz="1" max="150" page="15" val="25"/>
</file>

<file path=xl/ctrlProps/ctrlProp14.xml><?xml version="1.0" encoding="utf-8"?>
<formControlPr xmlns="http://schemas.microsoft.com/office/spreadsheetml/2009/9/main" objectType="Scroll" dx="16" fmlaLink="'02-NAND-Model'!$H$77" horiz="1" max="150" page="15" val="100"/>
</file>

<file path=xl/ctrlProps/ctrlProp15.xml><?xml version="1.0" encoding="utf-8"?>
<formControlPr xmlns="http://schemas.microsoft.com/office/spreadsheetml/2009/9/main" objectType="Scroll" dx="16" fmlaLink="'02-NAND-Model'!$H$78" horiz="1" max="150" page="15" val="40"/>
</file>

<file path=xl/ctrlProps/ctrlProp16.xml><?xml version="1.0" encoding="utf-8"?>
<formControlPr xmlns="http://schemas.microsoft.com/office/spreadsheetml/2009/9/main" objectType="Scroll" dx="16" fmlaLink="'02-NAND-Model'!$H$79" horiz="1" max="160" page="16" val="80"/>
</file>

<file path=xl/ctrlProps/ctrlProp17.xml><?xml version="1.0" encoding="utf-8"?>
<formControlPr xmlns="http://schemas.microsoft.com/office/spreadsheetml/2009/9/main" objectType="Scroll" dx="16" fmlaLink="'02-NAND-Model'!$H$80" horiz="1" max="100" page="10" val="50"/>
</file>

<file path=xl/ctrlProps/ctrlProp18.xml><?xml version="1.0" encoding="utf-8"?>
<formControlPr xmlns="http://schemas.microsoft.com/office/spreadsheetml/2009/9/main" objectType="Scroll" dx="16" fmlaLink="'02-NAND-Model'!$H$81" horiz="1" max="250" page="25" val="120"/>
</file>

<file path=xl/ctrlProps/ctrlProp19.xml><?xml version="1.0" encoding="utf-8"?>
<formControlPr xmlns="http://schemas.microsoft.com/office/spreadsheetml/2009/9/main" objectType="Scroll" dx="16" fmlaLink="'02-NAND-Model'!$H$83" horiz="1" max="100" page="5" val="25"/>
</file>

<file path=xl/ctrlProps/ctrlProp20.xml><?xml version="1.0" encoding="utf-8"?>
<formControlPr xmlns="http://schemas.microsoft.com/office/spreadsheetml/2009/9/main" objectType="Scroll" dx="16" fmlaLink="'02-NAND-Model'!$H$84" horiz="1" max="100" page="5" val="46"/>
</file>

<file path=xl/ctrlProps/ctrlProp21.xml><?xml version="1.0" encoding="utf-8"?>
<formControlPr xmlns="http://schemas.microsoft.com/office/spreadsheetml/2009/9/main" objectType="Scroll" dx="16" fmlaLink="'02-NAND-Model'!$H$85" horiz="1" max="100" page="5" val="29"/>
</file>

<file path=xl/ctrlProps/ctrlProp22.xml><?xml version="1.0" encoding="utf-8"?>
<formControlPr xmlns="http://schemas.microsoft.com/office/spreadsheetml/2009/9/main" objectType="Scroll" dx="16" fmlaLink="'02-NAND-Model'!$H$86" horiz="1" max="100" page="5" val="0"/>
</file>

<file path=xl/ctrlProps/ctrlProp23.xml><?xml version="1.0" encoding="utf-8"?>
<formControlPr xmlns="http://schemas.microsoft.com/office/spreadsheetml/2009/9/main" objectType="Scroll" dx="16" fmlaLink="'06-Inventory-Burn-v4'!$H$9" horiz="1" max="400" page="25" val="257"/>
</file>

<file path=xl/ctrlProps/ctrlProp24.xml><?xml version="1.0" encoding="utf-8"?>
<formControlPr xmlns="http://schemas.microsoft.com/office/spreadsheetml/2009/9/main" objectType="Scroll" dx="16" fmlaLink="'06-Inventory-Burn-v4'!$H$10" horiz="1" max="50" page="5" val="20"/>
</file>

<file path=xl/ctrlProps/ctrlProp25.xml><?xml version="1.0" encoding="utf-8"?>
<formControlPr xmlns="http://schemas.microsoft.com/office/spreadsheetml/2009/9/main" objectType="Scroll" dx="16" fmlaLink="'06-Inventory-Burn-v4'!$H$11" horiz="1" max="60" page="5" val="25"/>
</file>

<file path=xl/ctrlProps/ctrlProp26.xml><?xml version="1.0" encoding="utf-8"?>
<formControlPr xmlns="http://schemas.microsoft.com/office/spreadsheetml/2009/9/main" objectType="Scroll" dx="16" fmlaLink="'06-Inventory-Burn-v4'!$H$12" horiz="1" max="2"/>
</file>

<file path=xl/ctrlProps/ctrlProp27.xml><?xml version="1.0" encoding="utf-8"?>
<formControlPr xmlns="http://schemas.microsoft.com/office/spreadsheetml/2009/9/main" objectType="Scroll" dx="16" fmlaLink="'06-Inventory-Burn-v4'!$H$13" horiz="1" max="100" page="10" val="90"/>
</file>

<file path=xl/ctrlProps/ctrlProp28.xml><?xml version="1.0" encoding="utf-8"?>
<formControlPr xmlns="http://schemas.microsoft.com/office/spreadsheetml/2009/9/main" objectType="Scroll" dx="16" fmlaLink="'06-Inventory-Burn-v4'!$H$14" horiz="1" max="100" page="10" val="20"/>
</file>

<file path=xl/ctrlProps/ctrlProp29.xml><?xml version="1.0" encoding="utf-8"?>
<formControlPr xmlns="http://schemas.microsoft.com/office/spreadsheetml/2009/9/main" objectType="Scroll" dx="16" fmlaLink="'07-HBM-8High-Math-v4'!$H$25" horiz="1" max="999" min="900" page="5" val="975"/>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60</xdr:row>
      <xdr:rowOff>0</xdr:rowOff>
    </xdr:from>
    <xdr:to>
      <xdr:col>7</xdr:col>
      <xdr:colOff>65520</xdr:colOff>
      <xdr:row>75</xdr:row>
      <xdr:rowOff>166320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165</xdr:row>
      <xdr:rowOff>0</xdr:rowOff>
    </xdr:from>
    <xdr:to>
      <xdr:col>9</xdr:col>
      <xdr:colOff>285480</xdr:colOff>
      <xdr:row>186</xdr:row>
      <xdr:rowOff>139320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195</xdr:row>
      <xdr:rowOff>0</xdr:rowOff>
    </xdr:from>
    <xdr:to>
      <xdr:col>9</xdr:col>
      <xdr:colOff>285480</xdr:colOff>
      <xdr:row>216</xdr:row>
      <xdr:rowOff>139320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225</xdr:row>
      <xdr:rowOff>0</xdr:rowOff>
    </xdr:from>
    <xdr:to>
      <xdr:col>9</xdr:col>
      <xdr:colOff>285480</xdr:colOff>
      <xdr:row>246</xdr:row>
      <xdr:rowOff>139320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255</xdr:row>
      <xdr:rowOff>0</xdr:rowOff>
    </xdr:from>
    <xdr:to>
      <xdr:col>9</xdr:col>
      <xdr:colOff>285480</xdr:colOff>
      <xdr:row>276</xdr:row>
      <xdr:rowOff>139320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285</xdr:row>
      <xdr:rowOff>0</xdr:rowOff>
    </xdr:from>
    <xdr:to>
      <xdr:col>9</xdr:col>
      <xdr:colOff>285480</xdr:colOff>
      <xdr:row>306</xdr:row>
      <xdr:rowOff>139320</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315</xdr:row>
      <xdr:rowOff>0</xdr:rowOff>
    </xdr:from>
    <xdr:to>
      <xdr:col>9</xdr:col>
      <xdr:colOff>285480</xdr:colOff>
      <xdr:row>336</xdr:row>
      <xdr:rowOff>139320</xdr:rowOff>
    </xdr:to>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19050</xdr:colOff>
          <xdr:row>142</xdr:row>
          <xdr:rowOff>23813</xdr:rowOff>
        </xdr:from>
        <xdr:to>
          <xdr:col>7</xdr:col>
          <xdr:colOff>0</xdr:colOff>
          <xdr:row>143</xdr:row>
          <xdr:rowOff>0</xdr:rowOff>
        </xdr:to>
        <xdr:sp macro="" textlink="">
          <xdr:nvSpPr>
            <xdr:cNvPr id="1025" name="Scroll Bar 1" hidden="1">
              <a:extLst>
                <a:ext uri="{63B3BB69-23CF-44E3-9099-C40C66FF867C}">
                  <a14:compatExt spid="_x0000_s1025"/>
                </a:ext>
                <a:ext uri="{FF2B5EF4-FFF2-40B4-BE49-F238E27FC236}">
                  <a16:creationId xmlns:a16="http://schemas.microsoft.com/office/drawing/2014/main" id="{FFD5AB5A-4FE9-FAC7-C151-0846E571982A}"/>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143</xdr:row>
          <xdr:rowOff>23813</xdr:rowOff>
        </xdr:from>
        <xdr:to>
          <xdr:col>7</xdr:col>
          <xdr:colOff>0</xdr:colOff>
          <xdr:row>144</xdr:row>
          <xdr:rowOff>0</xdr:rowOff>
        </xdr:to>
        <xdr:sp macro="" textlink="">
          <xdr:nvSpPr>
            <xdr:cNvPr id="1026" name="Scroll Bar 2" hidden="1">
              <a:extLst>
                <a:ext uri="{63B3BB69-23CF-44E3-9099-C40C66FF867C}">
                  <a14:compatExt spid="_x0000_s1026"/>
                </a:ext>
                <a:ext uri="{FF2B5EF4-FFF2-40B4-BE49-F238E27FC236}">
                  <a16:creationId xmlns:a16="http://schemas.microsoft.com/office/drawing/2014/main" id="{A0D9624E-E952-E192-DC29-E651699BB857}"/>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144</xdr:row>
          <xdr:rowOff>23813</xdr:rowOff>
        </xdr:from>
        <xdr:to>
          <xdr:col>7</xdr:col>
          <xdr:colOff>0</xdr:colOff>
          <xdr:row>145</xdr:row>
          <xdr:rowOff>0</xdr:rowOff>
        </xdr:to>
        <xdr:sp macro="" textlink="">
          <xdr:nvSpPr>
            <xdr:cNvPr id="1027" name="Scroll Bar 3" hidden="1">
              <a:extLst>
                <a:ext uri="{63B3BB69-23CF-44E3-9099-C40C66FF867C}">
                  <a14:compatExt spid="_x0000_s1027"/>
                </a:ext>
                <a:ext uri="{FF2B5EF4-FFF2-40B4-BE49-F238E27FC236}">
                  <a16:creationId xmlns:a16="http://schemas.microsoft.com/office/drawing/2014/main" id="{19605361-9CE4-5391-0D0B-ED7B6305407B}"/>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145</xdr:row>
          <xdr:rowOff>23813</xdr:rowOff>
        </xdr:from>
        <xdr:to>
          <xdr:col>7</xdr:col>
          <xdr:colOff>0</xdr:colOff>
          <xdr:row>146</xdr:row>
          <xdr:rowOff>0</xdr:rowOff>
        </xdr:to>
        <xdr:sp macro="" textlink="">
          <xdr:nvSpPr>
            <xdr:cNvPr id="1028" name="Scroll Bar 4" hidden="1">
              <a:extLst>
                <a:ext uri="{63B3BB69-23CF-44E3-9099-C40C66FF867C}">
                  <a14:compatExt spid="_x0000_s1028"/>
                </a:ext>
                <a:ext uri="{FF2B5EF4-FFF2-40B4-BE49-F238E27FC236}">
                  <a16:creationId xmlns:a16="http://schemas.microsoft.com/office/drawing/2014/main" id="{0974C333-1C24-C922-13A2-24EF5A1CE657}"/>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146</xdr:row>
          <xdr:rowOff>23813</xdr:rowOff>
        </xdr:from>
        <xdr:to>
          <xdr:col>7</xdr:col>
          <xdr:colOff>0</xdr:colOff>
          <xdr:row>147</xdr:row>
          <xdr:rowOff>0</xdr:rowOff>
        </xdr:to>
        <xdr:sp macro="" textlink="">
          <xdr:nvSpPr>
            <xdr:cNvPr id="1029" name="Scroll Bar 5" hidden="1">
              <a:extLst>
                <a:ext uri="{63B3BB69-23CF-44E3-9099-C40C66FF867C}">
                  <a14:compatExt spid="_x0000_s1029"/>
                </a:ext>
                <a:ext uri="{FF2B5EF4-FFF2-40B4-BE49-F238E27FC236}">
                  <a16:creationId xmlns:a16="http://schemas.microsoft.com/office/drawing/2014/main" id="{852E901D-D357-B663-3897-ECD52D204213}"/>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147</xdr:row>
          <xdr:rowOff>23813</xdr:rowOff>
        </xdr:from>
        <xdr:to>
          <xdr:col>7</xdr:col>
          <xdr:colOff>0</xdr:colOff>
          <xdr:row>148</xdr:row>
          <xdr:rowOff>0</xdr:rowOff>
        </xdr:to>
        <xdr:sp macro="" textlink="">
          <xdr:nvSpPr>
            <xdr:cNvPr id="1030" name="Scroll Bar 6" hidden="1">
              <a:extLst>
                <a:ext uri="{63B3BB69-23CF-44E3-9099-C40C66FF867C}">
                  <a14:compatExt spid="_x0000_s1030"/>
                </a:ext>
                <a:ext uri="{FF2B5EF4-FFF2-40B4-BE49-F238E27FC236}">
                  <a16:creationId xmlns:a16="http://schemas.microsoft.com/office/drawing/2014/main" id="{C51E87C5-570A-D05A-B5DD-448133B43011}"/>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148</xdr:row>
          <xdr:rowOff>23813</xdr:rowOff>
        </xdr:from>
        <xdr:to>
          <xdr:col>7</xdr:col>
          <xdr:colOff>0</xdr:colOff>
          <xdr:row>149</xdr:row>
          <xdr:rowOff>0</xdr:rowOff>
        </xdr:to>
        <xdr:sp macro="" textlink="">
          <xdr:nvSpPr>
            <xdr:cNvPr id="1031" name="Scroll Bar 7" hidden="1">
              <a:extLst>
                <a:ext uri="{63B3BB69-23CF-44E3-9099-C40C66FF867C}">
                  <a14:compatExt spid="_x0000_s1031"/>
                </a:ext>
                <a:ext uri="{FF2B5EF4-FFF2-40B4-BE49-F238E27FC236}">
                  <a16:creationId xmlns:a16="http://schemas.microsoft.com/office/drawing/2014/main" id="{3EF9AB33-A391-0A0E-57AE-265D746B6C73}"/>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150</xdr:row>
          <xdr:rowOff>23813</xdr:rowOff>
        </xdr:from>
        <xdr:to>
          <xdr:col>7</xdr:col>
          <xdr:colOff>0</xdr:colOff>
          <xdr:row>151</xdr:row>
          <xdr:rowOff>0</xdr:rowOff>
        </xdr:to>
        <xdr:sp macro="" textlink="">
          <xdr:nvSpPr>
            <xdr:cNvPr id="1032" name="Scroll Bar 8" hidden="1">
              <a:extLst>
                <a:ext uri="{63B3BB69-23CF-44E3-9099-C40C66FF867C}">
                  <a14:compatExt spid="_x0000_s1032"/>
                </a:ext>
                <a:ext uri="{FF2B5EF4-FFF2-40B4-BE49-F238E27FC236}">
                  <a16:creationId xmlns:a16="http://schemas.microsoft.com/office/drawing/2014/main" id="{D1C693D3-A661-CAF5-282B-63A516CE3A4B}"/>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151</xdr:row>
          <xdr:rowOff>23813</xdr:rowOff>
        </xdr:from>
        <xdr:to>
          <xdr:col>7</xdr:col>
          <xdr:colOff>0</xdr:colOff>
          <xdr:row>152</xdr:row>
          <xdr:rowOff>0</xdr:rowOff>
        </xdr:to>
        <xdr:sp macro="" textlink="">
          <xdr:nvSpPr>
            <xdr:cNvPr id="1033" name="Scroll Bar 9" hidden="1">
              <a:extLst>
                <a:ext uri="{63B3BB69-23CF-44E3-9099-C40C66FF867C}">
                  <a14:compatExt spid="_x0000_s1033"/>
                </a:ext>
                <a:ext uri="{FF2B5EF4-FFF2-40B4-BE49-F238E27FC236}">
                  <a16:creationId xmlns:a16="http://schemas.microsoft.com/office/drawing/2014/main" id="{D2D01FE0-3009-EA8C-87DE-4587C947E229}"/>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152</xdr:row>
          <xdr:rowOff>23813</xdr:rowOff>
        </xdr:from>
        <xdr:to>
          <xdr:col>7</xdr:col>
          <xdr:colOff>0</xdr:colOff>
          <xdr:row>153</xdr:row>
          <xdr:rowOff>0</xdr:rowOff>
        </xdr:to>
        <xdr:sp macro="" textlink="">
          <xdr:nvSpPr>
            <xdr:cNvPr id="1034" name="Scroll Bar 10" hidden="1">
              <a:extLst>
                <a:ext uri="{63B3BB69-23CF-44E3-9099-C40C66FF867C}">
                  <a14:compatExt spid="_x0000_s1034"/>
                </a:ext>
                <a:ext uri="{FF2B5EF4-FFF2-40B4-BE49-F238E27FC236}">
                  <a16:creationId xmlns:a16="http://schemas.microsoft.com/office/drawing/2014/main" id="{8023DC0E-AE30-E51B-2900-02940D22F745}"/>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153</xdr:row>
          <xdr:rowOff>23813</xdr:rowOff>
        </xdr:from>
        <xdr:to>
          <xdr:col>7</xdr:col>
          <xdr:colOff>0</xdr:colOff>
          <xdr:row>154</xdr:row>
          <xdr:rowOff>0</xdr:rowOff>
        </xdr:to>
        <xdr:sp macro="" textlink="">
          <xdr:nvSpPr>
            <xdr:cNvPr id="1035" name="Scroll Bar 11" hidden="1">
              <a:extLst>
                <a:ext uri="{63B3BB69-23CF-44E3-9099-C40C66FF867C}">
                  <a14:compatExt spid="_x0000_s1035"/>
                </a:ext>
                <a:ext uri="{FF2B5EF4-FFF2-40B4-BE49-F238E27FC236}">
                  <a16:creationId xmlns:a16="http://schemas.microsoft.com/office/drawing/2014/main" id="{D39C72B2-4035-0264-CC59-90EF753C366B}"/>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154</xdr:row>
          <xdr:rowOff>23813</xdr:rowOff>
        </xdr:from>
        <xdr:to>
          <xdr:col>7</xdr:col>
          <xdr:colOff>0</xdr:colOff>
          <xdr:row>155</xdr:row>
          <xdr:rowOff>0</xdr:rowOff>
        </xdr:to>
        <xdr:sp macro="" textlink="">
          <xdr:nvSpPr>
            <xdr:cNvPr id="1036" name="Scroll Bar 12" hidden="1">
              <a:extLst>
                <a:ext uri="{63B3BB69-23CF-44E3-9099-C40C66FF867C}">
                  <a14:compatExt spid="_x0000_s1036"/>
                </a:ext>
                <a:ext uri="{FF2B5EF4-FFF2-40B4-BE49-F238E27FC236}">
                  <a16:creationId xmlns:a16="http://schemas.microsoft.com/office/drawing/2014/main" id="{4803DA1D-2BFC-165F-DE88-F27D4A0D5929}"/>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0</xdr:col>
      <xdr:colOff>0</xdr:colOff>
      <xdr:row>95</xdr:row>
      <xdr:rowOff>0</xdr:rowOff>
    </xdr:from>
    <xdr:to>
      <xdr:col>9</xdr:col>
      <xdr:colOff>17640</xdr:colOff>
      <xdr:row>116</xdr:row>
      <xdr:rowOff>138960</xdr:rowOff>
    </xdr:to>
    <xdr:graphicFrame macro="">
      <xdr:nvGraphicFramePr>
        <xdr:cNvPr id="7" name="Chart 1">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125</xdr:row>
      <xdr:rowOff>0</xdr:rowOff>
    </xdr:from>
    <xdr:to>
      <xdr:col>9</xdr:col>
      <xdr:colOff>17640</xdr:colOff>
      <xdr:row>146</xdr:row>
      <xdr:rowOff>138960</xdr:rowOff>
    </xdr:to>
    <xdr:graphicFrame macro="">
      <xdr:nvGraphicFramePr>
        <xdr:cNvPr id="8" name="Chart 2">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155</xdr:row>
      <xdr:rowOff>0</xdr:rowOff>
    </xdr:from>
    <xdr:to>
      <xdr:col>9</xdr:col>
      <xdr:colOff>17640</xdr:colOff>
      <xdr:row>176</xdr:row>
      <xdr:rowOff>138960</xdr:rowOff>
    </xdr:to>
    <xdr:graphicFrame macro="">
      <xdr:nvGraphicFramePr>
        <xdr:cNvPr id="9" name="Chart 3">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185</xdr:row>
      <xdr:rowOff>0</xdr:rowOff>
    </xdr:from>
    <xdr:to>
      <xdr:col>9</xdr:col>
      <xdr:colOff>17640</xdr:colOff>
      <xdr:row>206</xdr:row>
      <xdr:rowOff>138960</xdr:rowOff>
    </xdr:to>
    <xdr:graphicFrame macro="">
      <xdr:nvGraphicFramePr>
        <xdr:cNvPr id="10" name="Chart 4">
          <a:extLst>
            <a:ext uri="{FF2B5EF4-FFF2-40B4-BE49-F238E27FC236}">
              <a16:creationId xmlns:a16="http://schemas.microsoft.com/office/drawing/2014/main" id="{00000000-0008-0000-02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19050</xdr:colOff>
          <xdr:row>75</xdr:row>
          <xdr:rowOff>23813</xdr:rowOff>
        </xdr:from>
        <xdr:to>
          <xdr:col>7</xdr:col>
          <xdr:colOff>0</xdr:colOff>
          <xdr:row>76</xdr:row>
          <xdr:rowOff>0</xdr:rowOff>
        </xdr:to>
        <xdr:sp macro="" textlink="">
          <xdr:nvSpPr>
            <xdr:cNvPr id="2049" name="Scroll Bar 1" hidden="1">
              <a:extLst>
                <a:ext uri="{63B3BB69-23CF-44E3-9099-C40C66FF867C}">
                  <a14:compatExt spid="_x0000_s2049"/>
                </a:ext>
                <a:ext uri="{FF2B5EF4-FFF2-40B4-BE49-F238E27FC236}">
                  <a16:creationId xmlns:a16="http://schemas.microsoft.com/office/drawing/2014/main" id="{C009844B-B431-4215-3EA4-51759D90EBDB}"/>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76</xdr:row>
          <xdr:rowOff>23813</xdr:rowOff>
        </xdr:from>
        <xdr:to>
          <xdr:col>7</xdr:col>
          <xdr:colOff>0</xdr:colOff>
          <xdr:row>77</xdr:row>
          <xdr:rowOff>0</xdr:rowOff>
        </xdr:to>
        <xdr:sp macro="" textlink="">
          <xdr:nvSpPr>
            <xdr:cNvPr id="2050" name="Scroll Bar 2" hidden="1">
              <a:extLst>
                <a:ext uri="{63B3BB69-23CF-44E3-9099-C40C66FF867C}">
                  <a14:compatExt spid="_x0000_s2050"/>
                </a:ext>
                <a:ext uri="{FF2B5EF4-FFF2-40B4-BE49-F238E27FC236}">
                  <a16:creationId xmlns:a16="http://schemas.microsoft.com/office/drawing/2014/main" id="{39A4C18D-F0FC-7D20-D6EC-BA013E43637A}"/>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77</xdr:row>
          <xdr:rowOff>23813</xdr:rowOff>
        </xdr:from>
        <xdr:to>
          <xdr:col>7</xdr:col>
          <xdr:colOff>0</xdr:colOff>
          <xdr:row>78</xdr:row>
          <xdr:rowOff>0</xdr:rowOff>
        </xdr:to>
        <xdr:sp macro="" textlink="">
          <xdr:nvSpPr>
            <xdr:cNvPr id="2051" name="Scroll Bar 3" hidden="1">
              <a:extLst>
                <a:ext uri="{63B3BB69-23CF-44E3-9099-C40C66FF867C}">
                  <a14:compatExt spid="_x0000_s2051"/>
                </a:ext>
                <a:ext uri="{FF2B5EF4-FFF2-40B4-BE49-F238E27FC236}">
                  <a16:creationId xmlns:a16="http://schemas.microsoft.com/office/drawing/2014/main" id="{1D3166C2-E3D3-E438-814A-61D72A206BC5}"/>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78</xdr:row>
          <xdr:rowOff>23813</xdr:rowOff>
        </xdr:from>
        <xdr:to>
          <xdr:col>7</xdr:col>
          <xdr:colOff>0</xdr:colOff>
          <xdr:row>79</xdr:row>
          <xdr:rowOff>0</xdr:rowOff>
        </xdr:to>
        <xdr:sp macro="" textlink="">
          <xdr:nvSpPr>
            <xdr:cNvPr id="2052" name="Scroll Bar 4" hidden="1">
              <a:extLst>
                <a:ext uri="{63B3BB69-23CF-44E3-9099-C40C66FF867C}">
                  <a14:compatExt spid="_x0000_s2052"/>
                </a:ext>
                <a:ext uri="{FF2B5EF4-FFF2-40B4-BE49-F238E27FC236}">
                  <a16:creationId xmlns:a16="http://schemas.microsoft.com/office/drawing/2014/main" id="{18BC16B9-1129-6E27-F4BB-A63D8E6499A9}"/>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79</xdr:row>
          <xdr:rowOff>23813</xdr:rowOff>
        </xdr:from>
        <xdr:to>
          <xdr:col>7</xdr:col>
          <xdr:colOff>0</xdr:colOff>
          <xdr:row>80</xdr:row>
          <xdr:rowOff>0</xdr:rowOff>
        </xdr:to>
        <xdr:sp macro="" textlink="">
          <xdr:nvSpPr>
            <xdr:cNvPr id="2053" name="Scroll Bar 5" hidden="1">
              <a:extLst>
                <a:ext uri="{63B3BB69-23CF-44E3-9099-C40C66FF867C}">
                  <a14:compatExt spid="_x0000_s2053"/>
                </a:ext>
                <a:ext uri="{FF2B5EF4-FFF2-40B4-BE49-F238E27FC236}">
                  <a16:creationId xmlns:a16="http://schemas.microsoft.com/office/drawing/2014/main" id="{47105C31-ABDB-2B97-59F4-64F00A4ECB8D}"/>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80</xdr:row>
          <xdr:rowOff>23813</xdr:rowOff>
        </xdr:from>
        <xdr:to>
          <xdr:col>7</xdr:col>
          <xdr:colOff>0</xdr:colOff>
          <xdr:row>81</xdr:row>
          <xdr:rowOff>0</xdr:rowOff>
        </xdr:to>
        <xdr:sp macro="" textlink="">
          <xdr:nvSpPr>
            <xdr:cNvPr id="2054" name="Scroll Bar 6" hidden="1">
              <a:extLst>
                <a:ext uri="{63B3BB69-23CF-44E3-9099-C40C66FF867C}">
                  <a14:compatExt spid="_x0000_s2054"/>
                </a:ext>
                <a:ext uri="{FF2B5EF4-FFF2-40B4-BE49-F238E27FC236}">
                  <a16:creationId xmlns:a16="http://schemas.microsoft.com/office/drawing/2014/main" id="{8F44B8DE-7C97-DF00-3D92-5E5D2FEFBAE6}"/>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82</xdr:row>
          <xdr:rowOff>23813</xdr:rowOff>
        </xdr:from>
        <xdr:to>
          <xdr:col>7</xdr:col>
          <xdr:colOff>0</xdr:colOff>
          <xdr:row>83</xdr:row>
          <xdr:rowOff>0</xdr:rowOff>
        </xdr:to>
        <xdr:sp macro="" textlink="">
          <xdr:nvSpPr>
            <xdr:cNvPr id="2055" name="Scroll Bar 7" hidden="1">
              <a:extLst>
                <a:ext uri="{63B3BB69-23CF-44E3-9099-C40C66FF867C}">
                  <a14:compatExt spid="_x0000_s2055"/>
                </a:ext>
                <a:ext uri="{FF2B5EF4-FFF2-40B4-BE49-F238E27FC236}">
                  <a16:creationId xmlns:a16="http://schemas.microsoft.com/office/drawing/2014/main" id="{FE8FAA28-54DA-2414-BDFD-23C88D638DAA}"/>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83</xdr:row>
          <xdr:rowOff>23813</xdr:rowOff>
        </xdr:from>
        <xdr:to>
          <xdr:col>7</xdr:col>
          <xdr:colOff>0</xdr:colOff>
          <xdr:row>84</xdr:row>
          <xdr:rowOff>0</xdr:rowOff>
        </xdr:to>
        <xdr:sp macro="" textlink="">
          <xdr:nvSpPr>
            <xdr:cNvPr id="2056" name="Scroll Bar 8" hidden="1">
              <a:extLst>
                <a:ext uri="{63B3BB69-23CF-44E3-9099-C40C66FF867C}">
                  <a14:compatExt spid="_x0000_s2056"/>
                </a:ext>
                <a:ext uri="{FF2B5EF4-FFF2-40B4-BE49-F238E27FC236}">
                  <a16:creationId xmlns:a16="http://schemas.microsoft.com/office/drawing/2014/main" id="{94EBDD68-A37E-90BD-EEBB-80CD581C87C2}"/>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84</xdr:row>
          <xdr:rowOff>23813</xdr:rowOff>
        </xdr:from>
        <xdr:to>
          <xdr:col>7</xdr:col>
          <xdr:colOff>0</xdr:colOff>
          <xdr:row>85</xdr:row>
          <xdr:rowOff>0</xdr:rowOff>
        </xdr:to>
        <xdr:sp macro="" textlink="">
          <xdr:nvSpPr>
            <xdr:cNvPr id="2057" name="Scroll Bar 9" hidden="1">
              <a:extLst>
                <a:ext uri="{63B3BB69-23CF-44E3-9099-C40C66FF867C}">
                  <a14:compatExt spid="_x0000_s2057"/>
                </a:ext>
                <a:ext uri="{FF2B5EF4-FFF2-40B4-BE49-F238E27FC236}">
                  <a16:creationId xmlns:a16="http://schemas.microsoft.com/office/drawing/2014/main" id="{E07A00FE-2F86-B3A4-4919-E548522DD453}"/>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85</xdr:row>
          <xdr:rowOff>23813</xdr:rowOff>
        </xdr:from>
        <xdr:to>
          <xdr:col>7</xdr:col>
          <xdr:colOff>0</xdr:colOff>
          <xdr:row>86</xdr:row>
          <xdr:rowOff>0</xdr:rowOff>
        </xdr:to>
        <xdr:sp macro="" textlink="">
          <xdr:nvSpPr>
            <xdr:cNvPr id="2058" name="Scroll Bar 10" hidden="1">
              <a:extLst>
                <a:ext uri="{63B3BB69-23CF-44E3-9099-C40C66FF867C}">
                  <a14:compatExt spid="_x0000_s2058"/>
                </a:ext>
                <a:ext uri="{FF2B5EF4-FFF2-40B4-BE49-F238E27FC236}">
                  <a16:creationId xmlns:a16="http://schemas.microsoft.com/office/drawing/2014/main" id="{AEA6DA90-436D-AF67-9F17-334E8BFB55CA}"/>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4.xml><?xml version="1.0" encoding="utf-8"?>
<xdr:wsDr xmlns:xdr="http://schemas.openxmlformats.org/drawingml/2006/spreadsheetDrawing" xmlns:a="http://schemas.openxmlformats.org/drawingml/2006/main">
  <xdr:twoCellAnchor editAs="oneCell">
    <xdr:from>
      <xdr:col>0</xdr:col>
      <xdr:colOff>0</xdr:colOff>
      <xdr:row>67</xdr:row>
      <xdr:rowOff>0</xdr:rowOff>
    </xdr:from>
    <xdr:to>
      <xdr:col>9</xdr:col>
      <xdr:colOff>11880</xdr:colOff>
      <xdr:row>88</xdr:row>
      <xdr:rowOff>139320</xdr:rowOff>
    </xdr:to>
    <xdr:graphicFrame macro="">
      <xdr:nvGraphicFramePr>
        <xdr:cNvPr id="11" name="Chart 1">
          <a:extLst>
            <a:ext uri="{FF2B5EF4-FFF2-40B4-BE49-F238E27FC236}">
              <a16:creationId xmlns:a16="http://schemas.microsoft.com/office/drawing/2014/main" id="{00000000-0008-0000-06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97</xdr:row>
      <xdr:rowOff>0</xdr:rowOff>
    </xdr:from>
    <xdr:to>
      <xdr:col>9</xdr:col>
      <xdr:colOff>11880</xdr:colOff>
      <xdr:row>118</xdr:row>
      <xdr:rowOff>139320</xdr:rowOff>
    </xdr:to>
    <xdr:graphicFrame macro="">
      <xdr:nvGraphicFramePr>
        <xdr:cNvPr id="12" name="Chart 2">
          <a:extLst>
            <a:ext uri="{FF2B5EF4-FFF2-40B4-BE49-F238E27FC236}">
              <a16:creationId xmlns:a16="http://schemas.microsoft.com/office/drawing/2014/main" id="{00000000-0008-0000-06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127</xdr:row>
      <xdr:rowOff>0</xdr:rowOff>
    </xdr:from>
    <xdr:to>
      <xdr:col>9</xdr:col>
      <xdr:colOff>11880</xdr:colOff>
      <xdr:row>148</xdr:row>
      <xdr:rowOff>139320</xdr:rowOff>
    </xdr:to>
    <xdr:graphicFrame macro="">
      <xdr:nvGraphicFramePr>
        <xdr:cNvPr id="13" name="Chart 3">
          <a:extLst>
            <a:ext uri="{FF2B5EF4-FFF2-40B4-BE49-F238E27FC236}">
              <a16:creationId xmlns:a16="http://schemas.microsoft.com/office/drawing/2014/main" id="{00000000-0008-0000-06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19050</xdr:colOff>
          <xdr:row>8</xdr:row>
          <xdr:rowOff>23813</xdr:rowOff>
        </xdr:from>
        <xdr:to>
          <xdr:col>7</xdr:col>
          <xdr:colOff>0</xdr:colOff>
          <xdr:row>9</xdr:row>
          <xdr:rowOff>0</xdr:rowOff>
        </xdr:to>
        <xdr:sp macro="" textlink="">
          <xdr:nvSpPr>
            <xdr:cNvPr id="3073" name="Scroll Bar 1" hidden="1">
              <a:extLst>
                <a:ext uri="{63B3BB69-23CF-44E3-9099-C40C66FF867C}">
                  <a14:compatExt spid="_x0000_s3073"/>
                </a:ext>
                <a:ext uri="{FF2B5EF4-FFF2-40B4-BE49-F238E27FC236}">
                  <a16:creationId xmlns:a16="http://schemas.microsoft.com/office/drawing/2014/main" id="{FDB410E3-2C13-48AA-0790-3160704C2C04}"/>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9</xdr:row>
          <xdr:rowOff>23813</xdr:rowOff>
        </xdr:from>
        <xdr:to>
          <xdr:col>7</xdr:col>
          <xdr:colOff>0</xdr:colOff>
          <xdr:row>10</xdr:row>
          <xdr:rowOff>0</xdr:rowOff>
        </xdr:to>
        <xdr:sp macro="" textlink="">
          <xdr:nvSpPr>
            <xdr:cNvPr id="3074" name="Scroll Bar 2" hidden="1">
              <a:extLst>
                <a:ext uri="{63B3BB69-23CF-44E3-9099-C40C66FF867C}">
                  <a14:compatExt spid="_x0000_s3074"/>
                </a:ext>
                <a:ext uri="{FF2B5EF4-FFF2-40B4-BE49-F238E27FC236}">
                  <a16:creationId xmlns:a16="http://schemas.microsoft.com/office/drawing/2014/main" id="{542C8CAD-E6DA-A556-8921-A15A227D5D28}"/>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10</xdr:row>
          <xdr:rowOff>23813</xdr:rowOff>
        </xdr:from>
        <xdr:to>
          <xdr:col>7</xdr:col>
          <xdr:colOff>0</xdr:colOff>
          <xdr:row>11</xdr:row>
          <xdr:rowOff>0</xdr:rowOff>
        </xdr:to>
        <xdr:sp macro="" textlink="">
          <xdr:nvSpPr>
            <xdr:cNvPr id="3075" name="Scroll Bar 3" hidden="1">
              <a:extLst>
                <a:ext uri="{63B3BB69-23CF-44E3-9099-C40C66FF867C}">
                  <a14:compatExt spid="_x0000_s3075"/>
                </a:ext>
                <a:ext uri="{FF2B5EF4-FFF2-40B4-BE49-F238E27FC236}">
                  <a16:creationId xmlns:a16="http://schemas.microsoft.com/office/drawing/2014/main" id="{5394AB2A-BC83-2DED-85AB-9EAC1DFFA835}"/>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11</xdr:row>
          <xdr:rowOff>23813</xdr:rowOff>
        </xdr:from>
        <xdr:to>
          <xdr:col>7</xdr:col>
          <xdr:colOff>0</xdr:colOff>
          <xdr:row>12</xdr:row>
          <xdr:rowOff>0</xdr:rowOff>
        </xdr:to>
        <xdr:sp macro="" textlink="">
          <xdr:nvSpPr>
            <xdr:cNvPr id="3076" name="Scroll Bar 4" hidden="1">
              <a:extLst>
                <a:ext uri="{63B3BB69-23CF-44E3-9099-C40C66FF867C}">
                  <a14:compatExt spid="_x0000_s3076"/>
                </a:ext>
                <a:ext uri="{FF2B5EF4-FFF2-40B4-BE49-F238E27FC236}">
                  <a16:creationId xmlns:a16="http://schemas.microsoft.com/office/drawing/2014/main" id="{B8DB0E3D-F7F6-EAA2-19AA-708C509A3CB8}"/>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12</xdr:row>
          <xdr:rowOff>23813</xdr:rowOff>
        </xdr:from>
        <xdr:to>
          <xdr:col>7</xdr:col>
          <xdr:colOff>0</xdr:colOff>
          <xdr:row>13</xdr:row>
          <xdr:rowOff>0</xdr:rowOff>
        </xdr:to>
        <xdr:sp macro="" textlink="">
          <xdr:nvSpPr>
            <xdr:cNvPr id="3077" name="Scroll Bar 5" hidden="1">
              <a:extLst>
                <a:ext uri="{63B3BB69-23CF-44E3-9099-C40C66FF867C}">
                  <a14:compatExt spid="_x0000_s3077"/>
                </a:ext>
                <a:ext uri="{FF2B5EF4-FFF2-40B4-BE49-F238E27FC236}">
                  <a16:creationId xmlns:a16="http://schemas.microsoft.com/office/drawing/2014/main" id="{498515A3-176F-D333-1CF4-9C09810EAD0C}"/>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13</xdr:row>
          <xdr:rowOff>23813</xdr:rowOff>
        </xdr:from>
        <xdr:to>
          <xdr:col>7</xdr:col>
          <xdr:colOff>0</xdr:colOff>
          <xdr:row>14</xdr:row>
          <xdr:rowOff>0</xdr:rowOff>
        </xdr:to>
        <xdr:sp macro="" textlink="">
          <xdr:nvSpPr>
            <xdr:cNvPr id="3078" name="Scroll Bar 6" hidden="1">
              <a:extLst>
                <a:ext uri="{63B3BB69-23CF-44E3-9099-C40C66FF867C}">
                  <a14:compatExt spid="_x0000_s3078"/>
                </a:ext>
                <a:ext uri="{FF2B5EF4-FFF2-40B4-BE49-F238E27FC236}">
                  <a16:creationId xmlns:a16="http://schemas.microsoft.com/office/drawing/2014/main" id="{17197987-8183-A1AC-7451-82C6B093125C}"/>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5.xml><?xml version="1.0" encoding="utf-8"?>
<xdr:wsDr xmlns:xdr="http://schemas.openxmlformats.org/drawingml/2006/spreadsheetDrawing" xmlns:a="http://schemas.openxmlformats.org/drawingml/2006/main">
  <xdr:twoCellAnchor editAs="oneCell">
    <xdr:from>
      <xdr:col>0</xdr:col>
      <xdr:colOff>0</xdr:colOff>
      <xdr:row>50</xdr:row>
      <xdr:rowOff>0</xdr:rowOff>
    </xdr:from>
    <xdr:to>
      <xdr:col>8</xdr:col>
      <xdr:colOff>250560</xdr:colOff>
      <xdr:row>71</xdr:row>
      <xdr:rowOff>139320</xdr:rowOff>
    </xdr:to>
    <xdr:graphicFrame macro="">
      <xdr:nvGraphicFramePr>
        <xdr:cNvPr id="14" name="Chart 1">
          <a:extLst>
            <a:ext uri="{FF2B5EF4-FFF2-40B4-BE49-F238E27FC236}">
              <a16:creationId xmlns:a16="http://schemas.microsoft.com/office/drawing/2014/main" id="{00000000-0008-0000-07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19050</xdr:colOff>
          <xdr:row>24</xdr:row>
          <xdr:rowOff>23813</xdr:rowOff>
        </xdr:from>
        <xdr:to>
          <xdr:col>7</xdr:col>
          <xdr:colOff>0</xdr:colOff>
          <xdr:row>25</xdr:row>
          <xdr:rowOff>0</xdr:rowOff>
        </xdr:to>
        <xdr:sp macro="" textlink="">
          <xdr:nvSpPr>
            <xdr:cNvPr id="4097" name="Scroll Bar 1" hidden="1">
              <a:extLst>
                <a:ext uri="{63B3BB69-23CF-44E3-9099-C40C66FF867C}">
                  <a14:compatExt spid="_x0000_s4097"/>
                </a:ext>
                <a:ext uri="{FF2B5EF4-FFF2-40B4-BE49-F238E27FC236}">
                  <a16:creationId xmlns:a16="http://schemas.microsoft.com/office/drawing/2014/main" id="{A2987666-0F57-D77B-3685-1C943AE83A68}"/>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6.xml"/><Relationship Id="rId13" Type="http://schemas.openxmlformats.org/officeDocument/2006/relationships/ctrlProp" Target="../ctrlProps/ctrlProp11.xml"/><Relationship Id="rId3" Type="http://schemas.openxmlformats.org/officeDocument/2006/relationships/ctrlProp" Target="../ctrlProps/ctrlProp1.xml"/><Relationship Id="rId7" Type="http://schemas.openxmlformats.org/officeDocument/2006/relationships/ctrlProp" Target="../ctrlProps/ctrlProp5.xml"/><Relationship Id="rId12" Type="http://schemas.openxmlformats.org/officeDocument/2006/relationships/ctrlProp" Target="../ctrlProps/ctrlProp10.xml"/><Relationship Id="rId2" Type="http://schemas.openxmlformats.org/officeDocument/2006/relationships/vmlDrawing" Target="../drawings/vmlDrawing1.vml"/><Relationship Id="rId1" Type="http://schemas.openxmlformats.org/officeDocument/2006/relationships/drawing" Target="../drawings/drawing2.xml"/><Relationship Id="rId6" Type="http://schemas.openxmlformats.org/officeDocument/2006/relationships/ctrlProp" Target="../ctrlProps/ctrlProp4.xml"/><Relationship Id="rId11" Type="http://schemas.openxmlformats.org/officeDocument/2006/relationships/ctrlProp" Target="../ctrlProps/ctrlProp9.xml"/><Relationship Id="rId5" Type="http://schemas.openxmlformats.org/officeDocument/2006/relationships/ctrlProp" Target="../ctrlProps/ctrlProp3.xml"/><Relationship Id="rId10" Type="http://schemas.openxmlformats.org/officeDocument/2006/relationships/ctrlProp" Target="../ctrlProps/ctrlProp8.xml"/><Relationship Id="rId4" Type="http://schemas.openxmlformats.org/officeDocument/2006/relationships/ctrlProp" Target="../ctrlProps/ctrlProp2.xml"/><Relationship Id="rId9" Type="http://schemas.openxmlformats.org/officeDocument/2006/relationships/ctrlProp" Target="../ctrlProps/ctrlProp7.xml"/><Relationship Id="rId14" Type="http://schemas.openxmlformats.org/officeDocument/2006/relationships/ctrlProp" Target="../ctrlProps/ctrlProp12.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18.xml"/><Relationship Id="rId3" Type="http://schemas.openxmlformats.org/officeDocument/2006/relationships/ctrlProp" Target="../ctrlProps/ctrlProp13.xml"/><Relationship Id="rId7" Type="http://schemas.openxmlformats.org/officeDocument/2006/relationships/ctrlProp" Target="../ctrlProps/ctrlProp17.xml"/><Relationship Id="rId12" Type="http://schemas.openxmlformats.org/officeDocument/2006/relationships/ctrlProp" Target="../ctrlProps/ctrlProp22.xml"/><Relationship Id="rId2" Type="http://schemas.openxmlformats.org/officeDocument/2006/relationships/vmlDrawing" Target="../drawings/vmlDrawing2.vml"/><Relationship Id="rId1" Type="http://schemas.openxmlformats.org/officeDocument/2006/relationships/drawing" Target="../drawings/drawing3.xml"/><Relationship Id="rId6" Type="http://schemas.openxmlformats.org/officeDocument/2006/relationships/ctrlProp" Target="../ctrlProps/ctrlProp16.xml"/><Relationship Id="rId11" Type="http://schemas.openxmlformats.org/officeDocument/2006/relationships/ctrlProp" Target="../ctrlProps/ctrlProp21.xml"/><Relationship Id="rId5" Type="http://schemas.openxmlformats.org/officeDocument/2006/relationships/ctrlProp" Target="../ctrlProps/ctrlProp15.xml"/><Relationship Id="rId10" Type="http://schemas.openxmlformats.org/officeDocument/2006/relationships/ctrlProp" Target="../ctrlProps/ctrlProp20.xml"/><Relationship Id="rId4" Type="http://schemas.openxmlformats.org/officeDocument/2006/relationships/ctrlProp" Target="../ctrlProps/ctrlProp14.xml"/><Relationship Id="rId9" Type="http://schemas.openxmlformats.org/officeDocument/2006/relationships/ctrlProp" Target="../ctrlProps/ctrlProp19.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28.xml"/><Relationship Id="rId3" Type="http://schemas.openxmlformats.org/officeDocument/2006/relationships/ctrlProp" Target="../ctrlProps/ctrlProp23.xml"/><Relationship Id="rId7" Type="http://schemas.openxmlformats.org/officeDocument/2006/relationships/ctrlProp" Target="../ctrlProps/ctrlProp27.xml"/><Relationship Id="rId2" Type="http://schemas.openxmlformats.org/officeDocument/2006/relationships/vmlDrawing" Target="../drawings/vmlDrawing3.vml"/><Relationship Id="rId1" Type="http://schemas.openxmlformats.org/officeDocument/2006/relationships/drawing" Target="../drawings/drawing4.xml"/><Relationship Id="rId6" Type="http://schemas.openxmlformats.org/officeDocument/2006/relationships/ctrlProp" Target="../ctrlProps/ctrlProp26.xml"/><Relationship Id="rId5" Type="http://schemas.openxmlformats.org/officeDocument/2006/relationships/ctrlProp" Target="../ctrlProps/ctrlProp25.xml"/><Relationship Id="rId4" Type="http://schemas.openxmlformats.org/officeDocument/2006/relationships/ctrlProp" Target="../ctrlProps/ctrlProp24.xml"/></Relationships>
</file>

<file path=xl/worksheets/_rels/sheet8.xml.rels><?xml version="1.0" encoding="UTF-8" standalone="yes"?>
<Relationships xmlns="http://schemas.openxmlformats.org/package/2006/relationships"><Relationship Id="rId3" Type="http://schemas.openxmlformats.org/officeDocument/2006/relationships/ctrlProp" Target="../ctrlProps/ctrlProp29.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6305B"/>
  </sheetPr>
  <dimension ref="A1:I103"/>
  <sheetViews>
    <sheetView showGridLines="0" topLeftCell="A78" zoomScaleNormal="100" workbookViewId="0">
      <selection sqref="A1:I1"/>
    </sheetView>
  </sheetViews>
  <sheetFormatPr defaultColWidth="8.6640625" defaultRowHeight="14.25" x14ac:dyDescent="0.45"/>
  <cols>
    <col min="1" max="1" width="22" customWidth="1"/>
    <col min="2" max="2" width="20" customWidth="1"/>
    <col min="3" max="3" width="13.6640625" customWidth="1"/>
    <col min="4" max="4" width="11" customWidth="1"/>
    <col min="5" max="7" width="11.46484375" customWidth="1"/>
    <col min="8" max="8" width="13" customWidth="1"/>
    <col min="9" max="9" width="22" customWidth="1"/>
  </cols>
  <sheetData>
    <row r="1" spans="1:9" ht="37.5" customHeight="1" x14ac:dyDescent="0.45">
      <c r="A1" s="14" t="s">
        <v>0</v>
      </c>
      <c r="B1" s="14"/>
      <c r="C1" s="14"/>
      <c r="D1" s="14"/>
      <c r="E1" s="14"/>
      <c r="F1" s="14"/>
      <c r="G1" s="14"/>
      <c r="H1" s="14"/>
      <c r="I1" s="14"/>
    </row>
    <row r="2" spans="1:9" ht="31.5" customHeight="1" x14ac:dyDescent="0.45">
      <c r="A2" s="13" t="s">
        <v>1</v>
      </c>
      <c r="B2" s="13"/>
      <c r="C2" s="13"/>
      <c r="D2" s="13"/>
      <c r="E2" s="13"/>
      <c r="F2" s="13"/>
      <c r="G2" s="13"/>
      <c r="H2" s="13"/>
      <c r="I2" s="13"/>
    </row>
    <row r="4" spans="1:9" ht="24" customHeight="1" x14ac:dyDescent="0.45">
      <c r="A4" s="12" t="s">
        <v>2</v>
      </c>
      <c r="B4" s="12"/>
      <c r="C4" s="12"/>
      <c r="D4" s="12"/>
      <c r="E4" s="12"/>
      <c r="F4" s="12"/>
      <c r="G4" s="12"/>
      <c r="H4" s="12"/>
      <c r="I4" s="12"/>
    </row>
    <row r="5" spans="1:9" ht="45" customHeight="1" x14ac:dyDescent="0.45">
      <c r="A5" s="11" t="s">
        <v>3</v>
      </c>
      <c r="B5" s="11"/>
      <c r="C5" s="11"/>
      <c r="D5" s="11"/>
      <c r="E5" s="11"/>
      <c r="F5" s="11"/>
      <c r="G5" s="11"/>
      <c r="H5" s="11"/>
      <c r="I5" s="11"/>
    </row>
    <row r="6" spans="1:9" ht="17.25" customHeight="1" x14ac:dyDescent="0.45">
      <c r="A6" s="15" t="s">
        <v>4</v>
      </c>
      <c r="B6" s="10" t="s">
        <v>5</v>
      </c>
      <c r="C6" s="10"/>
      <c r="D6" s="10"/>
      <c r="E6" s="10"/>
      <c r="F6" s="10"/>
      <c r="G6" s="10"/>
      <c r="H6" s="10"/>
      <c r="I6" s="10"/>
    </row>
    <row r="7" spans="1:9" ht="17.25" customHeight="1" x14ac:dyDescent="0.45">
      <c r="A7" s="15" t="s">
        <v>6</v>
      </c>
      <c r="B7" s="10" t="s">
        <v>7</v>
      </c>
      <c r="C7" s="10"/>
      <c r="D7" s="10"/>
      <c r="E7" s="10"/>
      <c r="F7" s="10"/>
      <c r="G7" s="10"/>
      <c r="H7" s="10"/>
      <c r="I7" s="10"/>
    </row>
    <row r="8" spans="1:9" ht="17.25" customHeight="1" x14ac:dyDescent="0.45">
      <c r="A8" s="15" t="s">
        <v>8</v>
      </c>
      <c r="B8" s="10" t="s">
        <v>9</v>
      </c>
      <c r="C8" s="10"/>
      <c r="D8" s="10"/>
      <c r="E8" s="10"/>
      <c r="F8" s="10"/>
      <c r="G8" s="10"/>
      <c r="H8" s="10"/>
      <c r="I8" s="10"/>
    </row>
    <row r="9" spans="1:9" ht="17.25" customHeight="1" x14ac:dyDescent="0.45">
      <c r="A9" s="15" t="s">
        <v>10</v>
      </c>
      <c r="B9" s="10" t="s">
        <v>11</v>
      </c>
      <c r="C9" s="10"/>
      <c r="D9" s="10"/>
      <c r="E9" s="10"/>
      <c r="F9" s="10"/>
      <c r="G9" s="10"/>
      <c r="H9" s="10"/>
      <c r="I9" s="10"/>
    </row>
    <row r="10" spans="1:9" ht="17.25" customHeight="1" x14ac:dyDescent="0.45">
      <c r="A10" s="15" t="s">
        <v>12</v>
      </c>
      <c r="B10" s="10" t="s">
        <v>13</v>
      </c>
      <c r="C10" s="10"/>
      <c r="D10" s="10"/>
      <c r="E10" s="10"/>
      <c r="F10" s="10"/>
      <c r="G10" s="10"/>
      <c r="H10" s="10"/>
      <c r="I10" s="10"/>
    </row>
    <row r="11" spans="1:9" ht="17.25" customHeight="1" x14ac:dyDescent="0.45">
      <c r="A11" s="16" t="s">
        <v>14</v>
      </c>
      <c r="B11" s="10" t="s">
        <v>15</v>
      </c>
      <c r="C11" s="10"/>
      <c r="D11" s="10"/>
      <c r="E11" s="10"/>
      <c r="F11" s="10"/>
      <c r="G11" s="10"/>
      <c r="H11" s="10"/>
      <c r="I11" s="10"/>
    </row>
    <row r="13" spans="1:9" ht="24" customHeight="1" x14ac:dyDescent="0.45">
      <c r="A13" s="12" t="s">
        <v>16</v>
      </c>
      <c r="B13" s="12"/>
      <c r="C13" s="12"/>
      <c r="D13" s="12"/>
      <c r="E13" s="12"/>
      <c r="F13" s="12"/>
      <c r="G13" s="12"/>
      <c r="H13" s="12"/>
      <c r="I13" s="12"/>
    </row>
    <row r="14" spans="1:9" ht="18.75" customHeight="1" x14ac:dyDescent="0.45">
      <c r="A14" s="17" t="s">
        <v>17</v>
      </c>
      <c r="B14" s="9" t="s">
        <v>18</v>
      </c>
      <c r="C14" s="9"/>
      <c r="D14" s="9"/>
      <c r="E14" s="9"/>
      <c r="F14" s="9"/>
      <c r="G14" s="9"/>
      <c r="H14" s="9"/>
      <c r="I14" s="9"/>
    </row>
    <row r="15" spans="1:9" ht="18.75" customHeight="1" x14ac:dyDescent="0.45">
      <c r="A15" s="18"/>
      <c r="B15" s="10" t="s">
        <v>19</v>
      </c>
      <c r="C15" s="10"/>
      <c r="D15" s="10"/>
      <c r="E15" s="10"/>
      <c r="F15" s="10"/>
      <c r="G15" s="10"/>
      <c r="H15" s="10"/>
      <c r="I15" s="10"/>
    </row>
    <row r="16" spans="1:9" ht="18.75" customHeight="1" x14ac:dyDescent="0.45">
      <c r="A16" s="17" t="s">
        <v>20</v>
      </c>
      <c r="B16" s="9" t="s">
        <v>21</v>
      </c>
      <c r="C16" s="9"/>
      <c r="D16" s="9"/>
      <c r="E16" s="9"/>
      <c r="F16" s="9"/>
      <c r="G16" s="9"/>
      <c r="H16" s="9"/>
      <c r="I16" s="9"/>
    </row>
    <row r="17" spans="1:9" ht="18.75" customHeight="1" x14ac:dyDescent="0.45">
      <c r="A17" s="18"/>
      <c r="B17" s="10" t="s">
        <v>22</v>
      </c>
      <c r="C17" s="10"/>
      <c r="D17" s="10"/>
      <c r="E17" s="10"/>
      <c r="F17" s="10"/>
      <c r="G17" s="10"/>
      <c r="H17" s="10"/>
      <c r="I17" s="10"/>
    </row>
    <row r="18" spans="1:9" ht="33" customHeight="1" x14ac:dyDescent="0.45">
      <c r="A18" s="8" t="s">
        <v>23</v>
      </c>
      <c r="B18" s="8"/>
      <c r="C18" s="8"/>
      <c r="D18" s="8"/>
      <c r="E18" s="8"/>
      <c r="F18" s="8"/>
      <c r="G18" s="8"/>
      <c r="H18" s="8"/>
      <c r="I18" s="8"/>
    </row>
    <row r="20" spans="1:9" ht="24" customHeight="1" x14ac:dyDescent="0.45">
      <c r="A20" s="12" t="s">
        <v>24</v>
      </c>
      <c r="B20" s="12"/>
      <c r="C20" s="12"/>
      <c r="D20" s="12"/>
      <c r="E20" s="12"/>
      <c r="F20" s="12"/>
      <c r="G20" s="12"/>
      <c r="H20" s="12"/>
      <c r="I20" s="12"/>
    </row>
    <row r="21" spans="1:9" ht="20.25" customHeight="1" x14ac:dyDescent="0.45">
      <c r="A21" s="11" t="s">
        <v>25</v>
      </c>
      <c r="B21" s="11"/>
      <c r="C21" s="11"/>
      <c r="D21" s="11"/>
      <c r="E21" s="11"/>
      <c r="F21" s="11"/>
      <c r="G21" s="11"/>
      <c r="H21" s="11"/>
      <c r="I21" s="11"/>
    </row>
    <row r="22" spans="1:9" ht="27" customHeight="1" x14ac:dyDescent="0.45">
      <c r="A22" s="19" t="s">
        <v>26</v>
      </c>
      <c r="B22" s="19" t="s">
        <v>27</v>
      </c>
      <c r="C22" s="7" t="s">
        <v>28</v>
      </c>
      <c r="D22" s="7"/>
      <c r="E22" s="7"/>
      <c r="F22" s="7" t="s">
        <v>29</v>
      </c>
      <c r="G22" s="7"/>
      <c r="H22" s="7" t="s">
        <v>30</v>
      </c>
      <c r="I22" s="7"/>
    </row>
    <row r="23" spans="1:9" ht="87" customHeight="1" x14ac:dyDescent="0.45">
      <c r="A23" s="20" t="s">
        <v>31</v>
      </c>
      <c r="B23" s="21" t="s">
        <v>32</v>
      </c>
      <c r="C23" s="6" t="s">
        <v>33</v>
      </c>
      <c r="D23" s="6"/>
      <c r="E23" s="6"/>
      <c r="F23" s="5" t="s">
        <v>34</v>
      </c>
      <c r="G23" s="5"/>
      <c r="H23" s="4" t="s">
        <v>35</v>
      </c>
      <c r="I23" s="4"/>
    </row>
    <row r="24" spans="1:9" ht="59.25" customHeight="1" x14ac:dyDescent="0.45">
      <c r="A24" s="20" t="s">
        <v>36</v>
      </c>
      <c r="B24" s="21" t="s">
        <v>37</v>
      </c>
      <c r="C24" s="6" t="s">
        <v>38</v>
      </c>
      <c r="D24" s="6"/>
      <c r="E24" s="6"/>
      <c r="F24" s="5" t="s">
        <v>39</v>
      </c>
      <c r="G24" s="5"/>
      <c r="H24" s="4" t="s">
        <v>40</v>
      </c>
      <c r="I24" s="4"/>
    </row>
    <row r="25" spans="1:9" ht="59.25" customHeight="1" x14ac:dyDescent="0.45">
      <c r="A25" s="20" t="s">
        <v>41</v>
      </c>
      <c r="B25" s="21" t="s">
        <v>42</v>
      </c>
      <c r="C25" s="6" t="s">
        <v>43</v>
      </c>
      <c r="D25" s="6"/>
      <c r="E25" s="6"/>
      <c r="F25" s="5" t="s">
        <v>44</v>
      </c>
      <c r="G25" s="5"/>
      <c r="H25" s="4" t="s">
        <v>45</v>
      </c>
      <c r="I25" s="4"/>
    </row>
    <row r="26" spans="1:9" ht="59.25" customHeight="1" x14ac:dyDescent="0.45">
      <c r="A26" s="20" t="s">
        <v>46</v>
      </c>
      <c r="B26" s="21" t="s">
        <v>47</v>
      </c>
      <c r="C26" s="6" t="s">
        <v>48</v>
      </c>
      <c r="D26" s="6"/>
      <c r="E26" s="6"/>
      <c r="F26" s="5" t="s">
        <v>49</v>
      </c>
      <c r="G26" s="5"/>
      <c r="H26" s="4" t="s">
        <v>50</v>
      </c>
      <c r="I26" s="4"/>
    </row>
    <row r="27" spans="1:9" ht="33" customHeight="1" x14ac:dyDescent="0.45">
      <c r="A27" s="11" t="s">
        <v>51</v>
      </c>
      <c r="B27" s="11"/>
      <c r="C27" s="11"/>
      <c r="D27" s="11"/>
      <c r="E27" s="11"/>
      <c r="F27" s="11"/>
      <c r="G27" s="11"/>
      <c r="H27" s="11"/>
      <c r="I27" s="11"/>
    </row>
    <row r="29" spans="1:9" ht="24" customHeight="1" x14ac:dyDescent="0.45">
      <c r="A29" s="3" t="s">
        <v>52</v>
      </c>
      <c r="B29" s="3"/>
      <c r="C29" s="3"/>
      <c r="D29" s="3"/>
      <c r="E29" s="3"/>
      <c r="F29" s="3"/>
      <c r="G29" s="3"/>
      <c r="H29" s="3"/>
      <c r="I29" s="3"/>
    </row>
    <row r="30" spans="1:9" ht="27" customHeight="1" x14ac:dyDescent="0.45">
      <c r="A30" s="22" t="s">
        <v>53</v>
      </c>
      <c r="B30" s="22" t="s">
        <v>54</v>
      </c>
      <c r="C30" s="2" t="s">
        <v>55</v>
      </c>
      <c r="D30" s="2"/>
      <c r="E30" s="2"/>
      <c r="F30" s="2"/>
      <c r="G30" s="2" t="s">
        <v>56</v>
      </c>
      <c r="H30" s="2"/>
      <c r="I30" s="2"/>
    </row>
    <row r="31" spans="1:9" ht="31.5" customHeight="1" x14ac:dyDescent="0.45">
      <c r="A31" s="23" t="s">
        <v>57</v>
      </c>
      <c r="B31" s="24">
        <v>31</v>
      </c>
      <c r="C31" s="1" t="s">
        <v>58</v>
      </c>
      <c r="D31" s="1"/>
      <c r="E31" s="1"/>
      <c r="F31" s="1"/>
      <c r="G31" s="1"/>
      <c r="H31" s="1"/>
      <c r="I31" s="1"/>
    </row>
    <row r="32" spans="1:9" ht="31.5" customHeight="1" x14ac:dyDescent="0.45">
      <c r="A32" s="23" t="s">
        <v>59</v>
      </c>
      <c r="B32" s="24">
        <v>3.3</v>
      </c>
      <c r="C32" s="1" t="s">
        <v>60</v>
      </c>
      <c r="D32" s="1"/>
      <c r="E32" s="1"/>
      <c r="F32" s="1"/>
      <c r="G32" s="1" t="s">
        <v>61</v>
      </c>
      <c r="H32" s="1"/>
      <c r="I32" s="1"/>
    </row>
    <row r="33" spans="1:9" ht="31.5" customHeight="1" x14ac:dyDescent="0.45">
      <c r="A33" s="25" t="s">
        <v>62</v>
      </c>
      <c r="B33" s="26">
        <v>2</v>
      </c>
      <c r="C33" s="164" t="s">
        <v>63</v>
      </c>
      <c r="D33" s="164"/>
      <c r="E33" s="164"/>
      <c r="F33" s="164"/>
      <c r="G33" s="1"/>
      <c r="H33" s="1"/>
      <c r="I33" s="1"/>
    </row>
    <row r="34" spans="1:9" ht="31.5" customHeight="1" x14ac:dyDescent="0.45">
      <c r="A34" s="23" t="s">
        <v>64</v>
      </c>
      <c r="B34" s="24">
        <v>4</v>
      </c>
      <c r="C34" s="1" t="s">
        <v>65</v>
      </c>
      <c r="D34" s="1"/>
      <c r="E34" s="1"/>
      <c r="F34" s="1"/>
      <c r="G34" s="1"/>
      <c r="H34" s="1"/>
      <c r="I34" s="1"/>
    </row>
    <row r="35" spans="1:9" ht="45" customHeight="1" x14ac:dyDescent="0.45">
      <c r="A35" s="25" t="s">
        <v>66</v>
      </c>
      <c r="B35" s="26">
        <v>1.43</v>
      </c>
      <c r="C35" s="164" t="s">
        <v>67</v>
      </c>
      <c r="D35" s="164"/>
      <c r="E35" s="164"/>
      <c r="F35" s="164"/>
      <c r="G35" s="1" t="s">
        <v>68</v>
      </c>
      <c r="H35" s="1"/>
      <c r="I35" s="1"/>
    </row>
    <row r="36" spans="1:9" ht="31.5" customHeight="1" x14ac:dyDescent="0.45">
      <c r="A36" s="25" t="s">
        <v>69</v>
      </c>
      <c r="B36" s="26">
        <v>5.35</v>
      </c>
      <c r="C36" s="164" t="s">
        <v>70</v>
      </c>
      <c r="D36" s="164"/>
      <c r="E36" s="164"/>
      <c r="F36" s="164"/>
      <c r="G36" s="1"/>
      <c r="H36" s="1"/>
      <c r="I36" s="1"/>
    </row>
    <row r="37" spans="1:9" ht="31.5" customHeight="1" x14ac:dyDescent="0.45">
      <c r="A37" s="23" t="s">
        <v>71</v>
      </c>
      <c r="B37" s="24">
        <v>8</v>
      </c>
      <c r="C37" s="1" t="s">
        <v>72</v>
      </c>
      <c r="D37" s="1"/>
      <c r="E37" s="1"/>
      <c r="F37" s="1"/>
      <c r="G37" s="1" t="s">
        <v>73</v>
      </c>
      <c r="H37" s="1"/>
      <c r="I37" s="1"/>
    </row>
    <row r="38" spans="1:9" ht="45.75" customHeight="1" x14ac:dyDescent="0.45">
      <c r="A38" s="165" t="s">
        <v>74</v>
      </c>
      <c r="B38" s="165"/>
      <c r="C38" s="165"/>
      <c r="D38" s="165"/>
      <c r="E38" s="165"/>
      <c r="F38" s="165"/>
      <c r="G38" s="165"/>
      <c r="H38" s="165"/>
      <c r="I38" s="165"/>
    </row>
    <row r="40" spans="1:9" ht="24" customHeight="1" x14ac:dyDescent="0.45">
      <c r="A40" s="12" t="s">
        <v>75</v>
      </c>
      <c r="B40" s="12"/>
      <c r="C40" s="12"/>
      <c r="D40" s="12"/>
      <c r="E40" s="12"/>
      <c r="F40" s="12"/>
      <c r="G40" s="12"/>
      <c r="H40" s="12"/>
      <c r="I40" s="12"/>
    </row>
    <row r="41" spans="1:9" ht="27" customHeight="1" x14ac:dyDescent="0.45">
      <c r="A41" s="19" t="s">
        <v>76</v>
      </c>
      <c r="B41" s="19" t="s">
        <v>27</v>
      </c>
      <c r="C41" s="19" t="s">
        <v>77</v>
      </c>
      <c r="D41" s="19" t="s">
        <v>78</v>
      </c>
      <c r="E41" s="19" t="s">
        <v>79</v>
      </c>
      <c r="F41" s="19" t="s">
        <v>80</v>
      </c>
      <c r="G41" s="19" t="s">
        <v>81</v>
      </c>
      <c r="H41" s="7" t="s">
        <v>82</v>
      </c>
      <c r="I41" s="7"/>
    </row>
    <row r="42" spans="1:9" ht="31.5" customHeight="1" x14ac:dyDescent="0.45">
      <c r="A42" s="27" t="s">
        <v>17</v>
      </c>
      <c r="B42" s="28" t="s">
        <v>83</v>
      </c>
      <c r="C42" s="29" t="s">
        <v>84</v>
      </c>
      <c r="D42" s="30">
        <f>'01-DRAM-Model'!D53</f>
        <v>-9.6010969195973961E-2</v>
      </c>
      <c r="E42" s="30">
        <f>'01-DRAM-Model'!E53</f>
        <v>-4.647754395731539E-2</v>
      </c>
      <c r="F42" s="30">
        <f>'01-DRAM-Model'!F53</f>
        <v>9.1620263391414464E-2</v>
      </c>
      <c r="G42" s="31" t="s">
        <v>78</v>
      </c>
      <c r="H42" s="1" t="s">
        <v>85</v>
      </c>
      <c r="I42" s="1"/>
    </row>
    <row r="43" spans="1:9" ht="31.5" customHeight="1" x14ac:dyDescent="0.45">
      <c r="A43" s="27" t="s">
        <v>17</v>
      </c>
      <c r="B43" s="28" t="s">
        <v>86</v>
      </c>
      <c r="C43" s="30">
        <f>'01-DRAM-Model'!D64</f>
        <v>-7.0000000000000021E-2</v>
      </c>
      <c r="D43" s="30">
        <f>'01-DRAM-Model'!E64</f>
        <v>-0.13951261391371647</v>
      </c>
      <c r="E43" s="30">
        <f>'01-DRAM-Model'!F64</f>
        <v>-0.16813457305789237</v>
      </c>
      <c r="F43" s="30">
        <f>'01-DRAM-Model'!G64</f>
        <v>-9.4430550991501438E-2</v>
      </c>
      <c r="G43" s="31" t="s">
        <v>79</v>
      </c>
      <c r="H43" s="1" t="s">
        <v>87</v>
      </c>
      <c r="I43" s="1"/>
    </row>
    <row r="44" spans="1:9" ht="31.5" customHeight="1" x14ac:dyDescent="0.45">
      <c r="A44" s="27" t="s">
        <v>20</v>
      </c>
      <c r="B44" s="28" t="s">
        <v>83</v>
      </c>
      <c r="C44" s="29" t="s">
        <v>84</v>
      </c>
      <c r="D44" s="30">
        <f>'02-NAND-Model'!D34</f>
        <v>-6.1545000000000211E-2</v>
      </c>
      <c r="E44" s="30">
        <f>'02-NAND-Model'!E34</f>
        <v>6.7490349999999991E-2</v>
      </c>
      <c r="F44" s="30">
        <f>'02-NAND-Model'!F34</f>
        <v>0.1274845</v>
      </c>
      <c r="G44" s="31" t="s">
        <v>78</v>
      </c>
      <c r="H44" s="1" t="s">
        <v>88</v>
      </c>
      <c r="I44" s="1"/>
    </row>
    <row r="45" spans="1:9" ht="31.5" customHeight="1" x14ac:dyDescent="0.45">
      <c r="A45" s="27" t="s">
        <v>20</v>
      </c>
      <c r="B45" s="28" t="s">
        <v>86</v>
      </c>
      <c r="C45" s="30">
        <f>'02-NAND-Model'!D43</f>
        <v>-2.5000000000000001E-2</v>
      </c>
      <c r="D45" s="30">
        <f>'02-NAND-Model'!E43</f>
        <v>-7.356921832033339E-2</v>
      </c>
      <c r="E45" s="30">
        <f>'02-NAND-Model'!F43</f>
        <v>-2.0312744956163389E-2</v>
      </c>
      <c r="F45" s="30">
        <f>'02-NAND-Model'!G43</f>
        <v>9.3843630806567851E-2</v>
      </c>
      <c r="G45" s="31" t="s">
        <v>79</v>
      </c>
      <c r="H45" s="1" t="s">
        <v>89</v>
      </c>
      <c r="I45" s="1"/>
    </row>
    <row r="47" spans="1:9" ht="24" customHeight="1" x14ac:dyDescent="0.45">
      <c r="A47" s="3" t="s">
        <v>90</v>
      </c>
      <c r="B47" s="3"/>
      <c r="C47" s="3"/>
      <c r="D47" s="3"/>
      <c r="E47" s="3"/>
      <c r="F47" s="3"/>
      <c r="G47" s="3"/>
      <c r="H47" s="3"/>
      <c r="I47" s="3"/>
    </row>
    <row r="48" spans="1:9" ht="45" customHeight="1" x14ac:dyDescent="0.45">
      <c r="A48" s="22" t="s">
        <v>91</v>
      </c>
      <c r="B48" s="22" t="s">
        <v>92</v>
      </c>
      <c r="C48" s="22" t="s">
        <v>93</v>
      </c>
      <c r="D48" s="22" t="s">
        <v>94</v>
      </c>
      <c r="E48" s="22" t="s">
        <v>95</v>
      </c>
      <c r="F48" s="2" t="s">
        <v>96</v>
      </c>
      <c r="G48" s="2"/>
      <c r="H48" s="2"/>
      <c r="I48" s="2"/>
    </row>
    <row r="49" spans="1:9" ht="39.75" customHeight="1" x14ac:dyDescent="0.45">
      <c r="A49" s="32" t="s">
        <v>97</v>
      </c>
      <c r="B49" s="30">
        <f>'01-DRAM-Model'!E53</f>
        <v>-4.647754395731539E-2</v>
      </c>
      <c r="C49" s="30">
        <f>'06-Inventory-Burn-v4'!$E$23</f>
        <v>-9.5900620880392307E-2</v>
      </c>
      <c r="D49" s="33">
        <f>'06-Inventory-Burn-v4'!$G$23</f>
        <v>-6.1628024999635718E-2</v>
      </c>
      <c r="E49" s="34">
        <f>('06-Inventory-Burn-v4'!$G$23-'01-DRAM-Model'!E53)*100</f>
        <v>-1.5150481042320327</v>
      </c>
      <c r="F49" s="1" t="s">
        <v>98</v>
      </c>
      <c r="G49" s="1"/>
      <c r="H49" s="1"/>
      <c r="I49" s="1"/>
    </row>
    <row r="50" spans="1:9" ht="45" customHeight="1" x14ac:dyDescent="0.45">
      <c r="A50" s="32" t="s">
        <v>99</v>
      </c>
      <c r="B50" s="30">
        <f>'06-Inventory-Burn-v4'!$D$25</f>
        <v>0.56000000000000005</v>
      </c>
      <c r="C50" s="30">
        <f>'06-Inventory-Burn-v4'!$E$25</f>
        <v>0.83000000000000007</v>
      </c>
      <c r="D50" s="33">
        <f>'06-Inventory-Burn-v4'!$G$25</f>
        <v>0.56000000000000005</v>
      </c>
      <c r="E50" s="34">
        <f>('06-Inventory-Burn-v4'!$G$25-'06-Inventory-Burn-v4'!$D$25)*100</f>
        <v>0</v>
      </c>
      <c r="F50" s="1" t="s">
        <v>100</v>
      </c>
      <c r="G50" s="1"/>
      <c r="H50" s="1"/>
      <c r="I50" s="1"/>
    </row>
    <row r="51" spans="1:9" ht="39.75" customHeight="1" x14ac:dyDescent="0.45">
      <c r="A51" s="32" t="s">
        <v>101</v>
      </c>
      <c r="B51" s="30">
        <f>'01-DRAM-Model'!E50</f>
        <v>2.3154457550948526E-2</v>
      </c>
      <c r="C51" s="30">
        <f>'06-Inventory-Burn-v4'!$E$20</f>
        <v>-2.6268619372128377E-2</v>
      </c>
      <c r="D51" s="33">
        <f>'06-Inventory-Burn-v4'!$G$20</f>
        <v>7.8435731289520361E-3</v>
      </c>
      <c r="E51" s="34">
        <f>('06-Inventory-Burn-v4'!$G$20-'01-DRAM-Model'!E50)*100</f>
        <v>-1.5310884421996489</v>
      </c>
      <c r="F51" s="1" t="s">
        <v>102</v>
      </c>
      <c r="G51" s="1"/>
      <c r="H51" s="1"/>
      <c r="I51" s="1"/>
    </row>
    <row r="52" spans="1:9" ht="45.75" customHeight="1" x14ac:dyDescent="0.45">
      <c r="A52" s="166" t="s">
        <v>103</v>
      </c>
      <c r="B52" s="166"/>
      <c r="C52" s="166"/>
      <c r="D52" s="166"/>
      <c r="E52" s="166"/>
      <c r="F52" s="166"/>
      <c r="G52" s="166"/>
      <c r="H52" s="166"/>
      <c r="I52" s="166"/>
    </row>
    <row r="54" spans="1:9" ht="24" customHeight="1" x14ac:dyDescent="0.45">
      <c r="A54" s="12" t="s">
        <v>104</v>
      </c>
      <c r="B54" s="12"/>
      <c r="C54" s="12"/>
      <c r="D54" s="12"/>
      <c r="E54" s="12"/>
      <c r="F54" s="12"/>
      <c r="G54" s="12"/>
      <c r="H54" s="12"/>
      <c r="I54" s="12"/>
    </row>
    <row r="55" spans="1:9" ht="31.5" customHeight="1" x14ac:dyDescent="0.45">
      <c r="A55" s="19" t="s">
        <v>105</v>
      </c>
      <c r="B55" s="19" t="s">
        <v>106</v>
      </c>
      <c r="C55" s="19" t="s">
        <v>107</v>
      </c>
      <c r="D55" s="19" t="s">
        <v>108</v>
      </c>
      <c r="E55" s="19" t="s">
        <v>109</v>
      </c>
      <c r="F55" s="19" t="s">
        <v>110</v>
      </c>
      <c r="G55" s="19" t="s">
        <v>111</v>
      </c>
      <c r="H55" s="19" t="s">
        <v>112</v>
      </c>
      <c r="I55" s="19" t="s">
        <v>113</v>
      </c>
    </row>
    <row r="56" spans="1:9" ht="28.5" customHeight="1" x14ac:dyDescent="0.45">
      <c r="A56" s="35" t="s">
        <v>78</v>
      </c>
      <c r="B56" s="36">
        <f>'01-DRAM-Model'!D53</f>
        <v>-9.6010969195973961E-2</v>
      </c>
      <c r="C56" s="36">
        <f>'02-NAND-Model'!D34</f>
        <v>-6.1545000000000211E-2</v>
      </c>
      <c r="D56" s="37">
        <f>(C56-B56)*100</f>
        <v>3.4465969195973751</v>
      </c>
      <c r="E56" s="36">
        <f>'01-DRAM-Model'!E64</f>
        <v>-0.13951261391371647</v>
      </c>
      <c r="F56" s="36">
        <f>'02-NAND-Model'!E43</f>
        <v>-7.356921832033339E-2</v>
      </c>
      <c r="G56" s="37">
        <f>(F56-E56)*100</f>
        <v>6.5943395593383078</v>
      </c>
      <c r="H56" s="37">
        <f>('02-NAND-Model'!E44-'01-DRAM-Model'!E65)*100</f>
        <v>6.7752860669415433</v>
      </c>
      <c r="I56" s="38" t="s">
        <v>114</v>
      </c>
    </row>
    <row r="57" spans="1:9" ht="28.5" customHeight="1" x14ac:dyDescent="0.45">
      <c r="A57" s="35" t="s">
        <v>79</v>
      </c>
      <c r="B57" s="36">
        <f>'01-DRAM-Model'!E53</f>
        <v>-4.647754395731539E-2</v>
      </c>
      <c r="C57" s="36">
        <f>'02-NAND-Model'!E34</f>
        <v>6.7490349999999991E-2</v>
      </c>
      <c r="D57" s="37">
        <f>(C57-B57)*100</f>
        <v>11.396789395731538</v>
      </c>
      <c r="E57" s="36">
        <f>'01-DRAM-Model'!F64</f>
        <v>-0.16813457305789237</v>
      </c>
      <c r="F57" s="36">
        <f>'02-NAND-Model'!F43</f>
        <v>-2.0312744956163389E-2</v>
      </c>
      <c r="G57" s="37">
        <f>(F57-E57)*100</f>
        <v>14.782182810172898</v>
      </c>
      <c r="H57" s="37">
        <f>('02-NAND-Model'!F44-'01-DRAM-Model'!F65)*100</f>
        <v>17.398099654804323</v>
      </c>
      <c r="I57" s="38" t="s">
        <v>115</v>
      </c>
    </row>
    <row r="58" spans="1:9" ht="19.5" customHeight="1" x14ac:dyDescent="0.45">
      <c r="A58" s="35" t="s">
        <v>80</v>
      </c>
      <c r="B58" s="36">
        <f>'01-DRAM-Model'!F53</f>
        <v>9.1620263391414464E-2</v>
      </c>
      <c r="C58" s="36">
        <f>'02-NAND-Model'!F34</f>
        <v>0.1274845</v>
      </c>
      <c r="D58" s="37">
        <f>(C58-B58)*100</f>
        <v>3.5864236608585536</v>
      </c>
      <c r="E58" s="36">
        <f>'01-DRAM-Model'!G64</f>
        <v>-9.4430550991501438E-2</v>
      </c>
      <c r="F58" s="36">
        <f>'02-NAND-Model'!G43</f>
        <v>9.3843630806567851E-2</v>
      </c>
      <c r="G58" s="37">
        <f>(F58-E58)*100</f>
        <v>18.82741817980693</v>
      </c>
      <c r="H58" s="37">
        <f>('02-NAND-Model'!G44-'01-DRAM-Model'!G65)*100</f>
        <v>25.161469862315421</v>
      </c>
      <c r="I58" s="38" t="s">
        <v>116</v>
      </c>
    </row>
    <row r="59" spans="1:9" ht="45" customHeight="1" x14ac:dyDescent="0.45">
      <c r="A59" s="8" t="s">
        <v>117</v>
      </c>
      <c r="B59" s="8"/>
      <c r="C59" s="8"/>
      <c r="D59" s="8"/>
      <c r="E59" s="8"/>
      <c r="F59" s="8"/>
      <c r="G59" s="8"/>
      <c r="H59" s="8"/>
      <c r="I59" s="8"/>
    </row>
    <row r="78" spans="1:9" ht="24" customHeight="1" x14ac:dyDescent="0.45">
      <c r="A78" s="12" t="s">
        <v>118</v>
      </c>
      <c r="B78" s="12"/>
      <c r="C78" s="12"/>
      <c r="D78" s="12"/>
      <c r="E78" s="12"/>
      <c r="F78" s="12"/>
      <c r="G78" s="12"/>
      <c r="H78" s="12"/>
      <c r="I78" s="12"/>
    </row>
    <row r="79" spans="1:9" ht="31.5" customHeight="1" x14ac:dyDescent="0.45">
      <c r="A79" s="11" t="s">
        <v>119</v>
      </c>
      <c r="B79" s="11"/>
      <c r="C79" s="11"/>
      <c r="D79" s="11"/>
      <c r="E79" s="11"/>
      <c r="F79" s="11"/>
      <c r="G79" s="11"/>
      <c r="H79" s="11"/>
      <c r="I79" s="11"/>
    </row>
    <row r="80" spans="1:9" ht="27" customHeight="1" x14ac:dyDescent="0.45">
      <c r="A80" s="19" t="s">
        <v>120</v>
      </c>
      <c r="B80" s="7" t="s">
        <v>121</v>
      </c>
      <c r="C80" s="7"/>
      <c r="D80" s="7"/>
      <c r="E80" s="7" t="s">
        <v>122</v>
      </c>
      <c r="F80" s="7"/>
      <c r="G80" s="7"/>
      <c r="H80" s="7" t="s">
        <v>123</v>
      </c>
      <c r="I80" s="7"/>
    </row>
    <row r="81" spans="1:9" ht="128.25" customHeight="1" x14ac:dyDescent="0.45">
      <c r="A81" s="39" t="s">
        <v>124</v>
      </c>
      <c r="B81" s="167" t="s">
        <v>125</v>
      </c>
      <c r="C81" s="167"/>
      <c r="D81" s="167"/>
      <c r="E81" s="168" t="s">
        <v>126</v>
      </c>
      <c r="F81" s="168"/>
      <c r="G81" s="168"/>
      <c r="H81" s="168" t="s">
        <v>127</v>
      </c>
      <c r="I81" s="168"/>
    </row>
    <row r="82" spans="1:9" ht="141.75" customHeight="1" x14ac:dyDescent="0.45">
      <c r="A82" s="39" t="s">
        <v>124</v>
      </c>
      <c r="B82" s="167" t="s">
        <v>128</v>
      </c>
      <c r="C82" s="167"/>
      <c r="D82" s="167"/>
      <c r="E82" s="168" t="s">
        <v>129</v>
      </c>
      <c r="F82" s="168"/>
      <c r="G82" s="168"/>
      <c r="H82" s="168" t="s">
        <v>130</v>
      </c>
      <c r="I82" s="168"/>
    </row>
    <row r="83" spans="1:9" ht="87" customHeight="1" x14ac:dyDescent="0.45">
      <c r="A83" s="39" t="s">
        <v>124</v>
      </c>
      <c r="B83" s="167" t="s">
        <v>131</v>
      </c>
      <c r="C83" s="167"/>
      <c r="D83" s="167"/>
      <c r="E83" s="168" t="s">
        <v>132</v>
      </c>
      <c r="F83" s="168"/>
      <c r="G83" s="168"/>
      <c r="H83" s="168" t="s">
        <v>133</v>
      </c>
      <c r="I83" s="168"/>
    </row>
    <row r="84" spans="1:9" ht="114" customHeight="1" x14ac:dyDescent="0.45">
      <c r="A84" s="39" t="s">
        <v>124</v>
      </c>
      <c r="B84" s="167" t="s">
        <v>134</v>
      </c>
      <c r="C84" s="167"/>
      <c r="D84" s="167"/>
      <c r="E84" s="168" t="s">
        <v>135</v>
      </c>
      <c r="F84" s="168"/>
      <c r="G84" s="168"/>
      <c r="H84" s="168" t="s">
        <v>136</v>
      </c>
      <c r="I84" s="168"/>
    </row>
    <row r="85" spans="1:9" ht="114" customHeight="1" x14ac:dyDescent="0.45">
      <c r="A85" s="39" t="s">
        <v>137</v>
      </c>
      <c r="B85" s="167" t="s">
        <v>138</v>
      </c>
      <c r="C85" s="167"/>
      <c r="D85" s="167"/>
      <c r="E85" s="168" t="s">
        <v>139</v>
      </c>
      <c r="F85" s="168"/>
      <c r="G85" s="168"/>
      <c r="H85" s="168" t="s">
        <v>140</v>
      </c>
      <c r="I85" s="168"/>
    </row>
    <row r="86" spans="1:9" ht="114" customHeight="1" x14ac:dyDescent="0.45">
      <c r="A86" s="39" t="s">
        <v>137</v>
      </c>
      <c r="B86" s="167" t="s">
        <v>141</v>
      </c>
      <c r="C86" s="167"/>
      <c r="D86" s="167"/>
      <c r="E86" s="168" t="s">
        <v>142</v>
      </c>
      <c r="F86" s="168"/>
      <c r="G86" s="168"/>
      <c r="H86" s="168" t="s">
        <v>143</v>
      </c>
      <c r="I86" s="168"/>
    </row>
    <row r="87" spans="1:9" ht="128.25" customHeight="1" x14ac:dyDescent="0.45">
      <c r="A87" s="39" t="s">
        <v>137</v>
      </c>
      <c r="B87" s="167" t="s">
        <v>144</v>
      </c>
      <c r="C87" s="167"/>
      <c r="D87" s="167"/>
      <c r="E87" s="168" t="s">
        <v>145</v>
      </c>
      <c r="F87" s="168"/>
      <c r="G87" s="168"/>
      <c r="H87" s="168" t="s">
        <v>146</v>
      </c>
      <c r="I87" s="168"/>
    </row>
    <row r="88" spans="1:9" ht="100.5" customHeight="1" x14ac:dyDescent="0.45">
      <c r="A88" s="39" t="s">
        <v>147</v>
      </c>
      <c r="B88" s="167" t="s">
        <v>148</v>
      </c>
      <c r="C88" s="167"/>
      <c r="D88" s="167"/>
      <c r="E88" s="168" t="s">
        <v>149</v>
      </c>
      <c r="F88" s="168"/>
      <c r="G88" s="168"/>
      <c r="H88" s="168" t="s">
        <v>150</v>
      </c>
      <c r="I88" s="168"/>
    </row>
    <row r="89" spans="1:9" ht="87" customHeight="1" x14ac:dyDescent="0.45">
      <c r="A89" s="39" t="s">
        <v>147</v>
      </c>
      <c r="B89" s="167" t="s">
        <v>151</v>
      </c>
      <c r="C89" s="167"/>
      <c r="D89" s="167"/>
      <c r="E89" s="168" t="s">
        <v>152</v>
      </c>
      <c r="F89" s="168"/>
      <c r="G89" s="168"/>
      <c r="H89" s="168" t="s">
        <v>153</v>
      </c>
      <c r="I89" s="168"/>
    </row>
    <row r="90" spans="1:9" ht="72.75" customHeight="1" x14ac:dyDescent="0.45">
      <c r="A90" s="39" t="s">
        <v>147</v>
      </c>
      <c r="B90" s="167" t="s">
        <v>154</v>
      </c>
      <c r="C90" s="167"/>
      <c r="D90" s="167"/>
      <c r="E90" s="168" t="s">
        <v>155</v>
      </c>
      <c r="F90" s="168"/>
      <c r="G90" s="168"/>
      <c r="H90" s="168" t="s">
        <v>156</v>
      </c>
      <c r="I90" s="168"/>
    </row>
    <row r="91" spans="1:9" ht="87" customHeight="1" x14ac:dyDescent="0.45">
      <c r="A91" s="39" t="s">
        <v>147</v>
      </c>
      <c r="B91" s="167" t="s">
        <v>157</v>
      </c>
      <c r="C91" s="167"/>
      <c r="D91" s="167"/>
      <c r="E91" s="168" t="s">
        <v>158</v>
      </c>
      <c r="F91" s="168"/>
      <c r="G91" s="168"/>
      <c r="H91" s="168" t="s">
        <v>159</v>
      </c>
      <c r="I91" s="168"/>
    </row>
    <row r="92" spans="1:9" ht="45" customHeight="1" x14ac:dyDescent="0.45">
      <c r="A92" s="11" t="s">
        <v>160</v>
      </c>
      <c r="B92" s="11"/>
      <c r="C92" s="11"/>
      <c r="D92" s="11"/>
      <c r="E92" s="11"/>
      <c r="F92" s="11"/>
      <c r="G92" s="11"/>
      <c r="H92" s="11"/>
      <c r="I92" s="11"/>
    </row>
    <row r="94" spans="1:9" ht="24" customHeight="1" x14ac:dyDescent="0.45">
      <c r="A94" s="12" t="s">
        <v>161</v>
      </c>
      <c r="B94" s="12"/>
      <c r="C94" s="12"/>
      <c r="D94" s="12"/>
      <c r="E94" s="12"/>
      <c r="F94" s="12"/>
      <c r="G94" s="12"/>
      <c r="H94" s="12"/>
      <c r="I94" s="12"/>
    </row>
    <row r="95" spans="1:9" ht="39.75" customHeight="1" x14ac:dyDescent="0.45">
      <c r="A95" s="11" t="s">
        <v>162</v>
      </c>
      <c r="B95" s="11"/>
      <c r="C95" s="11"/>
      <c r="D95" s="11"/>
      <c r="E95" s="11"/>
      <c r="F95" s="11"/>
      <c r="G95" s="11"/>
      <c r="H95" s="11"/>
      <c r="I95" s="11"/>
    </row>
    <row r="96" spans="1:9" ht="45" customHeight="1" x14ac:dyDescent="0.45">
      <c r="A96" s="11" t="s">
        <v>163</v>
      </c>
      <c r="B96" s="11"/>
      <c r="C96" s="11"/>
      <c r="D96" s="11"/>
      <c r="E96" s="11"/>
      <c r="F96" s="11"/>
      <c r="G96" s="11"/>
      <c r="H96" s="11"/>
      <c r="I96" s="11"/>
    </row>
    <row r="97" spans="1:9" ht="45" customHeight="1" x14ac:dyDescent="0.45">
      <c r="A97" s="165" t="s">
        <v>164</v>
      </c>
      <c r="B97" s="165"/>
      <c r="C97" s="165"/>
      <c r="D97" s="165"/>
      <c r="E97" s="165"/>
      <c r="F97" s="165"/>
      <c r="G97" s="165"/>
      <c r="H97" s="165"/>
      <c r="I97" s="165"/>
    </row>
    <row r="98" spans="1:9" ht="45" customHeight="1" x14ac:dyDescent="0.45">
      <c r="A98" s="165" t="s">
        <v>165</v>
      </c>
      <c r="B98" s="165"/>
      <c r="C98" s="165"/>
      <c r="D98" s="165"/>
      <c r="E98" s="165"/>
      <c r="F98" s="165"/>
      <c r="G98" s="165"/>
      <c r="H98" s="165"/>
      <c r="I98" s="165"/>
    </row>
    <row r="99" spans="1:9" ht="45" customHeight="1" x14ac:dyDescent="0.45">
      <c r="A99" s="11" t="s">
        <v>166</v>
      </c>
      <c r="B99" s="11"/>
      <c r="C99" s="11"/>
      <c r="D99" s="11"/>
      <c r="E99" s="11"/>
      <c r="F99" s="11"/>
      <c r="G99" s="11"/>
      <c r="H99" s="11"/>
      <c r="I99" s="11"/>
    </row>
    <row r="100" spans="1:9" ht="45" customHeight="1" x14ac:dyDescent="0.45">
      <c r="A100" s="8" t="s">
        <v>167</v>
      </c>
      <c r="B100" s="8"/>
      <c r="C100" s="8"/>
      <c r="D100" s="8"/>
      <c r="E100" s="8"/>
      <c r="F100" s="8"/>
      <c r="G100" s="8"/>
      <c r="H100" s="8"/>
      <c r="I100" s="8"/>
    </row>
    <row r="101" spans="1:9" ht="59.25" customHeight="1" x14ac:dyDescent="0.45">
      <c r="A101" s="166" t="s">
        <v>168</v>
      </c>
      <c r="B101" s="166"/>
      <c r="C101" s="166"/>
      <c r="D101" s="166"/>
      <c r="E101" s="166"/>
      <c r="F101" s="166"/>
      <c r="G101" s="166"/>
      <c r="H101" s="166"/>
      <c r="I101" s="166"/>
    </row>
    <row r="102" spans="1:9" ht="33" customHeight="1" x14ac:dyDescent="0.45">
      <c r="A102" s="166" t="s">
        <v>169</v>
      </c>
      <c r="B102" s="166"/>
      <c r="C102" s="166"/>
      <c r="D102" s="166"/>
      <c r="E102" s="166"/>
      <c r="F102" s="166"/>
      <c r="G102" s="166"/>
      <c r="H102" s="166"/>
      <c r="I102" s="166"/>
    </row>
    <row r="103" spans="1:9" ht="33" customHeight="1" x14ac:dyDescent="0.45">
      <c r="A103" s="166" t="s">
        <v>170</v>
      </c>
      <c r="B103" s="166"/>
      <c r="C103" s="166"/>
      <c r="D103" s="166"/>
      <c r="E103" s="166"/>
      <c r="F103" s="166"/>
      <c r="G103" s="166"/>
      <c r="H103" s="166"/>
      <c r="I103" s="166"/>
    </row>
  </sheetData>
  <mergeCells count="115">
    <mergeCell ref="A99:I99"/>
    <mergeCell ref="A100:I100"/>
    <mergeCell ref="A101:I101"/>
    <mergeCell ref="A102:I102"/>
    <mergeCell ref="A103:I103"/>
    <mergeCell ref="B91:D91"/>
    <mergeCell ref="E91:G91"/>
    <mergeCell ref="H91:I91"/>
    <mergeCell ref="A92:I92"/>
    <mergeCell ref="A94:I94"/>
    <mergeCell ref="A95:I95"/>
    <mergeCell ref="A96:I96"/>
    <mergeCell ref="A97:I97"/>
    <mergeCell ref="A98:I98"/>
    <mergeCell ref="B88:D88"/>
    <mergeCell ref="E88:G88"/>
    <mergeCell ref="H88:I88"/>
    <mergeCell ref="B89:D89"/>
    <mergeCell ref="E89:G89"/>
    <mergeCell ref="H89:I89"/>
    <mergeCell ref="B90:D90"/>
    <mergeCell ref="E90:G90"/>
    <mergeCell ref="H90:I90"/>
    <mergeCell ref="B85:D85"/>
    <mergeCell ref="E85:G85"/>
    <mergeCell ref="H85:I85"/>
    <mergeCell ref="B86:D86"/>
    <mergeCell ref="E86:G86"/>
    <mergeCell ref="H86:I86"/>
    <mergeCell ref="B87:D87"/>
    <mergeCell ref="E87:G87"/>
    <mergeCell ref="H87:I87"/>
    <mergeCell ref="B82:D82"/>
    <mergeCell ref="E82:G82"/>
    <mergeCell ref="H82:I82"/>
    <mergeCell ref="B83:D83"/>
    <mergeCell ref="E83:G83"/>
    <mergeCell ref="H83:I83"/>
    <mergeCell ref="B84:D84"/>
    <mergeCell ref="E84:G84"/>
    <mergeCell ref="H84:I84"/>
    <mergeCell ref="A59:I59"/>
    <mergeCell ref="A78:I78"/>
    <mergeCell ref="A79:I79"/>
    <mergeCell ref="B80:D80"/>
    <mergeCell ref="E80:G80"/>
    <mergeCell ref="H80:I80"/>
    <mergeCell ref="B81:D81"/>
    <mergeCell ref="E81:G81"/>
    <mergeCell ref="H81:I81"/>
    <mergeCell ref="H44:I44"/>
    <mergeCell ref="H45:I45"/>
    <mergeCell ref="A47:I47"/>
    <mergeCell ref="F48:I48"/>
    <mergeCell ref="F49:I49"/>
    <mergeCell ref="F50:I50"/>
    <mergeCell ref="F51:I51"/>
    <mergeCell ref="A52:I52"/>
    <mergeCell ref="A54:I54"/>
    <mergeCell ref="C36:F36"/>
    <mergeCell ref="G36:I36"/>
    <mergeCell ref="C37:F37"/>
    <mergeCell ref="G37:I37"/>
    <mergeCell ref="A38:I38"/>
    <mergeCell ref="A40:I40"/>
    <mergeCell ref="H41:I41"/>
    <mergeCell ref="H42:I42"/>
    <mergeCell ref="H43:I43"/>
    <mergeCell ref="C31:F31"/>
    <mergeCell ref="G31:I31"/>
    <mergeCell ref="C32:F32"/>
    <mergeCell ref="G32:I32"/>
    <mergeCell ref="C33:F33"/>
    <mergeCell ref="G33:I33"/>
    <mergeCell ref="C34:F34"/>
    <mergeCell ref="G34:I34"/>
    <mergeCell ref="C35:F35"/>
    <mergeCell ref="G35:I35"/>
    <mergeCell ref="C25:E25"/>
    <mergeCell ref="F25:G25"/>
    <mergeCell ref="H25:I25"/>
    <mergeCell ref="C26:E26"/>
    <mergeCell ref="F26:G26"/>
    <mergeCell ref="H26:I26"/>
    <mergeCell ref="A27:I27"/>
    <mergeCell ref="A29:I29"/>
    <mergeCell ref="C30:F30"/>
    <mergeCell ref="G30:I30"/>
    <mergeCell ref="C22:E22"/>
    <mergeCell ref="F22:G22"/>
    <mergeCell ref="H22:I22"/>
    <mergeCell ref="C23:E23"/>
    <mergeCell ref="F23:G23"/>
    <mergeCell ref="H23:I23"/>
    <mergeCell ref="C24:E24"/>
    <mergeCell ref="F24:G24"/>
    <mergeCell ref="H24:I24"/>
    <mergeCell ref="B11:I11"/>
    <mergeCell ref="A13:I13"/>
    <mergeCell ref="B14:I14"/>
    <mergeCell ref="B15:I15"/>
    <mergeCell ref="B16:I16"/>
    <mergeCell ref="B17:I17"/>
    <mergeCell ref="A18:I18"/>
    <mergeCell ref="A20:I20"/>
    <mergeCell ref="A21:I21"/>
    <mergeCell ref="A1:I1"/>
    <mergeCell ref="A2:I2"/>
    <mergeCell ref="A4:I4"/>
    <mergeCell ref="A5:I5"/>
    <mergeCell ref="B6:I6"/>
    <mergeCell ref="B7:I7"/>
    <mergeCell ref="B8:I8"/>
    <mergeCell ref="B9:I9"/>
    <mergeCell ref="B10:I10"/>
  </mergeCells>
  <phoneticPr fontId="59" type="noConversion"/>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6305B"/>
  </sheetPr>
  <dimension ref="A1:T346"/>
  <sheetViews>
    <sheetView showGridLines="0" topLeftCell="A10" zoomScale="60" zoomScaleNormal="100" workbookViewId="0">
      <selection activeCell="K42" sqref="K42"/>
    </sheetView>
  </sheetViews>
  <sheetFormatPr defaultColWidth="8.6640625" defaultRowHeight="14.25" x14ac:dyDescent="0.45"/>
  <cols>
    <col min="1" max="1" width="26" customWidth="1"/>
    <col min="2" max="2" width="10.73046875" customWidth="1"/>
    <col min="3" max="3" width="11.6640625" customWidth="1"/>
    <col min="4" max="4" width="11" customWidth="1"/>
    <col min="5" max="5" width="12.6640625" customWidth="1"/>
    <col min="6" max="6" width="11.6640625" customWidth="1"/>
    <col min="7" max="7" width="12.6640625" customWidth="1"/>
    <col min="8" max="8" width="12.46484375" customWidth="1"/>
    <col min="9" max="9" width="9.53125" customWidth="1"/>
    <col min="10" max="11" width="11" customWidth="1"/>
    <col min="12" max="12" width="12.6640625" customWidth="1"/>
    <col min="13" max="13" width="32" customWidth="1"/>
    <col min="14" max="14" width="2.6640625" customWidth="1"/>
    <col min="15" max="15" width="11.6640625" customWidth="1"/>
    <col min="16" max="16" width="12.6640625" customWidth="1"/>
    <col min="17" max="17" width="11.6640625" customWidth="1"/>
    <col min="18" max="18" width="12.6640625" customWidth="1"/>
    <col min="19" max="19" width="12" customWidth="1"/>
    <col min="20" max="20" width="13.6640625" customWidth="1"/>
  </cols>
  <sheetData>
    <row r="1" spans="1:13" ht="37.5" customHeight="1" x14ac:dyDescent="0.45">
      <c r="A1" s="14" t="s">
        <v>171</v>
      </c>
      <c r="B1" s="14"/>
      <c r="C1" s="14"/>
      <c r="D1" s="14"/>
      <c r="E1" s="14"/>
      <c r="F1" s="14"/>
      <c r="G1" s="14"/>
      <c r="H1" s="14"/>
      <c r="I1" s="14"/>
      <c r="J1" s="14"/>
      <c r="K1" s="14"/>
      <c r="L1" s="14"/>
      <c r="M1" s="14"/>
    </row>
    <row r="2" spans="1:13" ht="19.5" customHeight="1" x14ac:dyDescent="0.45">
      <c r="A2" s="169" t="s">
        <v>172</v>
      </c>
      <c r="B2" s="169"/>
      <c r="C2" s="169"/>
      <c r="D2" s="169"/>
      <c r="E2" s="169"/>
      <c r="F2" s="169"/>
      <c r="G2" s="169"/>
      <c r="H2" s="169"/>
      <c r="I2" s="169"/>
      <c r="J2" s="169"/>
      <c r="K2" s="169"/>
      <c r="L2" s="169"/>
      <c r="M2" s="169"/>
    </row>
    <row r="4" spans="1:13" ht="24" customHeight="1" x14ac:dyDescent="0.45">
      <c r="A4" s="12" t="s">
        <v>173</v>
      </c>
      <c r="B4" s="12"/>
      <c r="C4" s="12"/>
      <c r="D4" s="12"/>
      <c r="E4" s="12"/>
      <c r="F4" s="12"/>
      <c r="G4" s="12"/>
      <c r="H4" s="12"/>
      <c r="I4" s="12"/>
      <c r="J4" s="12"/>
      <c r="K4" s="12"/>
      <c r="L4" s="12"/>
      <c r="M4" s="12"/>
    </row>
    <row r="5" spans="1:13" ht="27" customHeight="1" x14ac:dyDescent="0.45">
      <c r="A5" s="19" t="s">
        <v>174</v>
      </c>
      <c r="B5" s="19" t="s">
        <v>175</v>
      </c>
      <c r="C5" s="19" t="s">
        <v>176</v>
      </c>
      <c r="D5" s="7" t="s">
        <v>55</v>
      </c>
      <c r="E5" s="7"/>
      <c r="F5" s="7"/>
      <c r="G5" s="7"/>
      <c r="H5" s="7"/>
      <c r="I5" s="7"/>
      <c r="J5" s="7"/>
      <c r="K5" s="7"/>
      <c r="L5" s="7"/>
      <c r="M5" s="7"/>
    </row>
    <row r="6" spans="1:13" ht="31.5" customHeight="1" x14ac:dyDescent="0.45">
      <c r="A6" s="40" t="s">
        <v>177</v>
      </c>
      <c r="B6" s="41">
        <f>$B$143</f>
        <v>2.8</v>
      </c>
      <c r="C6" s="42" t="s">
        <v>178</v>
      </c>
      <c r="D6" s="170" t="s">
        <v>179</v>
      </c>
      <c r="E6" s="170"/>
      <c r="F6" s="170"/>
      <c r="G6" s="170"/>
      <c r="H6" s="170"/>
      <c r="I6" s="170"/>
      <c r="J6" s="170"/>
      <c r="K6" s="170"/>
      <c r="L6" s="170"/>
      <c r="M6" s="170"/>
    </row>
    <row r="7" spans="1:13" ht="33" customHeight="1" x14ac:dyDescent="0.45">
      <c r="A7" s="43" t="s">
        <v>180</v>
      </c>
      <c r="B7" s="44">
        <f>'06-Inventory-Burn-v4'!$B$10</f>
        <v>-0.2</v>
      </c>
      <c r="C7" s="45" t="s">
        <v>178</v>
      </c>
      <c r="D7" s="171" t="s">
        <v>181</v>
      </c>
      <c r="E7" s="171"/>
      <c r="F7" s="171"/>
      <c r="G7" s="171"/>
      <c r="H7" s="171"/>
      <c r="I7" s="171"/>
      <c r="J7" s="171"/>
      <c r="K7" s="171"/>
      <c r="L7" s="171"/>
      <c r="M7" s="171"/>
    </row>
    <row r="8" spans="1:13" ht="33" customHeight="1" x14ac:dyDescent="0.45">
      <c r="A8" s="43" t="s">
        <v>182</v>
      </c>
      <c r="B8" s="46">
        <f>$B$6+$B$7</f>
        <v>2.5999999999999996</v>
      </c>
      <c r="C8" s="45" t="s">
        <v>178</v>
      </c>
      <c r="D8" s="171" t="s">
        <v>183</v>
      </c>
      <c r="E8" s="171"/>
      <c r="F8" s="171"/>
      <c r="G8" s="171"/>
      <c r="H8" s="171"/>
      <c r="I8" s="171"/>
      <c r="J8" s="171"/>
      <c r="K8" s="171"/>
      <c r="L8" s="171"/>
      <c r="M8" s="171"/>
    </row>
    <row r="9" spans="1:13" ht="31.5" customHeight="1" x14ac:dyDescent="0.45">
      <c r="A9" s="40" t="s">
        <v>184</v>
      </c>
      <c r="B9" s="47">
        <f>$B$145</f>
        <v>1</v>
      </c>
      <c r="C9" s="42" t="s">
        <v>185</v>
      </c>
      <c r="D9" s="170" t="s">
        <v>186</v>
      </c>
      <c r="E9" s="170"/>
      <c r="F9" s="170"/>
      <c r="G9" s="170"/>
      <c r="H9" s="170"/>
      <c r="I9" s="170"/>
      <c r="J9" s="170"/>
      <c r="K9" s="170"/>
      <c r="L9" s="170"/>
      <c r="M9" s="170"/>
    </row>
    <row r="10" spans="1:13" ht="27" customHeight="1" x14ac:dyDescent="0.45">
      <c r="A10" s="48" t="s">
        <v>187</v>
      </c>
      <c r="B10" s="49">
        <v>8</v>
      </c>
      <c r="C10" s="42" t="s">
        <v>188</v>
      </c>
      <c r="D10" s="170" t="s">
        <v>189</v>
      </c>
      <c r="E10" s="170"/>
      <c r="F10" s="170"/>
      <c r="G10" s="170"/>
      <c r="H10" s="170"/>
      <c r="I10" s="170"/>
      <c r="J10" s="170"/>
      <c r="K10" s="170"/>
      <c r="L10" s="170"/>
      <c r="M10" s="170"/>
    </row>
    <row r="11" spans="1:13" ht="33" customHeight="1" x14ac:dyDescent="0.45">
      <c r="A11" s="43" t="s">
        <v>190</v>
      </c>
      <c r="B11" s="50">
        <v>5.35</v>
      </c>
      <c r="C11" s="45" t="s">
        <v>188</v>
      </c>
      <c r="D11" s="171" t="s">
        <v>191</v>
      </c>
      <c r="E11" s="171"/>
      <c r="F11" s="171"/>
      <c r="G11" s="171"/>
      <c r="H11" s="171"/>
      <c r="I11" s="171"/>
      <c r="J11" s="171"/>
      <c r="K11" s="171"/>
      <c r="L11" s="171"/>
      <c r="M11" s="171"/>
    </row>
    <row r="12" spans="1:13" ht="33" customHeight="1" x14ac:dyDescent="0.45">
      <c r="A12" s="43" t="s">
        <v>192</v>
      </c>
      <c r="B12" s="50">
        <v>1.43</v>
      </c>
      <c r="C12" s="45" t="s">
        <v>188</v>
      </c>
      <c r="D12" s="171" t="s">
        <v>193</v>
      </c>
      <c r="E12" s="171"/>
      <c r="F12" s="171"/>
      <c r="G12" s="171"/>
      <c r="H12" s="171"/>
      <c r="I12" s="171"/>
      <c r="J12" s="171"/>
      <c r="K12" s="171"/>
      <c r="L12" s="171"/>
      <c r="M12" s="171"/>
    </row>
    <row r="13" spans="1:13" ht="31.5" customHeight="1" x14ac:dyDescent="0.45">
      <c r="A13" s="48" t="s">
        <v>194</v>
      </c>
      <c r="B13" s="51">
        <f>-($B$10-$B$12)/52</f>
        <v>-0.12634615384615386</v>
      </c>
      <c r="C13" s="42" t="s">
        <v>195</v>
      </c>
      <c r="D13" s="170" t="s">
        <v>196</v>
      </c>
      <c r="E13" s="170"/>
      <c r="F13" s="170"/>
      <c r="G13" s="170"/>
      <c r="H13" s="170"/>
      <c r="I13" s="170"/>
      <c r="J13" s="170"/>
      <c r="K13" s="170"/>
      <c r="L13" s="170"/>
      <c r="M13" s="170"/>
    </row>
    <row r="14" spans="1:13" ht="31.5" customHeight="1" x14ac:dyDescent="0.45">
      <c r="A14" s="40" t="s">
        <v>197</v>
      </c>
      <c r="B14" s="52">
        <f>$B$144</f>
        <v>-7.0000000000000007E-2</v>
      </c>
      <c r="C14" s="42" t="s">
        <v>195</v>
      </c>
      <c r="D14" s="170" t="s">
        <v>198</v>
      </c>
      <c r="E14" s="170"/>
      <c r="F14" s="170"/>
      <c r="G14" s="170"/>
      <c r="H14" s="170"/>
      <c r="I14" s="170"/>
      <c r="J14" s="170"/>
      <c r="K14" s="170"/>
      <c r="L14" s="170"/>
      <c r="M14" s="170"/>
    </row>
    <row r="17" spans="1:20" ht="24" customHeight="1" x14ac:dyDescent="0.45">
      <c r="A17" s="12" t="s">
        <v>199</v>
      </c>
      <c r="B17" s="12"/>
      <c r="C17" s="12"/>
      <c r="D17" s="12"/>
      <c r="E17" s="12"/>
      <c r="F17" s="12"/>
      <c r="G17" s="12"/>
      <c r="H17" s="12"/>
      <c r="I17" s="12"/>
      <c r="J17" s="12"/>
      <c r="K17" s="12"/>
      <c r="L17" s="12"/>
      <c r="M17" s="12"/>
    </row>
    <row r="18" spans="1:20" ht="45" customHeight="1" x14ac:dyDescent="0.45">
      <c r="A18" s="19" t="s">
        <v>200</v>
      </c>
      <c r="B18" s="19" t="s">
        <v>105</v>
      </c>
      <c r="C18" s="19" t="s">
        <v>201</v>
      </c>
      <c r="D18" s="19" t="s">
        <v>202</v>
      </c>
      <c r="E18" s="19" t="s">
        <v>203</v>
      </c>
      <c r="F18" s="19" t="s">
        <v>204</v>
      </c>
      <c r="G18" s="19" t="s">
        <v>205</v>
      </c>
      <c r="H18" s="19" t="s">
        <v>206</v>
      </c>
      <c r="I18" s="19" t="s">
        <v>207</v>
      </c>
      <c r="J18" s="19" t="s">
        <v>208</v>
      </c>
      <c r="K18" s="19" t="s">
        <v>209</v>
      </c>
      <c r="L18" s="19" t="s">
        <v>210</v>
      </c>
      <c r="M18" s="19" t="s">
        <v>211</v>
      </c>
      <c r="O18" s="22" t="s">
        <v>212</v>
      </c>
      <c r="P18" s="22" t="s">
        <v>213</v>
      </c>
      <c r="Q18" s="22" t="s">
        <v>214</v>
      </c>
      <c r="R18" s="22" t="s">
        <v>215</v>
      </c>
      <c r="S18" s="22" t="s">
        <v>216</v>
      </c>
      <c r="T18" s="22" t="s">
        <v>217</v>
      </c>
    </row>
    <row r="19" spans="1:20" ht="18" customHeight="1" x14ac:dyDescent="0.45">
      <c r="A19" s="53" t="s">
        <v>218</v>
      </c>
      <c r="B19" s="54" t="s">
        <v>219</v>
      </c>
      <c r="C19" s="55" t="s">
        <v>84</v>
      </c>
      <c r="D19" s="55" t="s">
        <v>84</v>
      </c>
      <c r="E19" s="56">
        <v>0.18</v>
      </c>
      <c r="F19" s="56">
        <v>0.14199999999999999</v>
      </c>
      <c r="G19" s="57">
        <f>IF($B$9=1,E19*(1-F19),E19)</f>
        <v>0.15443999999999999</v>
      </c>
      <c r="H19" s="58">
        <f>(1-G19)+G19/$B$6</f>
        <v>0.90071714285714288</v>
      </c>
      <c r="I19" s="55" t="s">
        <v>84</v>
      </c>
      <c r="J19" s="55" t="s">
        <v>84</v>
      </c>
      <c r="K19" s="55" t="s">
        <v>84</v>
      </c>
      <c r="L19" s="55" t="s">
        <v>84</v>
      </c>
      <c r="M19" s="59">
        <f>$B$14</f>
        <v>-7.0000000000000007E-2</v>
      </c>
      <c r="O19" s="60">
        <f>E19*(1-F19)</f>
        <v>0.15443999999999999</v>
      </c>
      <c r="P19" s="61">
        <f>(1-O19)+O19/$B$6</f>
        <v>0.90071714285714288</v>
      </c>
      <c r="Q19" s="62" t="s">
        <v>84</v>
      </c>
      <c r="R19" s="62" t="s">
        <v>84</v>
      </c>
      <c r="S19" s="62" t="s">
        <v>84</v>
      </c>
      <c r="T19" s="63">
        <f>$B$14</f>
        <v>-7.0000000000000007E-2</v>
      </c>
    </row>
    <row r="20" spans="1:20" ht="18" customHeight="1" x14ac:dyDescent="0.45">
      <c r="A20" s="64"/>
      <c r="B20" s="54" t="s">
        <v>220</v>
      </c>
      <c r="C20" s="56">
        <v>7.0000000000000007E-2</v>
      </c>
      <c r="D20" s="56">
        <v>0.13</v>
      </c>
      <c r="E20" s="56">
        <v>0.22</v>
      </c>
      <c r="F20" s="56">
        <v>0.17100000000000001</v>
      </c>
      <c r="G20" s="57">
        <f>IF($B$9=1,MAX(0,MIN(0.95,E20+$B$148))*(1-F20),MAX(0,MIN(0.95,E20+$B$148)))</f>
        <v>0.18237999999999999</v>
      </c>
      <c r="H20" s="58">
        <f>(1-G20)+G20/$B$6</f>
        <v>0.88275571428571431</v>
      </c>
      <c r="I20" s="57">
        <f>H20/H19-1</f>
        <v>-1.994125316018025E-2</v>
      </c>
      <c r="J20" s="65">
        <f>(1+C20+$B$146)*(1+D20+$B$147)*(1+I20)-1</f>
        <v>0.18498903080402607</v>
      </c>
      <c r="K20" s="56">
        <v>0.3</v>
      </c>
      <c r="L20" s="66">
        <f>J20-(K20+$B$149)</f>
        <v>-0.12501096919597393</v>
      </c>
      <c r="M20" s="66">
        <f>(1+M19)*(1+J20)/(1+K20+$B$149)-1</f>
        <v>-0.15874824530706555</v>
      </c>
      <c r="O20" s="67">
        <f>MAX(0,MIN(0.95,E20+$B$148))*(1-F20)</f>
        <v>0.18237999999999999</v>
      </c>
      <c r="P20" s="68">
        <f>(1-O20)+O20/$B$6</f>
        <v>0.88275571428571431</v>
      </c>
      <c r="Q20" s="67">
        <f>P20/P19-1</f>
        <v>-1.994125316018025E-2</v>
      </c>
      <c r="R20" s="67">
        <f>(1+C20+$B$146)*(1+D20+$B$147)*(1+Q20)-1</f>
        <v>0.18498903080402607</v>
      </c>
      <c r="S20" s="69">
        <f>R20-(K20+$B$149)</f>
        <v>-0.12501096919597393</v>
      </c>
      <c r="T20" s="69">
        <f>(1+T19)*(1+R20)/(1+K20+$B$149)-1</f>
        <v>-0.15874824530706555</v>
      </c>
    </row>
    <row r="21" spans="1:20" ht="18" customHeight="1" x14ac:dyDescent="0.45">
      <c r="A21" s="64"/>
      <c r="B21" s="54" t="s">
        <v>79</v>
      </c>
      <c r="C21" s="56">
        <v>0.09</v>
      </c>
      <c r="D21" s="56">
        <v>0.12</v>
      </c>
      <c r="E21" s="56">
        <v>0.34</v>
      </c>
      <c r="F21" s="56">
        <v>0.18099999999999999</v>
      </c>
      <c r="G21" s="57">
        <f>IF($B$9=1,MAX(0,MIN(0.95,E21+$B$148))*(1-F21),MAX(0,MIN(0.95,E21+$B$148)))</f>
        <v>0.27845999999999999</v>
      </c>
      <c r="H21" s="58">
        <f>(1-G21)+G21/$B$6</f>
        <v>0.82099000000000011</v>
      </c>
      <c r="I21" s="57">
        <f>H21/H20-1</f>
        <v>-6.9969203581641159E-2</v>
      </c>
      <c r="J21" s="65">
        <f>(1+C21+$B$146)*(1+D21+$B$147)*(1+I21)-1</f>
        <v>0.13538159626753266</v>
      </c>
      <c r="K21" s="56">
        <v>0.32</v>
      </c>
      <c r="L21" s="66">
        <f>J21-(K21+$B$149)</f>
        <v>-0.19461840373246736</v>
      </c>
      <c r="M21" s="66">
        <f>(1+M20)*(1+J21)/(1+K21+$B$149)-1</f>
        <v>-0.28184830067208522</v>
      </c>
      <c r="O21" s="67">
        <f>MAX(0,MIN(0.95,E21+$B$148))*(1-F21)</f>
        <v>0.27845999999999999</v>
      </c>
      <c r="P21" s="68">
        <f>(1-O21)+O21/$B$6</f>
        <v>0.82099000000000011</v>
      </c>
      <c r="Q21" s="67">
        <f>P21/P20-1</f>
        <v>-6.9969203581641159E-2</v>
      </c>
      <c r="R21" s="67">
        <f>(1+C21+$B$146)*(1+D21+$B$147)*(1+Q21)-1</f>
        <v>0.13538159626753266</v>
      </c>
      <c r="S21" s="69">
        <f>R21-(K21+$B$149)</f>
        <v>-0.19461840373246736</v>
      </c>
      <c r="T21" s="69">
        <f>(1+T20)*(1+R21)/(1+K21+$B$149)-1</f>
        <v>-0.28184830067208522</v>
      </c>
    </row>
    <row r="22" spans="1:20" ht="18" customHeight="1" x14ac:dyDescent="0.45">
      <c r="A22" s="64"/>
      <c r="B22" s="54" t="s">
        <v>80</v>
      </c>
      <c r="C22" s="56">
        <v>0.12</v>
      </c>
      <c r="D22" s="56">
        <v>0.1</v>
      </c>
      <c r="E22" s="56">
        <v>0.4</v>
      </c>
      <c r="F22" s="56">
        <v>0.185</v>
      </c>
      <c r="G22" s="57">
        <f>IF($B$9=1,MAX(0,MIN(0.95,E22+$B$148))*(1-F22),MAX(0,MIN(0.95,E22+$B$148)))</f>
        <v>0.32600000000000001</v>
      </c>
      <c r="H22" s="58">
        <f>(1-G22)+G22/$B$6</f>
        <v>0.79042857142857137</v>
      </c>
      <c r="I22" s="57">
        <f>H22/H21-1</f>
        <v>-3.7225092353656897E-2</v>
      </c>
      <c r="J22" s="65">
        <f>(1+C22+$B$146)*(1+D22+$B$147)*(1+I22)-1</f>
        <v>0.18613868622029495</v>
      </c>
      <c r="K22" s="56">
        <v>0.28000000000000003</v>
      </c>
      <c r="L22" s="66">
        <f>J22-(K22+$B$149)</f>
        <v>-0.10386131377970509</v>
      </c>
      <c r="M22" s="66">
        <f>(1+M21)*(1+J22)/(1+K22+$B$149)-1</f>
        <v>-0.33966859445915887</v>
      </c>
      <c r="O22" s="67">
        <f>MAX(0,MIN(0.95,E22+$B$148))*(1-F22)</f>
        <v>0.32600000000000001</v>
      </c>
      <c r="P22" s="68">
        <f>(1-O22)+O22/$B$6</f>
        <v>0.79042857142857137</v>
      </c>
      <c r="Q22" s="67">
        <f>P22/P21-1</f>
        <v>-3.7225092353656897E-2</v>
      </c>
      <c r="R22" s="67">
        <f>(1+C22+$B$146)*(1+D22+$B$147)*(1+Q22)-1</f>
        <v>0.18613868622029495</v>
      </c>
      <c r="S22" s="69">
        <f>R22-(K22+$B$149)</f>
        <v>-0.10386131377970509</v>
      </c>
      <c r="T22" s="69">
        <f>(1+T21)*(1+R22)/(1+K22+$B$149)-1</f>
        <v>-0.33966859445915887</v>
      </c>
    </row>
    <row r="23" spans="1:20" ht="17.25" customHeight="1" x14ac:dyDescent="0.45">
      <c r="A23" s="172" t="s">
        <v>221</v>
      </c>
      <c r="B23" s="172"/>
      <c r="C23" s="172"/>
      <c r="D23" s="172"/>
      <c r="E23" s="172"/>
      <c r="F23" s="172"/>
      <c r="G23" s="172"/>
      <c r="H23" s="172"/>
      <c r="I23" s="172"/>
      <c r="J23" s="172"/>
      <c r="K23" s="172"/>
      <c r="L23" s="172"/>
      <c r="M23" s="172"/>
    </row>
    <row r="24" spans="1:20" ht="18" customHeight="1" x14ac:dyDescent="0.45">
      <c r="A24" s="53" t="s">
        <v>222</v>
      </c>
      <c r="B24" s="54" t="s">
        <v>219</v>
      </c>
      <c r="C24" s="55" t="s">
        <v>84</v>
      </c>
      <c r="D24" s="55" t="s">
        <v>84</v>
      </c>
      <c r="E24" s="56">
        <v>0.18</v>
      </c>
      <c r="F24" s="56">
        <v>0.14199999999999999</v>
      </c>
      <c r="G24" s="57">
        <f>IF($B$9=1,E24*(1-F24),E24)</f>
        <v>0.15443999999999999</v>
      </c>
      <c r="H24" s="58">
        <f>(1-G24)+G24/$B$6</f>
        <v>0.90071714285714288</v>
      </c>
      <c r="I24" s="55" t="s">
        <v>84</v>
      </c>
      <c r="J24" s="55" t="s">
        <v>84</v>
      </c>
      <c r="K24" s="55" t="s">
        <v>84</v>
      </c>
      <c r="L24" s="55" t="s">
        <v>84</v>
      </c>
      <c r="M24" s="59">
        <f>$B$14</f>
        <v>-7.0000000000000007E-2</v>
      </c>
      <c r="O24" s="60">
        <f>E24*(1-F24)</f>
        <v>0.15443999999999999</v>
      </c>
      <c r="P24" s="61">
        <f>(1-O24)+O24/$B$6</f>
        <v>0.90071714285714288</v>
      </c>
      <c r="Q24" s="62" t="s">
        <v>84</v>
      </c>
      <c r="R24" s="62" t="s">
        <v>84</v>
      </c>
      <c r="S24" s="62" t="s">
        <v>84</v>
      </c>
      <c r="T24" s="63">
        <f>$B$14</f>
        <v>-7.0000000000000007E-2</v>
      </c>
    </row>
    <row r="25" spans="1:20" ht="18" customHeight="1" x14ac:dyDescent="0.45">
      <c r="A25" s="64"/>
      <c r="B25" s="54" t="s">
        <v>220</v>
      </c>
      <c r="C25" s="56">
        <v>7.0000000000000007E-2</v>
      </c>
      <c r="D25" s="56">
        <v>0.13</v>
      </c>
      <c r="E25" s="56">
        <v>0.22</v>
      </c>
      <c r="F25" s="56">
        <v>0.17100000000000001</v>
      </c>
      <c r="G25" s="57">
        <f>IF($B$9=1,MAX(0,MIN(0.95,E25+$B$148))*(1-F25),MAX(0,MIN(0.95,E25+$B$148)))</f>
        <v>0.18237999999999999</v>
      </c>
      <c r="H25" s="58">
        <f>(1-G25)+G25/$B$6</f>
        <v>0.88275571428571431</v>
      </c>
      <c r="I25" s="57">
        <f>H25/H24-1</f>
        <v>-1.994125316018025E-2</v>
      </c>
      <c r="J25" s="65">
        <f>(1+C25+$B$146)*(1+D25+$B$147)*(1+I25)-1</f>
        <v>0.18498903080402607</v>
      </c>
      <c r="K25" s="56">
        <v>0.28000000000000003</v>
      </c>
      <c r="L25" s="66">
        <f>J25-(K25+$B$149)</f>
        <v>-0.10501096919597397</v>
      </c>
      <c r="M25" s="66">
        <f>(1+M24)*(1+J25)/(1+K25+$B$149)-1</f>
        <v>-0.14570558244360921</v>
      </c>
      <c r="O25" s="67">
        <f>MAX(0,MIN(0.95,E25+$B$148))*(1-F25)</f>
        <v>0.18237999999999999</v>
      </c>
      <c r="P25" s="68">
        <f>(1-O25)+O25/$B$6</f>
        <v>0.88275571428571431</v>
      </c>
      <c r="Q25" s="67">
        <f>P25/P24-1</f>
        <v>-1.994125316018025E-2</v>
      </c>
      <c r="R25" s="67">
        <f>(1+C25+$B$146)*(1+D25+$B$147)*(1+Q25)-1</f>
        <v>0.18498903080402607</v>
      </c>
      <c r="S25" s="69">
        <f>R25-(K25+$B$149)</f>
        <v>-0.10501096919597397</v>
      </c>
      <c r="T25" s="69">
        <f>(1+T24)*(1+R25)/(1+K25+$B$149)-1</f>
        <v>-0.14570558244360921</v>
      </c>
    </row>
    <row r="26" spans="1:20" ht="18" customHeight="1" x14ac:dyDescent="0.45">
      <c r="A26" s="64"/>
      <c r="B26" s="54" t="s">
        <v>79</v>
      </c>
      <c r="C26" s="56">
        <v>0.1</v>
      </c>
      <c r="D26" s="56">
        <v>0.12</v>
      </c>
      <c r="E26" s="56">
        <v>0.3</v>
      </c>
      <c r="F26" s="56">
        <v>0.18099999999999999</v>
      </c>
      <c r="G26" s="57">
        <f>IF($B$9=1,MAX(0,MIN(0.95,E26+$B$148))*(1-F26),MAX(0,MIN(0.95,E26+$B$148)))</f>
        <v>0.24569999999999997</v>
      </c>
      <c r="H26" s="58">
        <f>(1-G26)+G26/$B$6</f>
        <v>0.84204999999999997</v>
      </c>
      <c r="I26" s="57">
        <f>H26/H25-1</f>
        <v>-4.6112093784237418E-2</v>
      </c>
      <c r="J26" s="65">
        <f>(1+C26+$B$146)*(1+D26+$B$147)*(1+I26)-1</f>
        <v>0.17518990045781968</v>
      </c>
      <c r="K26" s="56">
        <v>0.26</v>
      </c>
      <c r="L26" s="66">
        <f>J26-(K26+$B$149)</f>
        <v>-9.4810099542180337E-2</v>
      </c>
      <c r="M26" s="66">
        <f>(1+M25)*(1+J26)/(1+K26+$B$149)-1</f>
        <v>-0.20948175470097175</v>
      </c>
      <c r="O26" s="67">
        <f>MAX(0,MIN(0.95,E26+$B$148))*(1-F26)</f>
        <v>0.24569999999999997</v>
      </c>
      <c r="P26" s="68">
        <f>(1-O26)+O26/$B$6</f>
        <v>0.84204999999999997</v>
      </c>
      <c r="Q26" s="67">
        <f>P26/P25-1</f>
        <v>-4.6112093784237418E-2</v>
      </c>
      <c r="R26" s="67">
        <f>(1+C26+$B$146)*(1+D26+$B$147)*(1+Q26)-1</f>
        <v>0.17518990045781968</v>
      </c>
      <c r="S26" s="69">
        <f>R26-(K26+$B$149)</f>
        <v>-9.4810099542180337E-2</v>
      </c>
      <c r="T26" s="69">
        <f>(1+T25)*(1+R26)/(1+K26+$B$149)-1</f>
        <v>-0.20948175470097175</v>
      </c>
    </row>
    <row r="27" spans="1:20" ht="18" customHeight="1" x14ac:dyDescent="0.45">
      <c r="A27" s="64"/>
      <c r="B27" s="54" t="s">
        <v>80</v>
      </c>
      <c r="C27" s="56">
        <v>0.16</v>
      </c>
      <c r="D27" s="56">
        <v>0.11</v>
      </c>
      <c r="E27" s="56">
        <v>0.32</v>
      </c>
      <c r="F27" s="56">
        <v>0.185</v>
      </c>
      <c r="G27" s="57">
        <f>IF($B$9=1,MAX(0,MIN(0.95,E27+$B$148))*(1-F27),MAX(0,MIN(0.95,E27+$B$148)))</f>
        <v>0.26079999999999998</v>
      </c>
      <c r="H27" s="58">
        <f>(1-G27)+G27/$B$6</f>
        <v>0.83234285714285727</v>
      </c>
      <c r="I27" s="57">
        <f>H27/H26-1</f>
        <v>-1.1527988667113243E-2</v>
      </c>
      <c r="J27" s="65">
        <f>(1+C27+$B$146)*(1+D27+$B$147)*(1+I27)-1</f>
        <v>0.27275656179222496</v>
      </c>
      <c r="K27" s="56">
        <v>0.24</v>
      </c>
      <c r="L27" s="66">
        <f>J27-(K27+$B$149)</f>
        <v>2.2756561792224961E-2</v>
      </c>
      <c r="M27" s="66">
        <f>(1+M26)*(1+J27)/(1+K27+$B$149)-1</f>
        <v>-0.19509017286334895</v>
      </c>
      <c r="O27" s="67">
        <f>MAX(0,MIN(0.95,E27+$B$148))*(1-F27)</f>
        <v>0.26079999999999998</v>
      </c>
      <c r="P27" s="68">
        <f>(1-O27)+O27/$B$6</f>
        <v>0.83234285714285727</v>
      </c>
      <c r="Q27" s="67">
        <f>P27/P26-1</f>
        <v>-1.1527988667113243E-2</v>
      </c>
      <c r="R27" s="67">
        <f>(1+C27+$B$146)*(1+D27+$B$147)*(1+Q27)-1</f>
        <v>0.27275656179222496</v>
      </c>
      <c r="S27" s="69">
        <f>R27-(K27+$B$149)</f>
        <v>2.2756561792224961E-2</v>
      </c>
      <c r="T27" s="69">
        <f>(1+T26)*(1+R27)/(1+K27+$B$149)-1</f>
        <v>-0.19509017286334895</v>
      </c>
    </row>
    <row r="28" spans="1:20" ht="17.25" customHeight="1" x14ac:dyDescent="0.45">
      <c r="A28" s="172" t="s">
        <v>223</v>
      </c>
      <c r="B28" s="172"/>
      <c r="C28" s="172"/>
      <c r="D28" s="172"/>
      <c r="E28" s="172"/>
      <c r="F28" s="172"/>
      <c r="G28" s="172"/>
      <c r="H28" s="172"/>
      <c r="I28" s="172"/>
      <c r="J28" s="172"/>
      <c r="K28" s="172"/>
      <c r="L28" s="172"/>
      <c r="M28" s="172"/>
    </row>
    <row r="29" spans="1:20" ht="18" customHeight="1" x14ac:dyDescent="0.45">
      <c r="A29" s="53" t="s">
        <v>224</v>
      </c>
      <c r="B29" s="54" t="s">
        <v>219</v>
      </c>
      <c r="C29" s="55" t="s">
        <v>84</v>
      </c>
      <c r="D29" s="55" t="s">
        <v>84</v>
      </c>
      <c r="E29" s="56">
        <v>0.18</v>
      </c>
      <c r="F29" s="56">
        <v>0.14199999999999999</v>
      </c>
      <c r="G29" s="57">
        <f>IF($B$9=1,E29*(1-F29),E29)</f>
        <v>0.15443999999999999</v>
      </c>
      <c r="H29" s="58">
        <f>(1-G29)+G29/$B$6</f>
        <v>0.90071714285714288</v>
      </c>
      <c r="I29" s="55" t="s">
        <v>84</v>
      </c>
      <c r="J29" s="55" t="s">
        <v>84</v>
      </c>
      <c r="K29" s="55" t="s">
        <v>84</v>
      </c>
      <c r="L29" s="55" t="s">
        <v>84</v>
      </c>
      <c r="M29" s="59">
        <f>$B$14</f>
        <v>-7.0000000000000007E-2</v>
      </c>
      <c r="O29" s="60">
        <f>E29*(1-F29)</f>
        <v>0.15443999999999999</v>
      </c>
      <c r="P29" s="61">
        <f>(1-O29)+O29/$B$6</f>
        <v>0.90071714285714288</v>
      </c>
      <c r="Q29" s="62" t="s">
        <v>84</v>
      </c>
      <c r="R29" s="62" t="s">
        <v>84</v>
      </c>
      <c r="S29" s="62" t="s">
        <v>84</v>
      </c>
      <c r="T29" s="63">
        <f>$B$14</f>
        <v>-7.0000000000000007E-2</v>
      </c>
    </row>
    <row r="30" spans="1:20" ht="18" customHeight="1" x14ac:dyDescent="0.45">
      <c r="A30" s="64"/>
      <c r="B30" s="54" t="s">
        <v>220</v>
      </c>
      <c r="C30" s="56">
        <v>7.0000000000000007E-2</v>
      </c>
      <c r="D30" s="56">
        <v>0.13</v>
      </c>
      <c r="E30" s="56">
        <v>0.22</v>
      </c>
      <c r="F30" s="56">
        <v>0.17100000000000001</v>
      </c>
      <c r="G30" s="57">
        <f>IF($B$9=1,MAX(0,MIN(0.95,E30+$B$148))*(1-F30),MAX(0,MIN(0.95,E30+$B$148)))</f>
        <v>0.18237999999999999</v>
      </c>
      <c r="H30" s="58">
        <f>(1-G30)+G30/$B$6</f>
        <v>0.88275571428571431</v>
      </c>
      <c r="I30" s="57">
        <f>H30/H29-1</f>
        <v>-1.994125316018025E-2</v>
      </c>
      <c r="J30" s="65">
        <f>(1+C30+$B$146)*(1+D30+$B$147)*(1+I30)-1</f>
        <v>0.18498903080402607</v>
      </c>
      <c r="K30" s="56">
        <v>0.26</v>
      </c>
      <c r="L30" s="66">
        <f>J30-(K30+$B$149)</f>
        <v>-8.5010969195973951E-2</v>
      </c>
      <c r="M30" s="66">
        <f>(1+M29)*(1+J30)/(1+K30+$B$149)-1</f>
        <v>-0.13225212704902034</v>
      </c>
      <c r="O30" s="67">
        <f>MAX(0,MIN(0.95,E30+$B$148))*(1-F30)</f>
        <v>0.18237999999999999</v>
      </c>
      <c r="P30" s="68">
        <f>(1-O30)+O30/$B$6</f>
        <v>0.88275571428571431</v>
      </c>
      <c r="Q30" s="67">
        <f>P30/P29-1</f>
        <v>-1.994125316018025E-2</v>
      </c>
      <c r="R30" s="67">
        <f>(1+C30+$B$146)*(1+D30+$B$147)*(1+Q30)-1</f>
        <v>0.18498903080402607</v>
      </c>
      <c r="S30" s="69">
        <f>R30-(K30+$B$149)</f>
        <v>-8.5010969195973951E-2</v>
      </c>
      <c r="T30" s="69">
        <f>(1+T29)*(1+R30)/(1+K30+$B$149)-1</f>
        <v>-0.13225212704902034</v>
      </c>
    </row>
    <row r="31" spans="1:20" ht="18" customHeight="1" x14ac:dyDescent="0.45">
      <c r="A31" s="64"/>
      <c r="B31" s="54" t="s">
        <v>79</v>
      </c>
      <c r="C31" s="56">
        <v>0.12</v>
      </c>
      <c r="D31" s="56">
        <v>0.14000000000000001</v>
      </c>
      <c r="E31" s="56">
        <v>0.28000000000000003</v>
      </c>
      <c r="F31" s="56">
        <v>0.18099999999999999</v>
      </c>
      <c r="G31" s="57">
        <f>IF($B$9=1,MAX(0,MIN(0.95,E31+$B$148))*(1-F31),MAX(0,MIN(0.95,E31+$B$148)))</f>
        <v>0.22932</v>
      </c>
      <c r="H31" s="58">
        <f>(1-G31)+G31/$B$6</f>
        <v>0.85258</v>
      </c>
      <c r="I31" s="57">
        <f>H31/H30-1</f>
        <v>-3.4183538885535381E-2</v>
      </c>
      <c r="J31" s="65">
        <f>(1+C31+$B$146)*(1+D31+$B$147)*(1+I31)-1</f>
        <v>0.23315445755094855</v>
      </c>
      <c r="K31" s="56">
        <v>0.2</v>
      </c>
      <c r="L31" s="66">
        <f>J31-(K31+$B$149)</f>
        <v>2.3154457550948526E-2</v>
      </c>
      <c r="M31" s="66">
        <f>(1+M30)*(1+J31)/(1+K31+$B$149)-1</f>
        <v>-0.11564697722326045</v>
      </c>
      <c r="O31" s="67">
        <f>MAX(0,MIN(0.95,E31+$B$148))*(1-F31)</f>
        <v>0.22932</v>
      </c>
      <c r="P31" s="68">
        <f>(1-O31)+O31/$B$6</f>
        <v>0.85258</v>
      </c>
      <c r="Q31" s="67">
        <f>P31/P30-1</f>
        <v>-3.4183538885535381E-2</v>
      </c>
      <c r="R31" s="67">
        <f>(1+C31+$B$146)*(1+D31+$B$147)*(1+Q31)-1</f>
        <v>0.23315445755094855</v>
      </c>
      <c r="S31" s="69">
        <f>R31-(K31+$B$149)</f>
        <v>2.3154457550948526E-2</v>
      </c>
      <c r="T31" s="69">
        <f>(1+T30)*(1+R31)/(1+K31+$B$149)-1</f>
        <v>-0.11564697722326045</v>
      </c>
    </row>
    <row r="32" spans="1:20" ht="18" customHeight="1" x14ac:dyDescent="0.45">
      <c r="A32" s="64"/>
      <c r="B32" s="54" t="s">
        <v>80</v>
      </c>
      <c r="C32" s="56">
        <v>0.2</v>
      </c>
      <c r="D32" s="56">
        <v>0.13</v>
      </c>
      <c r="E32" s="56">
        <v>0.26</v>
      </c>
      <c r="F32" s="56">
        <v>0.185</v>
      </c>
      <c r="G32" s="57">
        <f>IF($B$9=1,MAX(0,MIN(0.95,E32+$B$148))*(1-F32),MAX(0,MIN(0.95,E32+$B$148)))</f>
        <v>0.21190000000000001</v>
      </c>
      <c r="H32" s="58">
        <f>(1-G32)+G32/$B$6</f>
        <v>0.86377857142857151</v>
      </c>
      <c r="I32" s="57">
        <f>H32/H31-1</f>
        <v>1.3134921565802093E-2</v>
      </c>
      <c r="J32" s="65">
        <f>(1+C32+$B$146)*(1+D32+$B$147)*(1+I32)-1</f>
        <v>0.37381095364322747</v>
      </c>
      <c r="K32" s="56">
        <v>0.18</v>
      </c>
      <c r="L32" s="66">
        <f>J32-(K32+$B$149)</f>
        <v>0.18381095364322747</v>
      </c>
      <c r="M32" s="66">
        <f>(1+M31)*(1+J32)/(1+K32+$B$149)-1</f>
        <v>2.0952831578305409E-2</v>
      </c>
      <c r="O32" s="67">
        <f>MAX(0,MIN(0.95,E32+$B$148))*(1-F32)</f>
        <v>0.21190000000000001</v>
      </c>
      <c r="P32" s="68">
        <f>(1-O32)+O32/$B$6</f>
        <v>0.86377857142857151</v>
      </c>
      <c r="Q32" s="67">
        <f>P32/P31-1</f>
        <v>1.3134921565802093E-2</v>
      </c>
      <c r="R32" s="67">
        <f>(1+C32+$B$146)*(1+D32+$B$147)*(1+Q32)-1</f>
        <v>0.37381095364322747</v>
      </c>
      <c r="S32" s="69">
        <f>R32-(K32+$B$149)</f>
        <v>0.18381095364322747</v>
      </c>
      <c r="T32" s="69">
        <f>(1+T31)*(1+R32)/(1+K32+$B$149)-1</f>
        <v>2.0952831578305409E-2</v>
      </c>
    </row>
    <row r="33" spans="1:20" ht="28.5" customHeight="1" x14ac:dyDescent="0.45">
      <c r="A33" s="172" t="s">
        <v>225</v>
      </c>
      <c r="B33" s="172"/>
      <c r="C33" s="172"/>
      <c r="D33" s="172"/>
      <c r="E33" s="172"/>
      <c r="F33" s="172"/>
      <c r="G33" s="172"/>
      <c r="H33" s="172"/>
      <c r="I33" s="172"/>
      <c r="J33" s="172"/>
      <c r="K33" s="172"/>
      <c r="L33" s="172"/>
      <c r="M33" s="172"/>
    </row>
    <row r="34" spans="1:20" ht="18" customHeight="1" x14ac:dyDescent="0.45">
      <c r="A34" s="53" t="s">
        <v>226</v>
      </c>
      <c r="B34" s="54" t="s">
        <v>219</v>
      </c>
      <c r="C34" s="55" t="s">
        <v>84</v>
      </c>
      <c r="D34" s="55" t="s">
        <v>84</v>
      </c>
      <c r="E34" s="56">
        <v>0.18</v>
      </c>
      <c r="F34" s="56">
        <v>0.14199999999999999</v>
      </c>
      <c r="G34" s="57">
        <f>IF($B$9=1,E34*(1-F34),E34)</f>
        <v>0.15443999999999999</v>
      </c>
      <c r="H34" s="58">
        <f>(1-G34)+G34/$B$6</f>
        <v>0.90071714285714288</v>
      </c>
      <c r="I34" s="55" t="s">
        <v>84</v>
      </c>
      <c r="J34" s="55" t="s">
        <v>84</v>
      </c>
      <c r="K34" s="55" t="s">
        <v>84</v>
      </c>
      <c r="L34" s="55" t="s">
        <v>84</v>
      </c>
      <c r="M34" s="59">
        <f>$B$14</f>
        <v>-7.0000000000000007E-2</v>
      </c>
      <c r="O34" s="60">
        <f>E34*(1-F34)</f>
        <v>0.15443999999999999</v>
      </c>
      <c r="P34" s="61">
        <f>(1-O34)+O34/$B$6</f>
        <v>0.90071714285714288</v>
      </c>
      <c r="Q34" s="62" t="s">
        <v>84</v>
      </c>
      <c r="R34" s="62" t="s">
        <v>84</v>
      </c>
      <c r="S34" s="62" t="s">
        <v>84</v>
      </c>
      <c r="T34" s="63">
        <f>$B$14</f>
        <v>-7.0000000000000007E-2</v>
      </c>
    </row>
    <row r="35" spans="1:20" ht="18" customHeight="1" x14ac:dyDescent="0.45">
      <c r="A35" s="64"/>
      <c r="B35" s="54" t="s">
        <v>220</v>
      </c>
      <c r="C35" s="56">
        <v>7.0000000000000007E-2</v>
      </c>
      <c r="D35" s="56">
        <v>0.13</v>
      </c>
      <c r="E35" s="56">
        <v>0.22</v>
      </c>
      <c r="F35" s="56">
        <v>0.17100000000000001</v>
      </c>
      <c r="G35" s="57">
        <f>IF($B$9=1,MAX(0,MIN(0.95,E35+$B$148))*(1-F35),MAX(0,MIN(0.95,E35+$B$148)))</f>
        <v>0.18237999999999999</v>
      </c>
      <c r="H35" s="58">
        <f>(1-G35)+G35/$B$6</f>
        <v>0.88275571428571431</v>
      </c>
      <c r="I35" s="57">
        <f>H35/H34-1</f>
        <v>-1.994125316018025E-2</v>
      </c>
      <c r="J35" s="65">
        <f>(1+C35+$B$146)*(1+D35+$B$147)*(1+I35)-1</f>
        <v>0.18498903080402607</v>
      </c>
      <c r="K35" s="56">
        <v>0.24</v>
      </c>
      <c r="L35" s="66">
        <f>J35-(K35+$B$149)</f>
        <v>-6.5010969195973933E-2</v>
      </c>
      <c r="M35" s="66">
        <f>(1+M34)*(1+J35)/(1+K35+$B$149)-1</f>
        <v>-0.1183681610818047</v>
      </c>
      <c r="O35" s="67">
        <f>MAX(0,MIN(0.95,E35+$B$148))*(1-F35)</f>
        <v>0.18237999999999999</v>
      </c>
      <c r="P35" s="68">
        <f>(1-O35)+O35/$B$6</f>
        <v>0.88275571428571431</v>
      </c>
      <c r="Q35" s="67">
        <f>P35/P34-1</f>
        <v>-1.994125316018025E-2</v>
      </c>
      <c r="R35" s="67">
        <f>(1+C35+$B$146)*(1+D35+$B$147)*(1+Q35)-1</f>
        <v>0.18498903080402607</v>
      </c>
      <c r="S35" s="69">
        <f>R35-(K35+$B$149)</f>
        <v>-6.5010969195973933E-2</v>
      </c>
      <c r="T35" s="69">
        <f>(1+T34)*(1+R35)/(1+K35+$B$149)-1</f>
        <v>-0.1183681610818047</v>
      </c>
    </row>
    <row r="36" spans="1:20" ht="18" customHeight="1" x14ac:dyDescent="0.45">
      <c r="A36" s="64"/>
      <c r="B36" s="54" t="s">
        <v>79</v>
      </c>
      <c r="C36" s="56">
        <v>0.13</v>
      </c>
      <c r="D36" s="56">
        <v>0.15</v>
      </c>
      <c r="E36" s="56">
        <v>0.24</v>
      </c>
      <c r="F36" s="56">
        <v>0.18099999999999999</v>
      </c>
      <c r="G36" s="57">
        <f>IF($B$9=1,MAX(0,MIN(0.95,E36+$B$148))*(1-F36),MAX(0,MIN(0.95,E36+$B$148)))</f>
        <v>0.19655999999999998</v>
      </c>
      <c r="H36" s="58">
        <f>(1-G36)+G36/$B$6</f>
        <v>0.87364000000000008</v>
      </c>
      <c r="I36" s="57">
        <f>H36/H35-1</f>
        <v>-1.0326429088131417E-2</v>
      </c>
      <c r="J36" s="65">
        <f>(1+C36+$B$146)*(1+D36+$B$147)*(1+I36)-1</f>
        <v>0.28608080539997305</v>
      </c>
      <c r="K36" s="56">
        <v>0.18</v>
      </c>
      <c r="L36" s="66">
        <f>J36-(K36+$B$149)</f>
        <v>9.6080805399973046E-2</v>
      </c>
      <c r="M36" s="66">
        <f>(1+M35)*(1+J36)/(1+K36+$B$149)-1</f>
        <v>-4.718505423346897E-2</v>
      </c>
      <c r="O36" s="67">
        <f>MAX(0,MIN(0.95,E36+$B$148))*(1-F36)</f>
        <v>0.19655999999999998</v>
      </c>
      <c r="P36" s="68">
        <f>(1-O36)+O36/$B$6</f>
        <v>0.87364000000000008</v>
      </c>
      <c r="Q36" s="67">
        <f>P36/P35-1</f>
        <v>-1.0326429088131417E-2</v>
      </c>
      <c r="R36" s="67">
        <f>(1+C36+$B$146)*(1+D36+$B$147)*(1+Q36)-1</f>
        <v>0.28608080539997305</v>
      </c>
      <c r="S36" s="69">
        <f>R36-(K36+$B$149)</f>
        <v>9.6080805399973046E-2</v>
      </c>
      <c r="T36" s="69">
        <f>(1+T35)*(1+R36)/(1+K36+$B$149)-1</f>
        <v>-4.718505423346897E-2</v>
      </c>
    </row>
    <row r="37" spans="1:20" ht="18" customHeight="1" x14ac:dyDescent="0.45">
      <c r="A37" s="64"/>
      <c r="B37" s="54" t="s">
        <v>80</v>
      </c>
      <c r="C37" s="56">
        <v>0.24</v>
      </c>
      <c r="D37" s="56">
        <v>0.15</v>
      </c>
      <c r="E37" s="56">
        <v>0.2</v>
      </c>
      <c r="F37" s="56">
        <v>0.185</v>
      </c>
      <c r="G37" s="57">
        <f>IF($B$9=1,MAX(0,MIN(0.95,E37+$B$148))*(1-F37),MAX(0,MIN(0.95,E37+$B$148)))</f>
        <v>0.16300000000000001</v>
      </c>
      <c r="H37" s="58">
        <f>(1-G37)+G37/$B$6</f>
        <v>0.89521428571428574</v>
      </c>
      <c r="I37" s="57">
        <f>H37/H36-1</f>
        <v>2.4694709164284623E-2</v>
      </c>
      <c r="J37" s="65">
        <f>(1+C37+$B$146)*(1+D37+$B$147)*(1+I37)-1</f>
        <v>0.46121465526826988</v>
      </c>
      <c r="K37" s="56">
        <v>0.16</v>
      </c>
      <c r="L37" s="66">
        <f>J37-(K37+$B$149)</f>
        <v>0.29121465526826984</v>
      </c>
      <c r="M37" s="66">
        <f>(1+M36)*(1+J37)/(1+K37+$B$149)-1</f>
        <v>0.18997193377153598</v>
      </c>
      <c r="O37" s="67">
        <f>MAX(0,MIN(0.95,E37+$B$148))*(1-F37)</f>
        <v>0.16300000000000001</v>
      </c>
      <c r="P37" s="68">
        <f>(1-O37)+O37/$B$6</f>
        <v>0.89521428571428574</v>
      </c>
      <c r="Q37" s="67">
        <f>P37/P36-1</f>
        <v>2.4694709164284623E-2</v>
      </c>
      <c r="R37" s="67">
        <f>(1+C37+$B$146)*(1+D37+$B$147)*(1+Q37)-1</f>
        <v>0.46121465526826988</v>
      </c>
      <c r="S37" s="69">
        <f>R37-(K37+$B$149)</f>
        <v>0.29121465526826984</v>
      </c>
      <c r="T37" s="69">
        <f>(1+T36)*(1+R37)/(1+K37+$B$149)-1</f>
        <v>0.18997193377153598</v>
      </c>
    </row>
    <row r="38" spans="1:20" ht="17.25" customHeight="1" x14ac:dyDescent="0.45">
      <c r="A38" s="172" t="s">
        <v>227</v>
      </c>
      <c r="B38" s="172"/>
      <c r="C38" s="172"/>
      <c r="D38" s="172"/>
      <c r="E38" s="172"/>
      <c r="F38" s="172"/>
      <c r="G38" s="172"/>
      <c r="H38" s="172"/>
      <c r="I38" s="172"/>
      <c r="J38" s="172"/>
      <c r="K38" s="172"/>
      <c r="L38" s="172"/>
      <c r="M38" s="172"/>
    </row>
    <row r="39" spans="1:20" ht="18" customHeight="1" x14ac:dyDescent="0.45">
      <c r="A39" s="53" t="s">
        <v>228</v>
      </c>
      <c r="B39" s="54" t="s">
        <v>219</v>
      </c>
      <c r="C39" s="55" t="s">
        <v>84</v>
      </c>
      <c r="D39" s="55" t="s">
        <v>84</v>
      </c>
      <c r="E39" s="56">
        <v>0.18</v>
      </c>
      <c r="F39" s="56">
        <v>0.14199999999999999</v>
      </c>
      <c r="G39" s="57">
        <f>IF($B$9=1,E39*(1-F39),E39)</f>
        <v>0.15443999999999999</v>
      </c>
      <c r="H39" s="58">
        <f>(1-G39)+G39/$B$6</f>
        <v>0.90071714285714288</v>
      </c>
      <c r="I39" s="55" t="s">
        <v>84</v>
      </c>
      <c r="J39" s="55" t="s">
        <v>84</v>
      </c>
      <c r="K39" s="55" t="s">
        <v>84</v>
      </c>
      <c r="L39" s="55" t="s">
        <v>84</v>
      </c>
      <c r="M39" s="59">
        <f>$B$14</f>
        <v>-7.0000000000000007E-2</v>
      </c>
      <c r="O39" s="60">
        <f>E39*(1-F39)</f>
        <v>0.15443999999999999</v>
      </c>
      <c r="P39" s="61">
        <f>(1-O39)+O39/$B$6</f>
        <v>0.90071714285714288</v>
      </c>
      <c r="Q39" s="62" t="s">
        <v>84</v>
      </c>
      <c r="R39" s="62" t="s">
        <v>84</v>
      </c>
      <c r="S39" s="62" t="s">
        <v>84</v>
      </c>
      <c r="T39" s="63">
        <f>$B$14</f>
        <v>-7.0000000000000007E-2</v>
      </c>
    </row>
    <row r="40" spans="1:20" ht="18" customHeight="1" x14ac:dyDescent="0.45">
      <c r="A40" s="64"/>
      <c r="B40" s="54" t="s">
        <v>220</v>
      </c>
      <c r="C40" s="56">
        <v>7.0000000000000007E-2</v>
      </c>
      <c r="D40" s="56">
        <v>0.13</v>
      </c>
      <c r="E40" s="56">
        <v>0.22</v>
      </c>
      <c r="F40" s="56">
        <v>0.17100000000000001</v>
      </c>
      <c r="G40" s="57">
        <f>IF($B$9=1,MAX(0,MIN(0.95,E40+$B$148))*(1-F40),MAX(0,MIN(0.95,E40+$B$148)))</f>
        <v>0.18237999999999999</v>
      </c>
      <c r="H40" s="58">
        <f>(1-G40)+G40/$B$6</f>
        <v>0.88275571428571431</v>
      </c>
      <c r="I40" s="57">
        <f>H40/H39-1</f>
        <v>-1.994125316018025E-2</v>
      </c>
      <c r="J40" s="65">
        <f>(1+C40+$B$146)*(1+D40+$B$147)*(1+I40)-1</f>
        <v>0.18498903080402607</v>
      </c>
      <c r="K40" s="56">
        <v>0.18</v>
      </c>
      <c r="L40" s="66">
        <f>J40-(K40+$B$149)</f>
        <v>-5.0109691959739355E-3</v>
      </c>
      <c r="M40" s="66">
        <f>(1+M39)*(1+J40)/(1+K40+$B$149)-1</f>
        <v>-7.3916135590130883E-2</v>
      </c>
      <c r="O40" s="67">
        <f>MAX(0,MIN(0.95,E40+$B$148))*(1-F40)</f>
        <v>0.18237999999999999</v>
      </c>
      <c r="P40" s="68">
        <f>(1-O40)+O40/$B$6</f>
        <v>0.88275571428571431</v>
      </c>
      <c r="Q40" s="67">
        <f>P40/P39-1</f>
        <v>-1.994125316018025E-2</v>
      </c>
      <c r="R40" s="67">
        <f>(1+C40+$B$146)*(1+D40+$B$147)*(1+Q40)-1</f>
        <v>0.18498903080402607</v>
      </c>
      <c r="S40" s="69">
        <f>R40-(K40+$B$149)</f>
        <v>-5.0109691959739355E-3</v>
      </c>
      <c r="T40" s="69">
        <f>(1+T39)*(1+R40)/(1+K40+$B$149)-1</f>
        <v>-7.3916135590130883E-2</v>
      </c>
    </row>
    <row r="41" spans="1:20" ht="18" customHeight="1" x14ac:dyDescent="0.45">
      <c r="A41" s="64"/>
      <c r="B41" s="54" t="s">
        <v>79</v>
      </c>
      <c r="C41" s="56">
        <v>0.14000000000000001</v>
      </c>
      <c r="D41" s="56">
        <v>0.16</v>
      </c>
      <c r="E41" s="56">
        <v>0.2</v>
      </c>
      <c r="F41" s="56">
        <v>0.18099999999999999</v>
      </c>
      <c r="G41" s="57">
        <f>IF($B$9=1,MAX(0,MIN(0.95,E41+$B$148))*(1-F41),MAX(0,MIN(0.95,E41+$B$148)))</f>
        <v>0.1638</v>
      </c>
      <c r="H41" s="58">
        <f>(1-G41)+G41/$B$6</f>
        <v>0.89470000000000005</v>
      </c>
      <c r="I41" s="57">
        <f>H41/H40-1</f>
        <v>1.3530680709272547E-2</v>
      </c>
      <c r="J41" s="65">
        <f>(1+C41+$B$146)*(1+D41+$B$147)*(1+I41)-1</f>
        <v>0.34029297216994214</v>
      </c>
      <c r="K41" s="56">
        <v>0.12</v>
      </c>
      <c r="L41" s="66">
        <f>J41-(K41+$B$149)</f>
        <v>0.21029297216994214</v>
      </c>
      <c r="M41" s="66">
        <f>(1+M40)*(1+J41)/(1+K41+$B$149)-1</f>
        <v>9.8428048768609777E-2</v>
      </c>
      <c r="O41" s="67">
        <f>MAX(0,MIN(0.95,E41+$B$148))*(1-F41)</f>
        <v>0.1638</v>
      </c>
      <c r="P41" s="68">
        <f>(1-O41)+O41/$B$6</f>
        <v>0.89470000000000005</v>
      </c>
      <c r="Q41" s="67">
        <f>P41/P40-1</f>
        <v>1.3530680709272547E-2</v>
      </c>
      <c r="R41" s="67">
        <f>(1+C41+$B$146)*(1+D41+$B$147)*(1+Q41)-1</f>
        <v>0.34029297216994214</v>
      </c>
      <c r="S41" s="69">
        <f>R41-(K41+$B$149)</f>
        <v>0.21029297216994214</v>
      </c>
      <c r="T41" s="69">
        <f>(1+T40)*(1+R41)/(1+K41+$B$149)-1</f>
        <v>9.8428048768609777E-2</v>
      </c>
    </row>
    <row r="42" spans="1:20" ht="18" customHeight="1" x14ac:dyDescent="0.45">
      <c r="A42" s="64"/>
      <c r="B42" s="54" t="s">
        <v>80</v>
      </c>
      <c r="C42" s="56">
        <v>0.26</v>
      </c>
      <c r="D42" s="56">
        <v>0.16</v>
      </c>
      <c r="E42" s="56">
        <v>0.15</v>
      </c>
      <c r="F42" s="56">
        <v>0.185</v>
      </c>
      <c r="G42" s="57">
        <f>IF($B$9=1,MAX(0,MIN(0.95,E42+$B$148))*(1-F42),MAX(0,MIN(0.95,E42+$B$148)))</f>
        <v>0.12224999999999998</v>
      </c>
      <c r="H42" s="58">
        <f>(1-G42)+G42/$B$6</f>
        <v>0.92141071428571431</v>
      </c>
      <c r="I42" s="57">
        <f>H42/H41-1</f>
        <v>2.9854380558527183E-2</v>
      </c>
      <c r="J42" s="65">
        <f>(1+C42+$B$146)*(1+D42+$B$147)*(1+I42)-1</f>
        <v>0.50523516262434343</v>
      </c>
      <c r="K42" s="56">
        <v>-0.08</v>
      </c>
      <c r="L42" s="66">
        <f>J42-(K42+$B$149)</f>
        <v>0.57523516262434349</v>
      </c>
      <c r="M42" s="66">
        <f>(1+M41)*(1+J42)/(1+K42+$B$149)-1</f>
        <v>0.77784142217135321</v>
      </c>
      <c r="O42" s="67">
        <f>MAX(0,MIN(0.95,E42+$B$148))*(1-F42)</f>
        <v>0.12224999999999998</v>
      </c>
      <c r="P42" s="68">
        <f>(1-O42)+O42/$B$6</f>
        <v>0.92141071428571431</v>
      </c>
      <c r="Q42" s="67">
        <f>P42/P41-1</f>
        <v>2.9854380558527183E-2</v>
      </c>
      <c r="R42" s="67">
        <f>(1+C42+$B$146)*(1+D42+$B$147)*(1+Q42)-1</f>
        <v>0.50523516262434343</v>
      </c>
      <c r="S42" s="69">
        <f>R42-(K42+$B$149)</f>
        <v>0.57523516262434349</v>
      </c>
      <c r="T42" s="69">
        <f>(1+T41)*(1+R42)/(1+K42+$B$149)-1</f>
        <v>0.77784142217135321</v>
      </c>
    </row>
    <row r="43" spans="1:20" ht="28.5" customHeight="1" x14ac:dyDescent="0.45">
      <c r="A43" s="172" t="s">
        <v>229</v>
      </c>
      <c r="B43" s="172"/>
      <c r="C43" s="172"/>
      <c r="D43" s="172"/>
      <c r="E43" s="172"/>
      <c r="F43" s="172"/>
      <c r="G43" s="172"/>
      <c r="H43" s="172"/>
      <c r="I43" s="172"/>
      <c r="J43" s="172"/>
      <c r="K43" s="172"/>
      <c r="L43" s="172"/>
      <c r="M43" s="172"/>
    </row>
    <row r="44" spans="1:20" ht="45" customHeight="1" x14ac:dyDescent="0.45">
      <c r="A44" s="166" t="s">
        <v>230</v>
      </c>
      <c r="B44" s="166"/>
      <c r="C44" s="166"/>
      <c r="D44" s="166"/>
      <c r="E44" s="166"/>
      <c r="F44" s="166"/>
      <c r="G44" s="166"/>
      <c r="H44" s="166"/>
      <c r="I44" s="166"/>
      <c r="J44" s="166"/>
      <c r="K44" s="166"/>
      <c r="L44" s="166"/>
      <c r="M44" s="166"/>
    </row>
    <row r="46" spans="1:20" ht="24" customHeight="1" x14ac:dyDescent="0.45">
      <c r="A46" s="12" t="s">
        <v>231</v>
      </c>
      <c r="B46" s="12"/>
      <c r="C46" s="12"/>
      <c r="D46" s="12"/>
      <c r="E46" s="12"/>
      <c r="F46" s="12"/>
      <c r="G46" s="12"/>
      <c r="H46" s="12"/>
      <c r="I46" s="12"/>
      <c r="J46" s="12"/>
      <c r="K46" s="12"/>
      <c r="L46" s="12"/>
      <c r="M46" s="12"/>
    </row>
    <row r="47" spans="1:20" ht="31.5" customHeight="1" x14ac:dyDescent="0.45">
      <c r="A47" s="19" t="s">
        <v>200</v>
      </c>
      <c r="B47" s="19" t="s">
        <v>232</v>
      </c>
      <c r="C47" s="19" t="s">
        <v>233</v>
      </c>
      <c r="D47" s="19" t="s">
        <v>78</v>
      </c>
      <c r="E47" s="19" t="s">
        <v>79</v>
      </c>
      <c r="F47" s="19" t="s">
        <v>80</v>
      </c>
      <c r="G47" s="19" t="s">
        <v>234</v>
      </c>
    </row>
    <row r="48" spans="1:20" ht="18" customHeight="1" x14ac:dyDescent="0.45">
      <c r="A48" s="23" t="s">
        <v>218</v>
      </c>
      <c r="B48" s="70">
        <f>$B$151</f>
        <v>0.16</v>
      </c>
      <c r="C48" s="71">
        <f>B48</f>
        <v>0.16</v>
      </c>
      <c r="D48" s="72">
        <f>L20</f>
        <v>-0.12501096919597393</v>
      </c>
      <c r="E48" s="72">
        <f>L21</f>
        <v>-0.19461840373246736</v>
      </c>
      <c r="F48" s="72">
        <f>L22</f>
        <v>-0.10386131377970509</v>
      </c>
      <c r="G48" s="73" t="str">
        <f t="shared" ref="G48:G54" si="0">IF(D48&gt;0,"2026",IF(E48&gt;0,"2027",IF(F48&gt;0,"2028","not within 3 yrs")))</f>
        <v>not within 3 yrs</v>
      </c>
    </row>
    <row r="49" spans="1:13" ht="18" customHeight="1" x14ac:dyDescent="0.45">
      <c r="A49" s="23" t="s">
        <v>222</v>
      </c>
      <c r="B49" s="70">
        <f>$B$152</f>
        <v>0.4</v>
      </c>
      <c r="C49" s="71">
        <f>C48+B49</f>
        <v>0.56000000000000005</v>
      </c>
      <c r="D49" s="74">
        <f>L25</f>
        <v>-0.10501096919597397</v>
      </c>
      <c r="E49" s="74">
        <f>L26</f>
        <v>-9.4810099542180337E-2</v>
      </c>
      <c r="F49" s="74">
        <f>L27</f>
        <v>2.2756561792224961E-2</v>
      </c>
      <c r="G49" s="73" t="str">
        <f t="shared" si="0"/>
        <v>2028</v>
      </c>
    </row>
    <row r="50" spans="1:13" ht="18" customHeight="1" x14ac:dyDescent="0.45">
      <c r="A50" s="23" t="s">
        <v>224</v>
      </c>
      <c r="B50" s="70">
        <f>$B$153</f>
        <v>0.27</v>
      </c>
      <c r="C50" s="71">
        <f>C49+B50</f>
        <v>0.83000000000000007</v>
      </c>
      <c r="D50" s="72">
        <f>L30</f>
        <v>-8.5010969195973951E-2</v>
      </c>
      <c r="E50" s="72">
        <f>L31</f>
        <v>2.3154457550948526E-2</v>
      </c>
      <c r="F50" s="72">
        <f>L32</f>
        <v>0.18381095364322747</v>
      </c>
      <c r="G50" s="73" t="str">
        <f t="shared" si="0"/>
        <v>2027</v>
      </c>
    </row>
    <row r="51" spans="1:13" ht="18" customHeight="1" x14ac:dyDescent="0.45">
      <c r="A51" s="23" t="s">
        <v>226</v>
      </c>
      <c r="B51" s="70">
        <f>$B$154</f>
        <v>0.17</v>
      </c>
      <c r="C51" s="71">
        <f>C50+B51</f>
        <v>1</v>
      </c>
      <c r="D51" s="72">
        <f>L35</f>
        <v>-6.5010969195973933E-2</v>
      </c>
      <c r="E51" s="72">
        <f>L36</f>
        <v>9.6080805399973046E-2</v>
      </c>
      <c r="F51" s="72">
        <f>L37</f>
        <v>0.29121465526826984</v>
      </c>
      <c r="G51" s="73" t="str">
        <f t="shared" si="0"/>
        <v>2027</v>
      </c>
    </row>
    <row r="52" spans="1:13" ht="18" customHeight="1" x14ac:dyDescent="0.45">
      <c r="A52" s="23" t="s">
        <v>228</v>
      </c>
      <c r="B52" s="70">
        <f>$B$155</f>
        <v>0</v>
      </c>
      <c r="C52" s="71">
        <f>C51+B52</f>
        <v>1</v>
      </c>
      <c r="D52" s="72">
        <f>L40</f>
        <v>-5.0109691959739355E-3</v>
      </c>
      <c r="E52" s="72">
        <f>L41</f>
        <v>0.21029297216994214</v>
      </c>
      <c r="F52" s="72">
        <f>L42</f>
        <v>0.57523516262434349</v>
      </c>
      <c r="G52" s="73" t="str">
        <f t="shared" si="0"/>
        <v>2027</v>
      </c>
    </row>
    <row r="53" spans="1:13" ht="21" customHeight="1" x14ac:dyDescent="0.45">
      <c r="A53" s="75" t="s">
        <v>235</v>
      </c>
      <c r="B53" s="70">
        <f>SUM(B48:B52)</f>
        <v>1</v>
      </c>
      <c r="C53" s="76" t="s">
        <v>236</v>
      </c>
      <c r="D53" s="77">
        <f>SUMPRODUCT($B$48:$B$52,D48:D52)</f>
        <v>-9.6010969195973961E-2</v>
      </c>
      <c r="E53" s="77">
        <f>SUMPRODUCT($B$48:$B$52,E48:E52)</f>
        <v>-4.647754395731539E-2</v>
      </c>
      <c r="F53" s="77">
        <f>SUMPRODUCT($B$48:$B$52,F48:F52)</f>
        <v>9.1620263391414464E-2</v>
      </c>
      <c r="G53" s="73" t="str">
        <f t="shared" si="0"/>
        <v>2028</v>
      </c>
    </row>
    <row r="54" spans="1:13" ht="21" customHeight="1" x14ac:dyDescent="0.45">
      <c r="A54" s="75" t="s">
        <v>237</v>
      </c>
      <c r="B54" s="70">
        <f>SUM(B48:B52)</f>
        <v>1</v>
      </c>
      <c r="C54" s="76" t="s">
        <v>236</v>
      </c>
      <c r="D54" s="77">
        <f>INDEX(D48:D52,IFERROR(MATCH(0.5,$C$48:$C$52,1)+1,1))</f>
        <v>-0.10501096919597397</v>
      </c>
      <c r="E54" s="77">
        <f>INDEX(E48:E52,IFERROR(MATCH(0.5,$C$48:$C$52,1)+1,1))</f>
        <v>-9.4810099542180337E-2</v>
      </c>
      <c r="F54" s="77">
        <f>INDEX(F48:F52,IFERROR(MATCH(0.5,$C$48:$C$52,1)+1,1))</f>
        <v>2.2756561792224961E-2</v>
      </c>
      <c r="G54" s="73" t="str">
        <f t="shared" si="0"/>
        <v>2028</v>
      </c>
    </row>
    <row r="55" spans="1:13" ht="33" customHeight="1" x14ac:dyDescent="0.45">
      <c r="A55" s="8" t="s">
        <v>238</v>
      </c>
      <c r="B55" s="8"/>
      <c r="C55" s="8"/>
      <c r="D55" s="8"/>
      <c r="E55" s="8"/>
      <c r="F55" s="8"/>
      <c r="G55" s="8"/>
      <c r="H55" s="8"/>
      <c r="I55" s="8"/>
      <c r="J55" s="8"/>
      <c r="K55" s="8"/>
      <c r="L55" s="8"/>
      <c r="M55" s="8"/>
    </row>
    <row r="57" spans="1:13" ht="24" customHeight="1" x14ac:dyDescent="0.45">
      <c r="A57" s="12" t="s">
        <v>239</v>
      </c>
      <c r="B57" s="12"/>
      <c r="C57" s="12"/>
      <c r="D57" s="12"/>
      <c r="E57" s="12"/>
      <c r="F57" s="12"/>
      <c r="G57" s="12"/>
      <c r="H57" s="12"/>
      <c r="I57" s="12"/>
      <c r="J57" s="12"/>
      <c r="K57" s="12"/>
      <c r="L57" s="12"/>
      <c r="M57" s="12"/>
    </row>
    <row r="58" spans="1:13" ht="31.5" customHeight="1" x14ac:dyDescent="0.45">
      <c r="A58" s="19" t="s">
        <v>200</v>
      </c>
      <c r="B58" s="19" t="s">
        <v>232</v>
      </c>
      <c r="C58" s="19" t="s">
        <v>233</v>
      </c>
      <c r="D58" s="19" t="s">
        <v>77</v>
      </c>
      <c r="E58" s="19" t="s">
        <v>78</v>
      </c>
      <c r="F58" s="19" t="s">
        <v>79</v>
      </c>
      <c r="G58" s="19" t="s">
        <v>80</v>
      </c>
      <c r="H58" s="19" t="s">
        <v>82</v>
      </c>
    </row>
    <row r="59" spans="1:13" ht="18" customHeight="1" x14ac:dyDescent="0.45">
      <c r="A59" s="23" t="s">
        <v>218</v>
      </c>
      <c r="B59" s="70">
        <f>B48</f>
        <v>0.16</v>
      </c>
      <c r="C59" s="71">
        <f>B59</f>
        <v>0.16</v>
      </c>
      <c r="D59" s="72">
        <f>M19</f>
        <v>-7.0000000000000007E-2</v>
      </c>
      <c r="E59" s="72">
        <f>M20</f>
        <v>-0.15874824530706555</v>
      </c>
      <c r="F59" s="72">
        <f>M21</f>
        <v>-0.28184830067208522</v>
      </c>
      <c r="G59" s="72">
        <f>M22</f>
        <v>-0.33966859445915887</v>
      </c>
      <c r="H59" s="73" t="str">
        <f t="shared" ref="H59:H65" si="1">IF(F59&gt;0,"filled in 2027",IF(G59&gt;0,"filled in 2028","not filled in 3 yrs"))</f>
        <v>not filled in 3 yrs</v>
      </c>
    </row>
    <row r="60" spans="1:13" ht="18" customHeight="1" x14ac:dyDescent="0.45">
      <c r="A60" s="23" t="s">
        <v>222</v>
      </c>
      <c r="B60" s="70">
        <f>B49</f>
        <v>0.4</v>
      </c>
      <c r="C60" s="71">
        <f>C59+B60</f>
        <v>0.56000000000000005</v>
      </c>
      <c r="D60" s="74">
        <f>M24</f>
        <v>-7.0000000000000007E-2</v>
      </c>
      <c r="E60" s="74">
        <f>M25</f>
        <v>-0.14570558244360921</v>
      </c>
      <c r="F60" s="74">
        <f>M26</f>
        <v>-0.20948175470097175</v>
      </c>
      <c r="G60" s="74">
        <f>M27</f>
        <v>-0.19509017286334895</v>
      </c>
      <c r="H60" s="73" t="str">
        <f t="shared" si="1"/>
        <v>not filled in 3 yrs</v>
      </c>
    </row>
    <row r="61" spans="1:13" ht="18" customHeight="1" x14ac:dyDescent="0.45">
      <c r="A61" s="23" t="s">
        <v>224</v>
      </c>
      <c r="B61" s="70">
        <f>B50</f>
        <v>0.27</v>
      </c>
      <c r="C61" s="71">
        <f>C60+B61</f>
        <v>0.83000000000000007</v>
      </c>
      <c r="D61" s="72">
        <f>M29</f>
        <v>-7.0000000000000007E-2</v>
      </c>
      <c r="E61" s="72">
        <f>M30</f>
        <v>-0.13225212704902034</v>
      </c>
      <c r="F61" s="72">
        <f>M31</f>
        <v>-0.11564697722326045</v>
      </c>
      <c r="G61" s="72">
        <f>M32</f>
        <v>2.0952831578305409E-2</v>
      </c>
      <c r="H61" s="73" t="str">
        <f t="shared" si="1"/>
        <v>filled in 2028</v>
      </c>
    </row>
    <row r="62" spans="1:13" ht="18" customHeight="1" x14ac:dyDescent="0.45">
      <c r="A62" s="23" t="s">
        <v>226</v>
      </c>
      <c r="B62" s="70">
        <f>B51</f>
        <v>0.17</v>
      </c>
      <c r="C62" s="71">
        <f>C61+B62</f>
        <v>1</v>
      </c>
      <c r="D62" s="72">
        <f>M34</f>
        <v>-7.0000000000000007E-2</v>
      </c>
      <c r="E62" s="72">
        <f>M35</f>
        <v>-0.1183681610818047</v>
      </c>
      <c r="F62" s="72">
        <f>M36</f>
        <v>-4.718505423346897E-2</v>
      </c>
      <c r="G62" s="72">
        <f>M37</f>
        <v>0.18997193377153598</v>
      </c>
      <c r="H62" s="73" t="str">
        <f t="shared" si="1"/>
        <v>filled in 2028</v>
      </c>
    </row>
    <row r="63" spans="1:13" ht="18" customHeight="1" x14ac:dyDescent="0.45">
      <c r="A63" s="23" t="s">
        <v>228</v>
      </c>
      <c r="B63" s="70">
        <f>B52</f>
        <v>0</v>
      </c>
      <c r="C63" s="71">
        <f>C62+B63</f>
        <v>1</v>
      </c>
      <c r="D63" s="72">
        <f>M39</f>
        <v>-7.0000000000000007E-2</v>
      </c>
      <c r="E63" s="72">
        <f>M40</f>
        <v>-7.3916135590130883E-2</v>
      </c>
      <c r="F63" s="72">
        <f>M41</f>
        <v>9.8428048768609777E-2</v>
      </c>
      <c r="G63" s="72">
        <f>M42</f>
        <v>0.77784142217135321</v>
      </c>
      <c r="H63" s="73" t="str">
        <f t="shared" si="1"/>
        <v>filled in 2027</v>
      </c>
    </row>
    <row r="64" spans="1:13" ht="21" customHeight="1" x14ac:dyDescent="0.45">
      <c r="A64" s="75" t="s">
        <v>235</v>
      </c>
      <c r="B64" s="42"/>
      <c r="C64" s="42"/>
      <c r="D64" s="77">
        <f>SUMPRODUCT($B$59:$B$63,D59:D63)</f>
        <v>-7.0000000000000021E-2</v>
      </c>
      <c r="E64" s="77">
        <f>SUMPRODUCT($B$59:$B$63,E59:E63)</f>
        <v>-0.13951261391371647</v>
      </c>
      <c r="F64" s="77">
        <f>SUMPRODUCT($B$59:$B$63,F59:F63)</f>
        <v>-0.16813457305789237</v>
      </c>
      <c r="G64" s="77">
        <f>SUMPRODUCT($B$59:$B$63,G59:G63)</f>
        <v>-9.4430550991501438E-2</v>
      </c>
      <c r="H64" s="73" t="str">
        <f t="shared" si="1"/>
        <v>not filled in 3 yrs</v>
      </c>
    </row>
    <row r="65" spans="1:13" ht="21" customHeight="1" x14ac:dyDescent="0.45">
      <c r="A65" s="75" t="s">
        <v>237</v>
      </c>
      <c r="B65" s="42"/>
      <c r="C65" s="42"/>
      <c r="D65" s="77">
        <f>INDEX(D59:D63,IFERROR(MATCH(0.5,$C$59:$C$63,1)+1,1))</f>
        <v>-7.0000000000000007E-2</v>
      </c>
      <c r="E65" s="77">
        <f>INDEX(E59:E63,IFERROR(MATCH(0.5,$C$59:$C$63,1)+1,1))</f>
        <v>-0.14570558244360921</v>
      </c>
      <c r="F65" s="77">
        <f>INDEX(F59:F63,IFERROR(MATCH(0.5,$C$59:$C$63,1)+1,1))</f>
        <v>-0.20948175470097175</v>
      </c>
      <c r="G65" s="77">
        <f>INDEX(G59:G63,IFERROR(MATCH(0.5,$C$59:$C$63,1)+1,1))</f>
        <v>-0.19509017286334895</v>
      </c>
      <c r="H65" s="73" t="str">
        <f t="shared" si="1"/>
        <v>not filled in 3 yrs</v>
      </c>
    </row>
    <row r="66" spans="1:13" ht="33" customHeight="1" x14ac:dyDescent="0.45">
      <c r="A66" s="8" t="s">
        <v>240</v>
      </c>
      <c r="B66" s="8"/>
      <c r="C66" s="8"/>
      <c r="D66" s="8"/>
      <c r="E66" s="8"/>
      <c r="F66" s="8"/>
      <c r="G66" s="8"/>
      <c r="H66" s="8"/>
      <c r="I66" s="8"/>
      <c r="J66" s="8"/>
      <c r="K66" s="8"/>
      <c r="L66" s="8"/>
      <c r="M66" s="8"/>
    </row>
    <row r="67" spans="1:13" ht="33" customHeight="1" x14ac:dyDescent="0.45">
      <c r="A67" s="8" t="s">
        <v>241</v>
      </c>
      <c r="B67" s="8"/>
      <c r="C67" s="8"/>
      <c r="D67" s="8"/>
      <c r="E67" s="8"/>
      <c r="F67" s="8"/>
      <c r="G67" s="8"/>
      <c r="H67" s="8"/>
      <c r="I67" s="8"/>
      <c r="J67" s="8"/>
      <c r="K67" s="8"/>
      <c r="L67" s="8"/>
      <c r="M67" s="8"/>
    </row>
    <row r="69" spans="1:13" ht="24" customHeight="1" x14ac:dyDescent="0.45">
      <c r="A69" s="12" t="s">
        <v>242</v>
      </c>
      <c r="B69" s="12"/>
      <c r="C69" s="12"/>
      <c r="D69" s="12"/>
      <c r="E69" s="12"/>
      <c r="F69" s="12"/>
      <c r="G69" s="12"/>
      <c r="H69" s="12"/>
      <c r="I69" s="12"/>
      <c r="J69" s="12"/>
      <c r="K69" s="12"/>
      <c r="L69" s="12"/>
      <c r="M69" s="12"/>
    </row>
    <row r="70" spans="1:13" ht="45" customHeight="1" x14ac:dyDescent="0.45">
      <c r="A70" s="19" t="s">
        <v>105</v>
      </c>
      <c r="B70" s="19" t="s">
        <v>243</v>
      </c>
      <c r="C70" s="19" t="s">
        <v>244</v>
      </c>
      <c r="D70" s="19" t="s">
        <v>245</v>
      </c>
      <c r="E70" s="19" t="s">
        <v>246</v>
      </c>
      <c r="F70" s="7" t="s">
        <v>247</v>
      </c>
      <c r="G70" s="7"/>
      <c r="H70" s="7"/>
      <c r="I70" s="7"/>
      <c r="J70" s="7"/>
      <c r="K70" s="7"/>
      <c r="L70" s="7"/>
      <c r="M70" s="7"/>
    </row>
    <row r="71" spans="1:13" ht="18.75" customHeight="1" x14ac:dyDescent="0.45">
      <c r="A71" s="35" t="s">
        <v>78</v>
      </c>
      <c r="B71" s="72">
        <f>C25+$B$146</f>
        <v>7.0000000000000007E-2</v>
      </c>
      <c r="C71" s="72">
        <f>(1+C25+$B$146)*(D25+$B$147)</f>
        <v>0.1391</v>
      </c>
      <c r="D71" s="78">
        <f>(1+C25+$B$146)*(1+D25+$B$147)*I25</f>
        <v>-2.4110969195973941E-2</v>
      </c>
      <c r="E71" s="79">
        <f>B71+C71+D71</f>
        <v>0.18498903080402607</v>
      </c>
      <c r="F71" s="173" t="s">
        <v>248</v>
      </c>
      <c r="G71" s="173"/>
      <c r="H71" s="173"/>
      <c r="I71" s="173"/>
      <c r="J71" s="173"/>
      <c r="K71" s="173"/>
      <c r="L71" s="173"/>
      <c r="M71" s="173"/>
    </row>
    <row r="72" spans="1:13" ht="18.75" customHeight="1" x14ac:dyDescent="0.45">
      <c r="A72" s="35" t="s">
        <v>79</v>
      </c>
      <c r="B72" s="72">
        <f>C26+$B$146</f>
        <v>0.1</v>
      </c>
      <c r="C72" s="72">
        <f>(1+C26+$B$146)*(D26+$B$147)</f>
        <v>0.13200000000000001</v>
      </c>
      <c r="D72" s="78">
        <f>(1+C26+$B$146)*(1+D26+$B$147)*I26</f>
        <v>-5.6810099542180512E-2</v>
      </c>
      <c r="E72" s="79">
        <f>B72+C72+D72</f>
        <v>0.17518990045781951</v>
      </c>
      <c r="F72" s="173" t="s">
        <v>249</v>
      </c>
      <c r="G72" s="173"/>
      <c r="H72" s="173"/>
      <c r="I72" s="173"/>
      <c r="J72" s="173"/>
      <c r="K72" s="173"/>
      <c r="L72" s="173"/>
      <c r="M72" s="173"/>
    </row>
    <row r="73" spans="1:13" ht="18.75" customHeight="1" x14ac:dyDescent="0.45">
      <c r="A73" s="35" t="s">
        <v>80</v>
      </c>
      <c r="B73" s="72">
        <f>C27+$B$146</f>
        <v>0.16</v>
      </c>
      <c r="C73" s="72">
        <f>(1+C27+$B$146)*(D27+$B$147)</f>
        <v>0.12759999999999999</v>
      </c>
      <c r="D73" s="78">
        <f>(1+C27+$B$146)*(1+D27+$B$147)*I27</f>
        <v>-1.4843438207775011E-2</v>
      </c>
      <c r="E73" s="79">
        <f>B73+C73+D73</f>
        <v>0.27275656179222496</v>
      </c>
      <c r="F73" s="173" t="s">
        <v>250</v>
      </c>
      <c r="G73" s="173"/>
      <c r="H73" s="173"/>
      <c r="I73" s="173"/>
      <c r="J73" s="173"/>
      <c r="K73" s="173"/>
      <c r="L73" s="173"/>
      <c r="M73" s="173"/>
    </row>
    <row r="74" spans="1:13" ht="33" customHeight="1" x14ac:dyDescent="0.45">
      <c r="A74" s="11" t="s">
        <v>251</v>
      </c>
      <c r="B74" s="11"/>
      <c r="C74" s="11"/>
      <c r="D74" s="11"/>
      <c r="E74" s="11"/>
      <c r="F74" s="11"/>
      <c r="G74" s="11"/>
      <c r="H74" s="11"/>
      <c r="I74" s="11"/>
      <c r="J74" s="11"/>
      <c r="K74" s="11"/>
      <c r="L74" s="11"/>
      <c r="M74" s="11"/>
    </row>
    <row r="76" spans="1:13" ht="24" customHeight="1" x14ac:dyDescent="0.45">
      <c r="A76" s="12" t="s">
        <v>252</v>
      </c>
      <c r="B76" s="12"/>
      <c r="C76" s="12"/>
      <c r="D76" s="12"/>
      <c r="E76" s="12"/>
      <c r="F76" s="12"/>
      <c r="G76" s="12"/>
      <c r="H76" s="12"/>
      <c r="I76" s="12"/>
      <c r="J76" s="12"/>
      <c r="K76" s="12"/>
      <c r="L76" s="12"/>
      <c r="M76" s="12"/>
    </row>
    <row r="77" spans="1:13" ht="59.25" customHeight="1" x14ac:dyDescent="0.45">
      <c r="A77" s="19" t="s">
        <v>253</v>
      </c>
      <c r="B77" s="19" t="s">
        <v>175</v>
      </c>
      <c r="C77" s="19" t="s">
        <v>254</v>
      </c>
      <c r="D77" s="19" t="s">
        <v>255</v>
      </c>
      <c r="E77" s="19" t="s">
        <v>256</v>
      </c>
      <c r="F77" s="19" t="s">
        <v>257</v>
      </c>
      <c r="G77" s="19" t="s">
        <v>258</v>
      </c>
      <c r="H77" s="19" t="s">
        <v>259</v>
      </c>
      <c r="I77" s="19" t="s">
        <v>260</v>
      </c>
      <c r="J77" s="7" t="s">
        <v>261</v>
      </c>
      <c r="K77" s="7"/>
      <c r="L77" s="7"/>
      <c r="M77" s="7"/>
    </row>
    <row r="78" spans="1:13" ht="33.75" customHeight="1" x14ac:dyDescent="0.45">
      <c r="A78" s="23" t="s">
        <v>262</v>
      </c>
      <c r="B78" s="80">
        <f>C26+$B$146</f>
        <v>0.1</v>
      </c>
      <c r="C78" s="60">
        <f>(1+C26+$B$146+(-0.04))*(1+D26+$B$147)*(1+I26)-1-(K26+$B$149)</f>
        <v>-0.13754427774064637</v>
      </c>
      <c r="D78" s="60">
        <f>(1+C26+$B$146+(-0.02))*(1+D26+$B$147)*(1+I26)-1-(K26+$B$149)</f>
        <v>-0.11617718864141335</v>
      </c>
      <c r="E78" s="81">
        <f>(1+C26+$B$146+(0))*(1+D26+$B$147)*(1+I26)-1-(K26+$B$149)</f>
        <v>-9.4810099542180337E-2</v>
      </c>
      <c r="F78" s="60">
        <f>(1+C26+$B$146+(0.02))*(1+D26+$B$147)*(1+I26)-1-(K26+$B$149)</f>
        <v>-7.3443010442947321E-2</v>
      </c>
      <c r="G78" s="60">
        <f>(1+C26+$B$146+(0.04))*(1+D26+$B$147)*(1+I26)-1-(K26+$B$149)</f>
        <v>-5.2075921343714304E-2</v>
      </c>
      <c r="H78" s="82">
        <f>(G78-C78)/8*100</f>
        <v>1.0683544549616508</v>
      </c>
      <c r="I78" s="83">
        <f>IF(H78=0,"n/a",-E78/H78*100)</f>
        <v>8.8744048477416229</v>
      </c>
      <c r="J78" s="174" t="s">
        <v>263</v>
      </c>
      <c r="K78" s="174"/>
      <c r="L78" s="174"/>
      <c r="M78" s="174"/>
    </row>
    <row r="79" spans="1:13" ht="33.75" customHeight="1" x14ac:dyDescent="0.45">
      <c r="A79" s="23" t="s">
        <v>264</v>
      </c>
      <c r="B79" s="80">
        <f>D26+$B$147</f>
        <v>0.12</v>
      </c>
      <c r="C79" s="60">
        <f>(1+C26+$B$146)*(1+D26+$B$147+(-0.04))*(1+I26)-1-(K26+$B$149)</f>
        <v>-0.13678116741567381</v>
      </c>
      <c r="D79" s="60">
        <f>(1+C26+$B$146)*(1+D26+$B$147+(-0.02))*(1+I26)-1-(K26+$B$149)</f>
        <v>-0.11579563347892718</v>
      </c>
      <c r="E79" s="81">
        <f>(1+C26+$B$146)*(1+D26+$B$147+(0))*(1+I26)-1-(K26+$B$149)</f>
        <v>-9.4810099542180337E-2</v>
      </c>
      <c r="F79" s="60">
        <f>(1+C26+$B$146)*(1+D26+$B$147+(0.02))*(1+I26)-1-(K26+$B$149)</f>
        <v>-7.382456560543349E-2</v>
      </c>
      <c r="G79" s="60">
        <f>(1+C26+$B$146)*(1+D26+$B$147+(0.04))*(1+I26)-1-(K26+$B$149)</f>
        <v>-5.2839031668686642E-2</v>
      </c>
      <c r="H79" s="82">
        <f>(G79-C79)/8*100</f>
        <v>1.0492766968373397</v>
      </c>
      <c r="I79" s="83">
        <f>IF(H79=0,"n/a",-E79/H79*100)</f>
        <v>9.0357576631550724</v>
      </c>
      <c r="J79" s="174" t="s">
        <v>265</v>
      </c>
      <c r="K79" s="174"/>
      <c r="L79" s="174"/>
      <c r="M79" s="174"/>
    </row>
    <row r="80" spans="1:13" ht="53.25" customHeight="1" x14ac:dyDescent="0.45">
      <c r="A80" s="23" t="s">
        <v>266</v>
      </c>
      <c r="B80" s="80">
        <f>G26</f>
        <v>0.24569999999999997</v>
      </c>
      <c r="C80" s="60">
        <f>(1+C26+$B$146)*(1+D26+$B$147)*(((1-(G26+(-0.04)))+(G26+(-0.04))/$B$6)/H25)-1-(K26+$B$149)</f>
        <v>-5.8922481385401682E-2</v>
      </c>
      <c r="D80" s="60">
        <f>(1+C26+$B$146)*(1+D26+$B$147)*(((1-(G26+(-0.02)))+(G26+(-0.02))/$B$6)/H25)-1-(K26+$B$149)</f>
        <v>-7.686629046379112E-2</v>
      </c>
      <c r="E80" s="81">
        <f>(1+C26+$B$146)*(1+D26+$B$147)*(((1-(G26+(0)))+(G26+(0))/$B$6)/H25)-1-(K26+$B$149)</f>
        <v>-9.4810099542180337E-2</v>
      </c>
      <c r="F80" s="60">
        <f>(1+C26+$B$146)*(1+D26+$B$147)*(((1-(G26+(0.02)))+(G26+(0.02))/$B$6)/H25)-1-(K26+$B$149)</f>
        <v>-0.11275390862056955</v>
      </c>
      <c r="G80" s="60">
        <f>(1+C26+$B$146)*(1+D26+$B$147)*(((1-(G26+(0.04)))+(G26+(0.04))/$B$6)/H25)-1-(K26+$B$149)</f>
        <v>-0.13069771769895877</v>
      </c>
      <c r="H80" s="82">
        <f>(G80-C80)/8*100</f>
        <v>-0.89719045391946362</v>
      </c>
      <c r="I80" s="83">
        <f>IF(H80=0,"n/a",-E80/H80*100)</f>
        <v>-10.56744408369407</v>
      </c>
      <c r="J80" s="174" t="s">
        <v>267</v>
      </c>
      <c r="K80" s="174"/>
      <c r="L80" s="174"/>
      <c r="M80" s="174"/>
    </row>
    <row r="81" spans="1:13" ht="33.75" customHeight="1" x14ac:dyDescent="0.45">
      <c r="A81" s="23" t="s">
        <v>268</v>
      </c>
      <c r="B81" s="80">
        <f>K26+$B$149</f>
        <v>0.27</v>
      </c>
      <c r="C81" s="60">
        <f>J26-(K26+$B$149+(-0.04))</f>
        <v>-5.4810099542180329E-2</v>
      </c>
      <c r="D81" s="60">
        <f>J26-(K26+$B$149+(-0.02))</f>
        <v>-7.4810099542180319E-2</v>
      </c>
      <c r="E81" s="81">
        <f>J26-(K26+$B$149+(0))</f>
        <v>-9.4810099542180337E-2</v>
      </c>
      <c r="F81" s="60">
        <f>J26-(K26+$B$149+(0.02))</f>
        <v>-0.11481009954218035</v>
      </c>
      <c r="G81" s="60">
        <f>J26-(K26+$B$149+(0.04))</f>
        <v>-0.13481009954218032</v>
      </c>
      <c r="H81" s="82">
        <f>(G81-C81)/8*100</f>
        <v>-0.99999999999999989</v>
      </c>
      <c r="I81" s="83">
        <f>IF(H81=0,"n/a",-E81/H81*100)</f>
        <v>-9.4810099542180346</v>
      </c>
      <c r="J81" s="174" t="s">
        <v>269</v>
      </c>
      <c r="K81" s="174"/>
      <c r="L81" s="174"/>
      <c r="M81" s="174"/>
    </row>
    <row r="82" spans="1:13" ht="31.5" customHeight="1" x14ac:dyDescent="0.45">
      <c r="A82" s="8" t="s">
        <v>270</v>
      </c>
      <c r="B82" s="8"/>
      <c r="C82" s="8"/>
      <c r="D82" s="8"/>
      <c r="E82" s="8"/>
      <c r="F82" s="8"/>
      <c r="G82" s="8"/>
      <c r="H82" s="8"/>
      <c r="I82" s="8"/>
      <c r="J82" s="8"/>
      <c r="K82" s="8"/>
      <c r="L82" s="8"/>
      <c r="M82" s="8"/>
    </row>
    <row r="84" spans="1:13" ht="24" customHeight="1" x14ac:dyDescent="0.45">
      <c r="A84" s="12" t="s">
        <v>271</v>
      </c>
      <c r="B84" s="12"/>
      <c r="C84" s="12"/>
      <c r="D84" s="12"/>
      <c r="E84" s="12"/>
      <c r="F84" s="12"/>
      <c r="G84" s="12"/>
      <c r="H84" s="12"/>
      <c r="I84" s="12"/>
      <c r="J84" s="12"/>
      <c r="K84" s="12"/>
      <c r="L84" s="12"/>
      <c r="M84" s="12"/>
    </row>
    <row r="85" spans="1:13" ht="33" customHeight="1" x14ac:dyDescent="0.45">
      <c r="A85" s="11" t="s">
        <v>272</v>
      </c>
      <c r="B85" s="11"/>
      <c r="C85" s="11"/>
      <c r="D85" s="11"/>
      <c r="E85" s="11"/>
      <c r="F85" s="11"/>
      <c r="G85" s="11"/>
      <c r="H85" s="11"/>
      <c r="I85" s="11"/>
      <c r="J85" s="11"/>
      <c r="K85" s="11"/>
      <c r="L85" s="11"/>
      <c r="M85" s="11"/>
    </row>
    <row r="86" spans="1:13" ht="45" customHeight="1" x14ac:dyDescent="0.45">
      <c r="A86" s="19" t="s">
        <v>200</v>
      </c>
      <c r="B86" s="19" t="s">
        <v>232</v>
      </c>
      <c r="C86" s="19" t="s">
        <v>233</v>
      </c>
      <c r="D86" s="19" t="s">
        <v>273</v>
      </c>
      <c r="E86" s="19" t="s">
        <v>274</v>
      </c>
      <c r="F86" s="19" t="s">
        <v>275</v>
      </c>
      <c r="G86" s="19" t="s">
        <v>276</v>
      </c>
      <c r="H86" s="19" t="s">
        <v>277</v>
      </c>
      <c r="I86" s="19" t="s">
        <v>278</v>
      </c>
    </row>
    <row r="87" spans="1:13" ht="18" customHeight="1" x14ac:dyDescent="0.45">
      <c r="A87" s="23" t="s">
        <v>218</v>
      </c>
      <c r="B87" s="70">
        <f>B48</f>
        <v>0.16</v>
      </c>
      <c r="C87" s="71">
        <f>B87</f>
        <v>0.16</v>
      </c>
      <c r="D87" s="72">
        <f>S20</f>
        <v>-0.12501096919597393</v>
      </c>
      <c r="E87" s="72">
        <f>S21</f>
        <v>-0.19461840373246736</v>
      </c>
      <c r="F87" s="72">
        <f>S22</f>
        <v>-0.10386131377970509</v>
      </c>
      <c r="G87" s="72">
        <f>T20</f>
        <v>-0.15874824530706555</v>
      </c>
      <c r="H87" s="72">
        <f>T21</f>
        <v>-0.28184830067208522</v>
      </c>
      <c r="I87" s="72">
        <f>T22</f>
        <v>-0.33966859445915887</v>
      </c>
    </row>
    <row r="88" spans="1:13" ht="18" customHeight="1" x14ac:dyDescent="0.45">
      <c r="A88" s="23" t="s">
        <v>222</v>
      </c>
      <c r="B88" s="70">
        <f>B49</f>
        <v>0.4</v>
      </c>
      <c r="C88" s="71">
        <f>C87+B88</f>
        <v>0.56000000000000005</v>
      </c>
      <c r="D88" s="72">
        <f>S25</f>
        <v>-0.10501096919597397</v>
      </c>
      <c r="E88" s="72">
        <f>S26</f>
        <v>-9.4810099542180337E-2</v>
      </c>
      <c r="F88" s="72">
        <f>S27</f>
        <v>2.2756561792224961E-2</v>
      </c>
      <c r="G88" s="72">
        <f>T25</f>
        <v>-0.14570558244360921</v>
      </c>
      <c r="H88" s="72">
        <f>T26</f>
        <v>-0.20948175470097175</v>
      </c>
      <c r="I88" s="72">
        <f>T27</f>
        <v>-0.19509017286334895</v>
      </c>
    </row>
    <row r="89" spans="1:13" ht="18" customHeight="1" x14ac:dyDescent="0.45">
      <c r="A89" s="23" t="s">
        <v>224</v>
      </c>
      <c r="B89" s="70">
        <f>B50</f>
        <v>0.27</v>
      </c>
      <c r="C89" s="71">
        <f>C88+B89</f>
        <v>0.83000000000000007</v>
      </c>
      <c r="D89" s="72">
        <f>S30</f>
        <v>-8.5010969195973951E-2</v>
      </c>
      <c r="E89" s="72">
        <f>S31</f>
        <v>2.3154457550948526E-2</v>
      </c>
      <c r="F89" s="72">
        <f>S32</f>
        <v>0.18381095364322747</v>
      </c>
      <c r="G89" s="72">
        <f>T30</f>
        <v>-0.13225212704902034</v>
      </c>
      <c r="H89" s="72">
        <f>T31</f>
        <v>-0.11564697722326045</v>
      </c>
      <c r="I89" s="72">
        <f>T32</f>
        <v>2.0952831578305409E-2</v>
      </c>
    </row>
    <row r="90" spans="1:13" ht="18" customHeight="1" x14ac:dyDescent="0.45">
      <c r="A90" s="23" t="s">
        <v>226</v>
      </c>
      <c r="B90" s="70">
        <f>B51</f>
        <v>0.17</v>
      </c>
      <c r="C90" s="71">
        <f>C89+B90</f>
        <v>1</v>
      </c>
      <c r="D90" s="72">
        <f>S35</f>
        <v>-6.5010969195973933E-2</v>
      </c>
      <c r="E90" s="72">
        <f>S36</f>
        <v>9.6080805399973046E-2</v>
      </c>
      <c r="F90" s="72">
        <f>S37</f>
        <v>0.29121465526826984</v>
      </c>
      <c r="G90" s="72">
        <f>T35</f>
        <v>-0.1183681610818047</v>
      </c>
      <c r="H90" s="72">
        <f>T36</f>
        <v>-4.718505423346897E-2</v>
      </c>
      <c r="I90" s="72">
        <f>T37</f>
        <v>0.18997193377153598</v>
      </c>
    </row>
    <row r="91" spans="1:13" ht="18" customHeight="1" x14ac:dyDescent="0.45">
      <c r="A91" s="23" t="s">
        <v>228</v>
      </c>
      <c r="B91" s="70">
        <f>B52</f>
        <v>0</v>
      </c>
      <c r="C91" s="71">
        <f>C90+B91</f>
        <v>1</v>
      </c>
      <c r="D91" s="72">
        <f>S40</f>
        <v>-5.0109691959739355E-3</v>
      </c>
      <c r="E91" s="72">
        <f>S41</f>
        <v>0.21029297216994214</v>
      </c>
      <c r="F91" s="72">
        <f>S42</f>
        <v>0.57523516262434349</v>
      </c>
      <c r="G91" s="72">
        <f>T40</f>
        <v>-7.3916135590130883E-2</v>
      </c>
      <c r="H91" s="72">
        <f>T41</f>
        <v>9.8428048768609777E-2</v>
      </c>
      <c r="I91" s="72">
        <f>T42</f>
        <v>0.77784142217135321</v>
      </c>
    </row>
    <row r="92" spans="1:13" ht="21" customHeight="1" x14ac:dyDescent="0.45">
      <c r="A92" s="75" t="s">
        <v>279</v>
      </c>
      <c r="D92" s="74">
        <f t="shared" ref="D92:I92" si="2">SUMPRODUCT($B$87:$B$91,D87:D91)</f>
        <v>-9.6010969195973961E-2</v>
      </c>
      <c r="E92" s="74">
        <f t="shared" si="2"/>
        <v>-4.647754395731539E-2</v>
      </c>
      <c r="F92" s="74">
        <f t="shared" si="2"/>
        <v>9.1620263391414464E-2</v>
      </c>
      <c r="G92" s="74">
        <f t="shared" si="2"/>
        <v>-0.13951261391371647</v>
      </c>
      <c r="H92" s="74">
        <f t="shared" si="2"/>
        <v>-0.16813457305789237</v>
      </c>
      <c r="I92" s="74">
        <f t="shared" si="2"/>
        <v>-9.4430550991501438E-2</v>
      </c>
    </row>
    <row r="93" spans="1:13" ht="31.5" customHeight="1" x14ac:dyDescent="0.45">
      <c r="A93" s="84" t="s">
        <v>280</v>
      </c>
      <c r="D93" s="74">
        <f>D53</f>
        <v>-9.6010969195973961E-2</v>
      </c>
      <c r="E93" s="74">
        <f>E53</f>
        <v>-4.647754395731539E-2</v>
      </c>
      <c r="F93" s="74">
        <f>F53</f>
        <v>9.1620263391414464E-2</v>
      </c>
      <c r="G93" s="74">
        <f>E64</f>
        <v>-0.13951261391371647</v>
      </c>
      <c r="H93" s="74">
        <f>F64</f>
        <v>-0.16813457305789237</v>
      </c>
      <c r="I93" s="74">
        <f>G64</f>
        <v>-9.4430550991501438E-2</v>
      </c>
    </row>
    <row r="94" spans="1:13" ht="21" customHeight="1" x14ac:dyDescent="0.45">
      <c r="A94" s="85" t="s">
        <v>281</v>
      </c>
      <c r="D94" s="86">
        <f t="shared" ref="D94:I94" si="3">(D92-D93)*100</f>
        <v>0</v>
      </c>
      <c r="E94" s="86">
        <f t="shared" si="3"/>
        <v>0</v>
      </c>
      <c r="F94" s="86">
        <f t="shared" si="3"/>
        <v>0</v>
      </c>
      <c r="G94" s="86">
        <f t="shared" si="3"/>
        <v>0</v>
      </c>
      <c r="H94" s="86">
        <f t="shared" si="3"/>
        <v>0</v>
      </c>
      <c r="I94" s="86">
        <f t="shared" si="3"/>
        <v>0</v>
      </c>
    </row>
    <row r="95" spans="1:13" ht="33" customHeight="1" x14ac:dyDescent="0.45">
      <c r="A95" s="8" t="s">
        <v>282</v>
      </c>
      <c r="B95" s="8"/>
      <c r="C95" s="8"/>
      <c r="D95" s="8"/>
      <c r="E95" s="8"/>
      <c r="F95" s="8"/>
      <c r="G95" s="8"/>
      <c r="H95" s="8"/>
      <c r="I95" s="8"/>
      <c r="J95" s="8"/>
      <c r="K95" s="8"/>
      <c r="L95" s="8"/>
      <c r="M95" s="8"/>
    </row>
    <row r="97" spans="1:13" ht="24" customHeight="1" x14ac:dyDescent="0.45">
      <c r="A97" s="12" t="s">
        <v>283</v>
      </c>
      <c r="B97" s="12"/>
      <c r="C97" s="12"/>
      <c r="D97" s="12"/>
      <c r="E97" s="12"/>
      <c r="F97" s="12"/>
      <c r="G97" s="12"/>
      <c r="H97" s="12"/>
      <c r="I97" s="12"/>
      <c r="J97" s="12"/>
      <c r="K97" s="12"/>
      <c r="L97" s="12"/>
      <c r="M97" s="12"/>
    </row>
    <row r="98" spans="1:13" ht="33" customHeight="1" x14ac:dyDescent="0.45">
      <c r="A98" s="11" t="s">
        <v>284</v>
      </c>
      <c r="B98" s="11"/>
      <c r="C98" s="11"/>
      <c r="D98" s="11"/>
      <c r="E98" s="11"/>
      <c r="F98" s="11"/>
      <c r="G98" s="11"/>
      <c r="H98" s="11"/>
      <c r="I98" s="11"/>
      <c r="J98" s="11"/>
      <c r="K98" s="11"/>
      <c r="L98" s="11"/>
      <c r="M98" s="11"/>
    </row>
    <row r="99" spans="1:13" ht="45" customHeight="1" x14ac:dyDescent="0.45">
      <c r="A99" s="19" t="s">
        <v>200</v>
      </c>
      <c r="B99" s="19" t="s">
        <v>232</v>
      </c>
      <c r="C99" s="19" t="s">
        <v>233</v>
      </c>
      <c r="D99" s="19" t="s">
        <v>285</v>
      </c>
      <c r="E99" s="19" t="s">
        <v>286</v>
      </c>
      <c r="F99" s="19" t="s">
        <v>287</v>
      </c>
      <c r="G99" s="19" t="s">
        <v>288</v>
      </c>
      <c r="H99" s="19" t="s">
        <v>289</v>
      </c>
      <c r="I99" s="19" t="s">
        <v>290</v>
      </c>
    </row>
    <row r="100" spans="1:13" ht="18" customHeight="1" x14ac:dyDescent="0.45">
      <c r="A100" s="23" t="s">
        <v>218</v>
      </c>
      <c r="B100" s="70">
        <f>B48</f>
        <v>0.16</v>
      </c>
      <c r="C100" s="71">
        <f>B100</f>
        <v>0.16</v>
      </c>
      <c r="D100" s="72">
        <f>(1+M20)/(1+$B$14)-1</f>
        <v>-9.5428220760285454E-2</v>
      </c>
      <c r="E100" s="72">
        <f>(1+M21)/(1+$B$14)-1</f>
        <v>-0.22779387169041421</v>
      </c>
      <c r="F100" s="72">
        <f>(1+M22)/(1+$B$14)-1</f>
        <v>-0.28996623060124604</v>
      </c>
      <c r="G100" s="72">
        <f>$B$14/(1+K20+$B$149)+D100</f>
        <v>-0.14886333526410225</v>
      </c>
      <c r="H100" s="72">
        <f>G100/(1+K21+$B$149)+E100</f>
        <v>-0.3397211914378595</v>
      </c>
      <c r="I100" s="72">
        <f>H100/(1+K22+$B$149)+F100</f>
        <v>-0.55331599140578835</v>
      </c>
    </row>
    <row r="101" spans="1:13" ht="18" customHeight="1" x14ac:dyDescent="0.45">
      <c r="A101" s="23" t="s">
        <v>222</v>
      </c>
      <c r="B101" s="70">
        <f>B49</f>
        <v>0.4</v>
      </c>
      <c r="C101" s="71">
        <f>C100+B101</f>
        <v>0.56000000000000005</v>
      </c>
      <c r="D101" s="72">
        <f>(1+M25)/(1+$B$14)-1</f>
        <v>-8.1403852089902307E-2</v>
      </c>
      <c r="E101" s="72">
        <f>(1+M26)/(1+$B$14)-1</f>
        <v>-0.14998038139889425</v>
      </c>
      <c r="F101" s="72">
        <f>(1+M27)/(1+$B$14)-1</f>
        <v>-0.13450556221865473</v>
      </c>
      <c r="G101" s="72">
        <f>$B$14/(1+K25+$B$149)+D101</f>
        <v>-0.13566741798137519</v>
      </c>
      <c r="H101" s="72">
        <f>G101/(1+K26+$B$149)+E101</f>
        <v>-0.25680511996690619</v>
      </c>
      <c r="I101" s="72">
        <f>H101/(1+K27+$B$149)+F101</f>
        <v>-0.3399496581921797</v>
      </c>
    </row>
    <row r="102" spans="1:13" ht="18" customHeight="1" x14ac:dyDescent="0.45">
      <c r="A102" s="23" t="s">
        <v>224</v>
      </c>
      <c r="B102" s="70">
        <f>B50</f>
        <v>0.27</v>
      </c>
      <c r="C102" s="71">
        <f>C101+B102</f>
        <v>0.83000000000000007</v>
      </c>
      <c r="D102" s="72">
        <f>(1+M30)/(1+$B$14)-1</f>
        <v>-6.6937771020451953E-2</v>
      </c>
      <c r="E102" s="72">
        <f>(1+M31)/(1+$B$14)-1</f>
        <v>-4.9082771207806908E-2</v>
      </c>
      <c r="F102" s="72">
        <f>(1+M32)/(1+$B$14)-1</f>
        <v>9.7798743632586449E-2</v>
      </c>
      <c r="G102" s="72">
        <f>$B$14/(1+K30+$B$149)+D102</f>
        <v>-0.12205588125667244</v>
      </c>
      <c r="H102" s="72">
        <f>G102/(1+K31+$B$149)+E102</f>
        <v>-0.14995540034555271</v>
      </c>
      <c r="I102" s="72">
        <f>H102/(1+K32+$B$149)+F102</f>
        <v>-2.8214197834264571E-2</v>
      </c>
    </row>
    <row r="103" spans="1:13" ht="18" customHeight="1" x14ac:dyDescent="0.45">
      <c r="A103" s="23" t="s">
        <v>226</v>
      </c>
      <c r="B103" s="70">
        <f>B51</f>
        <v>0.17</v>
      </c>
      <c r="C103" s="71">
        <f>C102+B103</f>
        <v>1</v>
      </c>
      <c r="D103" s="72">
        <f>(1+M35)/(1+$B$14)-1</f>
        <v>-5.2008775356779169E-2</v>
      </c>
      <c r="E103" s="72">
        <f>(1+M36)/(1+$B$14)-1</f>
        <v>2.4532199748958261E-2</v>
      </c>
      <c r="F103" s="72">
        <f>(1+M37)/(1+$B$14)-1</f>
        <v>0.27953971373283437</v>
      </c>
      <c r="G103" s="72">
        <f>$B$14/(1+K35+$B$149)+D103</f>
        <v>-0.10800877535677918</v>
      </c>
      <c r="H103" s="72">
        <f>G103/(1+K36+$B$149)+E103</f>
        <v>-6.6231477021444413E-2</v>
      </c>
      <c r="I103" s="72">
        <f>H103/(1+K37+$B$149)+F103</f>
        <v>0.22293161371450582</v>
      </c>
    </row>
    <row r="104" spans="1:13" ht="18" customHeight="1" x14ac:dyDescent="0.45">
      <c r="A104" s="23" t="s">
        <v>228</v>
      </c>
      <c r="B104" s="70">
        <f>B52</f>
        <v>0</v>
      </c>
      <c r="C104" s="71">
        <f>C103+B104</f>
        <v>1</v>
      </c>
      <c r="D104" s="72">
        <f>(1+M40)/(1+$B$14)-1</f>
        <v>-4.2108984840116825E-3</v>
      </c>
      <c r="E104" s="72">
        <f>(1+M41)/(1+$B$14)-1</f>
        <v>0.18110542878345148</v>
      </c>
      <c r="F104" s="72">
        <f>(1+M42)/(1+$B$14)-1</f>
        <v>0.91165744319500353</v>
      </c>
      <c r="G104" s="72">
        <f>$B$14/(1+K40+$B$149)+D104</f>
        <v>-6.3034427895776401E-2</v>
      </c>
      <c r="H104" s="72">
        <f>G104/(1+K41+$B$149)+E104</f>
        <v>0.12532274922966707</v>
      </c>
      <c r="I104" s="72">
        <f>H104/(1+K42+$B$149)+F104</f>
        <v>1.0464130875279789</v>
      </c>
    </row>
    <row r="105" spans="1:13" ht="21" customHeight="1" x14ac:dyDescent="0.45">
      <c r="A105" s="75" t="s">
        <v>291</v>
      </c>
      <c r="G105" s="74">
        <f>SUMPRODUCT($B$100:$B$104,G100:G104)</f>
        <v>-0.12940168058476045</v>
      </c>
      <c r="H105" s="74">
        <f>SUMPRODUCT($B$100:$B$104,H100:H104)</f>
        <v>-0.20882474780376481</v>
      </c>
      <c r="I105" s="74">
        <f>SUMPRODUCT($B$100:$B$104,I100:I104)</f>
        <v>-0.19422988098558347</v>
      </c>
    </row>
    <row r="106" spans="1:13" ht="31.5" customHeight="1" x14ac:dyDescent="0.45">
      <c r="A106" s="84" t="s">
        <v>292</v>
      </c>
      <c r="G106" s="74">
        <f>E64</f>
        <v>-0.13951261391371647</v>
      </c>
      <c r="H106" s="74">
        <f>F64</f>
        <v>-0.16813457305789237</v>
      </c>
      <c r="I106" s="74">
        <f>G64</f>
        <v>-9.4430550991501438E-2</v>
      </c>
    </row>
    <row r="107" spans="1:13" ht="21" customHeight="1" x14ac:dyDescent="0.45">
      <c r="A107" s="85" t="s">
        <v>293</v>
      </c>
      <c r="G107" s="86">
        <f>(G105-G106)*100</f>
        <v>1.0110933328956018</v>
      </c>
      <c r="H107" s="86">
        <f>(H105-H106)*100</f>
        <v>-4.0690174745872447</v>
      </c>
      <c r="I107" s="86">
        <f>(I105-I106)*100</f>
        <v>-9.9799329994082022</v>
      </c>
    </row>
    <row r="108" spans="1:13" ht="45.75" customHeight="1" x14ac:dyDescent="0.45">
      <c r="A108" s="8" t="s">
        <v>294</v>
      </c>
      <c r="B108" s="8"/>
      <c r="C108" s="8"/>
      <c r="D108" s="8"/>
      <c r="E108" s="8"/>
      <c r="F108" s="8"/>
      <c r="G108" s="8"/>
      <c r="H108" s="8"/>
      <c r="I108" s="8"/>
      <c r="J108" s="8"/>
      <c r="K108" s="8"/>
      <c r="L108" s="8"/>
      <c r="M108" s="8"/>
    </row>
    <row r="110" spans="1:13" ht="24" customHeight="1" x14ac:dyDescent="0.45">
      <c r="A110" s="12" t="s">
        <v>295</v>
      </c>
      <c r="B110" s="12"/>
      <c r="C110" s="12"/>
      <c r="D110" s="12"/>
      <c r="E110" s="12"/>
      <c r="F110" s="12"/>
      <c r="G110" s="12"/>
      <c r="H110" s="12"/>
      <c r="I110" s="12"/>
      <c r="J110" s="12"/>
      <c r="K110" s="12"/>
      <c r="L110" s="12"/>
      <c r="M110" s="12"/>
    </row>
    <row r="111" spans="1:13" ht="19.5" customHeight="1" x14ac:dyDescent="0.45">
      <c r="A111" s="87" t="s">
        <v>296</v>
      </c>
      <c r="B111" s="88">
        <v>2.5666666666666699E-2</v>
      </c>
      <c r="C111" s="175" t="s">
        <v>297</v>
      </c>
      <c r="D111" s="175"/>
      <c r="E111" s="175"/>
      <c r="F111" s="175"/>
      <c r="G111" s="175"/>
      <c r="H111" s="175"/>
      <c r="I111" s="175"/>
      <c r="J111" s="175"/>
      <c r="K111" s="175"/>
      <c r="L111" s="175"/>
      <c r="M111" s="175"/>
    </row>
    <row r="112" spans="1:13" ht="27" customHeight="1" x14ac:dyDescent="0.45">
      <c r="A112" s="19" t="s">
        <v>298</v>
      </c>
      <c r="B112" s="19" t="s">
        <v>78</v>
      </c>
      <c r="C112" s="19" t="s">
        <v>79</v>
      </c>
      <c r="D112" s="19" t="s">
        <v>80</v>
      </c>
      <c r="E112" s="7" t="s">
        <v>299</v>
      </c>
      <c r="F112" s="7"/>
      <c r="G112" s="7"/>
      <c r="H112" s="7"/>
      <c r="I112" s="7"/>
      <c r="J112" s="7"/>
      <c r="K112" s="7"/>
      <c r="L112" s="7"/>
      <c r="M112" s="7"/>
    </row>
    <row r="113" spans="1:13" ht="31.5" customHeight="1" x14ac:dyDescent="0.45">
      <c r="A113" s="28" t="s">
        <v>300</v>
      </c>
      <c r="B113" s="74">
        <f>M25</f>
        <v>-0.14570558244360921</v>
      </c>
      <c r="C113" s="74">
        <f>M26</f>
        <v>-0.20948175470097175</v>
      </c>
      <c r="D113" s="74">
        <f>M27</f>
        <v>-0.19509017286334895</v>
      </c>
      <c r="E113" s="170" t="s">
        <v>301</v>
      </c>
      <c r="F113" s="170"/>
      <c r="G113" s="170"/>
      <c r="H113" s="170"/>
      <c r="I113" s="170"/>
      <c r="J113" s="170"/>
      <c r="K113" s="170"/>
      <c r="L113" s="170"/>
      <c r="M113" s="170"/>
    </row>
    <row r="114" spans="1:13" ht="31.5" customHeight="1" x14ac:dyDescent="0.45">
      <c r="A114" s="28" t="s">
        <v>302</v>
      </c>
      <c r="B114" s="74">
        <f>(1+J25)/(1+K25+$B$149+$B$111)-1</f>
        <v>-9.9324273521135598E-2</v>
      </c>
      <c r="C114" s="74">
        <f>(1+B114)*(1+J26)/(1+K26+$B$149+$B$111)-1</f>
        <v>-0.18307305067239188</v>
      </c>
      <c r="D114" s="74">
        <f>(1+C114)*(1+J27)/(1+K27+$B$149+$B$111)-1</f>
        <v>-0.18493665905804735</v>
      </c>
      <c r="E114" s="170" t="s">
        <v>303</v>
      </c>
      <c r="F114" s="170"/>
      <c r="G114" s="170"/>
      <c r="H114" s="170"/>
      <c r="I114" s="170"/>
      <c r="J114" s="170"/>
      <c r="K114" s="170"/>
      <c r="L114" s="170"/>
      <c r="M114" s="170"/>
    </row>
    <row r="115" spans="1:13" ht="31.5" customHeight="1" x14ac:dyDescent="0.45">
      <c r="A115" s="28" t="s">
        <v>304</v>
      </c>
      <c r="B115" s="74">
        <f>(1+$B$14)*(1+J25)/(1+K25+$B$149+$B$111)-1</f>
        <v>-0.1623715743746561</v>
      </c>
      <c r="C115" s="74">
        <f>(1+B115)*(1+J26)/(1+K26+$B$149+$B$111)-1</f>
        <v>-0.24025793712532439</v>
      </c>
      <c r="D115" s="74">
        <f>(1+C115)*(1+J27)/(1+K27+$B$149+$B$111)-1</f>
        <v>-0.24199109292398391</v>
      </c>
      <c r="E115" s="170" t="s">
        <v>305</v>
      </c>
      <c r="F115" s="170"/>
      <c r="G115" s="170"/>
      <c r="H115" s="170"/>
      <c r="I115" s="170"/>
      <c r="J115" s="170"/>
      <c r="K115" s="170"/>
      <c r="L115" s="170"/>
      <c r="M115" s="170"/>
    </row>
    <row r="116" spans="1:13" ht="31.5" customHeight="1" x14ac:dyDescent="0.45">
      <c r="A116" s="89" t="s">
        <v>306</v>
      </c>
      <c r="B116" s="86">
        <f>(B115-B113)*100</f>
        <v>-1.6665991931046897</v>
      </c>
      <c r="C116" s="86">
        <f>(C115-C113)*100</f>
        <v>-3.0776182424352649</v>
      </c>
      <c r="D116" s="86">
        <f>(D115-D113)*100</f>
        <v>-4.6900920060634954</v>
      </c>
      <c r="E116" s="170" t="s">
        <v>307</v>
      </c>
      <c r="F116" s="170"/>
      <c r="G116" s="170"/>
      <c r="H116" s="170"/>
      <c r="I116" s="170"/>
      <c r="J116" s="170"/>
      <c r="K116" s="170"/>
      <c r="L116" s="170"/>
      <c r="M116" s="170"/>
    </row>
    <row r="117" spans="1:13" ht="33" customHeight="1" x14ac:dyDescent="0.45">
      <c r="A117" s="8" t="s">
        <v>308</v>
      </c>
      <c r="B117" s="8"/>
      <c r="C117" s="8"/>
      <c r="D117" s="8"/>
      <c r="E117" s="8"/>
      <c r="F117" s="8"/>
      <c r="G117" s="8"/>
      <c r="H117" s="8"/>
      <c r="I117" s="8"/>
      <c r="J117" s="8"/>
      <c r="K117" s="8"/>
      <c r="L117" s="8"/>
      <c r="M117" s="8"/>
    </row>
    <row r="119" spans="1:13" ht="24" customHeight="1" x14ac:dyDescent="0.45">
      <c r="A119" s="12" t="s">
        <v>309</v>
      </c>
      <c r="B119" s="12"/>
      <c r="C119" s="12"/>
      <c r="D119" s="12"/>
      <c r="E119" s="12"/>
      <c r="F119" s="12"/>
      <c r="G119" s="12"/>
      <c r="H119" s="12"/>
      <c r="I119" s="12"/>
      <c r="J119" s="12"/>
      <c r="K119" s="12"/>
      <c r="L119" s="12"/>
      <c r="M119" s="12"/>
    </row>
    <row r="120" spans="1:13" ht="27" customHeight="1" x14ac:dyDescent="0.45">
      <c r="A120" s="19" t="s">
        <v>27</v>
      </c>
      <c r="B120" s="19" t="s">
        <v>78</v>
      </c>
      <c r="C120" s="19" t="s">
        <v>79</v>
      </c>
      <c r="D120" s="19" t="s">
        <v>80</v>
      </c>
      <c r="E120" s="7" t="s">
        <v>310</v>
      </c>
      <c r="F120" s="7"/>
      <c r="G120" s="7"/>
      <c r="H120" s="7"/>
      <c r="I120" s="7"/>
      <c r="J120" s="7"/>
      <c r="K120" s="7"/>
      <c r="L120" s="7"/>
      <c r="M120" s="7"/>
    </row>
    <row r="121" spans="1:13" ht="31.5" customHeight="1" x14ac:dyDescent="0.45">
      <c r="A121" s="28" t="s">
        <v>311</v>
      </c>
      <c r="B121" s="30">
        <f>D53</f>
        <v>-9.6010969195973961E-2</v>
      </c>
      <c r="C121" s="30">
        <f>E53</f>
        <v>-4.647754395731539E-2</v>
      </c>
      <c r="D121" s="30">
        <f>F53</f>
        <v>9.1620263391414464E-2</v>
      </c>
      <c r="E121" s="175" t="s">
        <v>312</v>
      </c>
      <c r="F121" s="175"/>
      <c r="G121" s="175"/>
      <c r="H121" s="175"/>
      <c r="I121" s="175"/>
      <c r="J121" s="175"/>
      <c r="K121" s="175"/>
      <c r="L121" s="175"/>
      <c r="M121" s="175"/>
    </row>
    <row r="122" spans="1:13" ht="31.5" customHeight="1" x14ac:dyDescent="0.45">
      <c r="A122" s="28" t="s">
        <v>313</v>
      </c>
      <c r="B122" s="30">
        <f>E64</f>
        <v>-0.13951261391371647</v>
      </c>
      <c r="C122" s="30">
        <f>F64</f>
        <v>-0.16813457305789237</v>
      </c>
      <c r="D122" s="30">
        <f>G64</f>
        <v>-9.4430550991501438E-2</v>
      </c>
      <c r="E122" s="175" t="s">
        <v>314</v>
      </c>
      <c r="F122" s="175"/>
      <c r="G122" s="175"/>
      <c r="H122" s="175"/>
      <c r="I122" s="175"/>
      <c r="J122" s="175"/>
      <c r="K122" s="175"/>
      <c r="L122" s="175"/>
      <c r="M122" s="175"/>
    </row>
    <row r="123" spans="1:13" ht="18.75" customHeight="1" x14ac:dyDescent="0.45">
      <c r="A123" s="23" t="s">
        <v>315</v>
      </c>
      <c r="B123" s="30">
        <f>G92</f>
        <v>-0.13951261391371647</v>
      </c>
      <c r="C123" s="30">
        <f>H92</f>
        <v>-0.16813457305789237</v>
      </c>
      <c r="D123" s="30">
        <f>I92</f>
        <v>-9.4430550991501438E-2</v>
      </c>
      <c r="E123" s="175" t="s">
        <v>316</v>
      </c>
      <c r="F123" s="175"/>
      <c r="G123" s="175"/>
      <c r="H123" s="175"/>
      <c r="I123" s="175"/>
      <c r="J123" s="175"/>
      <c r="K123" s="175"/>
      <c r="L123" s="175"/>
      <c r="M123" s="175"/>
    </row>
    <row r="124" spans="1:13" ht="31.5" customHeight="1" x14ac:dyDescent="0.45">
      <c r="A124" s="28" t="s">
        <v>317</v>
      </c>
      <c r="B124" s="30">
        <f>G105</f>
        <v>-0.12940168058476045</v>
      </c>
      <c r="C124" s="30">
        <f>H105</f>
        <v>-0.20882474780376481</v>
      </c>
      <c r="D124" s="30">
        <f>I105</f>
        <v>-0.19422988098558347</v>
      </c>
      <c r="E124" s="175" t="s">
        <v>318</v>
      </c>
      <c r="F124" s="175"/>
      <c r="G124" s="175"/>
      <c r="H124" s="175"/>
      <c r="I124" s="175"/>
      <c r="J124" s="175"/>
      <c r="K124" s="175"/>
      <c r="L124" s="175"/>
      <c r="M124" s="175"/>
    </row>
    <row r="125" spans="1:13" ht="33" customHeight="1" x14ac:dyDescent="0.45">
      <c r="A125" s="8" t="s">
        <v>319</v>
      </c>
      <c r="B125" s="8"/>
      <c r="C125" s="8"/>
      <c r="D125" s="8"/>
      <c r="E125" s="8"/>
      <c r="F125" s="8"/>
      <c r="G125" s="8"/>
      <c r="H125" s="8"/>
      <c r="I125" s="8"/>
      <c r="J125" s="8"/>
      <c r="K125" s="8"/>
      <c r="L125" s="8"/>
      <c r="M125" s="8"/>
    </row>
    <row r="127" spans="1:13" ht="24" customHeight="1" x14ac:dyDescent="0.45">
      <c r="A127" s="3" t="s">
        <v>320</v>
      </c>
      <c r="B127" s="3"/>
      <c r="C127" s="3"/>
      <c r="D127" s="3"/>
      <c r="E127" s="3"/>
      <c r="F127" s="3"/>
      <c r="G127" s="3"/>
      <c r="H127" s="3"/>
      <c r="I127" s="3"/>
      <c r="J127" s="3"/>
      <c r="K127" s="3"/>
      <c r="L127" s="3"/>
      <c r="M127" s="3"/>
    </row>
    <row r="128" spans="1:13" ht="33" customHeight="1" x14ac:dyDescent="0.45">
      <c r="A128" s="165" t="s">
        <v>321</v>
      </c>
      <c r="B128" s="165"/>
      <c r="C128" s="165"/>
      <c r="D128" s="165"/>
      <c r="E128" s="165"/>
      <c r="F128" s="165"/>
      <c r="G128" s="165"/>
      <c r="H128" s="165"/>
      <c r="I128" s="165"/>
      <c r="J128" s="165"/>
      <c r="K128" s="165"/>
      <c r="L128" s="165"/>
      <c r="M128" s="165"/>
    </row>
    <row r="129" spans="1:13" ht="59.25" customHeight="1" x14ac:dyDescent="0.45">
      <c r="A129" s="22" t="s">
        <v>200</v>
      </c>
      <c r="B129" s="22" t="s">
        <v>232</v>
      </c>
      <c r="C129" s="22" t="s">
        <v>322</v>
      </c>
      <c r="D129" s="22" t="s">
        <v>323</v>
      </c>
      <c r="E129" s="22" t="s">
        <v>324</v>
      </c>
      <c r="F129" s="22" t="s">
        <v>325</v>
      </c>
      <c r="G129" s="22" t="s">
        <v>326</v>
      </c>
      <c r="H129" s="22" t="s">
        <v>327</v>
      </c>
    </row>
    <row r="130" spans="1:13" ht="18" customHeight="1" x14ac:dyDescent="0.45">
      <c r="A130" s="25" t="s">
        <v>218</v>
      </c>
      <c r="B130" s="70">
        <f>B48</f>
        <v>0.16</v>
      </c>
      <c r="C130" s="72">
        <f t="shared" ref="C130:C136" si="4">E48</f>
        <v>-0.19461840373246736</v>
      </c>
      <c r="D130" s="33">
        <f>'06-Inventory-Burn-v4'!$E$18</f>
        <v>-0.24404148065554426</v>
      </c>
      <c r="E130" s="34">
        <f t="shared" ref="E130:E135" si="5">(D130-C130)*100</f>
        <v>-4.9423076923076898</v>
      </c>
      <c r="F130" s="72">
        <f t="shared" ref="F130:F136" si="6">F59</f>
        <v>-0.28184830067208522</v>
      </c>
      <c r="G130" s="33">
        <f>'06-Inventory-Burn-v4'!$G$30</f>
        <v>-0.29313062183648886</v>
      </c>
      <c r="H130" s="38" t="str">
        <f>IF(D130&lt;0,IF(C130&lt;0,"short before and after","★ flips to short"),IF(C130&lt;0,"flips to surplus","surplus before and after"))</f>
        <v>short before and after</v>
      </c>
    </row>
    <row r="131" spans="1:13" ht="18" customHeight="1" x14ac:dyDescent="0.45">
      <c r="A131" s="25" t="s">
        <v>222</v>
      </c>
      <c r="B131" s="70">
        <f>B49</f>
        <v>0.4</v>
      </c>
      <c r="C131" s="72">
        <f t="shared" si="4"/>
        <v>-9.4810099542180337E-2</v>
      </c>
      <c r="D131" s="33">
        <f>'06-Inventory-Burn-v4'!$E$19</f>
        <v>-0.14423317646525724</v>
      </c>
      <c r="E131" s="34">
        <f t="shared" si="5"/>
        <v>-4.9423076923076898</v>
      </c>
      <c r="F131" s="72">
        <f t="shared" si="6"/>
        <v>-0.20948175470097175</v>
      </c>
      <c r="G131" s="33">
        <f>'06-Inventory-Burn-v4'!$G$31</f>
        <v>-0.22105687295041099</v>
      </c>
      <c r="H131" s="38" t="str">
        <f>IF(D131&lt;0,IF(C131&lt;0,"short before and after","★ flips to short"),IF(C131&lt;0,"flips to surplus","surplus before and after"))</f>
        <v>short before and after</v>
      </c>
    </row>
    <row r="132" spans="1:13" ht="18" customHeight="1" x14ac:dyDescent="0.45">
      <c r="A132" s="25" t="s">
        <v>224</v>
      </c>
      <c r="B132" s="70">
        <f>B50</f>
        <v>0.27</v>
      </c>
      <c r="C132" s="72">
        <f t="shared" si="4"/>
        <v>2.3154457550948526E-2</v>
      </c>
      <c r="D132" s="33">
        <f>'06-Inventory-Burn-v4'!$E$20</f>
        <v>-2.6268619372128377E-2</v>
      </c>
      <c r="E132" s="34">
        <f t="shared" si="5"/>
        <v>-4.9423076923076898</v>
      </c>
      <c r="F132" s="72">
        <f t="shared" si="6"/>
        <v>-0.11564697722326045</v>
      </c>
      <c r="G132" s="33">
        <f>'06-Inventory-Burn-v4'!$G$32</f>
        <v>-0.12650846131148141</v>
      </c>
      <c r="H132" s="38" t="str">
        <f>IF(D132&lt;0,IF(C132&lt;0,"short before and after","★ flips to short"),IF(C132&lt;0,"flips to surplus","surplus before and after"))</f>
        <v>★ flips to short</v>
      </c>
    </row>
    <row r="133" spans="1:13" ht="18" customHeight="1" x14ac:dyDescent="0.45">
      <c r="A133" s="25" t="s">
        <v>226</v>
      </c>
      <c r="B133" s="70">
        <f>B51</f>
        <v>0.17</v>
      </c>
      <c r="C133" s="72">
        <f t="shared" si="4"/>
        <v>9.6080805399973046E-2</v>
      </c>
      <c r="D133" s="33">
        <f>'06-Inventory-Burn-v4'!$E$21</f>
        <v>4.6657728476896143E-2</v>
      </c>
      <c r="E133" s="34">
        <f t="shared" si="5"/>
        <v>-4.9423076923076898</v>
      </c>
      <c r="F133" s="72">
        <f t="shared" si="6"/>
        <v>-4.718505423346897E-2</v>
      </c>
      <c r="G133" s="33">
        <f>'06-Inventory-Burn-v4'!$G$33</f>
        <v>-5.8124297652967116E-2</v>
      </c>
      <c r="H133" s="38" t="str">
        <f>IF(D133&lt;0,IF(C133&lt;0,"short before and after","★ flips to short"),IF(C133&lt;0,"flips to surplus","surplus before and after"))</f>
        <v>surplus before and after</v>
      </c>
    </row>
    <row r="134" spans="1:13" ht="18" customHeight="1" x14ac:dyDescent="0.45">
      <c r="A134" s="25" t="s">
        <v>228</v>
      </c>
      <c r="B134" s="70">
        <f>B52</f>
        <v>0</v>
      </c>
      <c r="C134" s="72">
        <f t="shared" si="4"/>
        <v>0.21029297216994214</v>
      </c>
      <c r="D134" s="33">
        <f>'06-Inventory-Burn-v4'!$E$22</f>
        <v>0.16086989524686524</v>
      </c>
      <c r="E134" s="34">
        <f t="shared" si="5"/>
        <v>-4.9423076923076898</v>
      </c>
      <c r="F134" s="72">
        <f t="shared" si="6"/>
        <v>9.8428048768609777E-2</v>
      </c>
      <c r="G134" s="33">
        <f>'06-Inventory-Burn-v4'!$G$34</f>
        <v>8.7508292448183145E-2</v>
      </c>
      <c r="H134" s="38" t="str">
        <f>IF(D134&lt;0,IF(C134&lt;0,"short before and after","★ flips to short"),IF(C134&lt;0,"flips to surplus","surplus before and after"))</f>
        <v>surplus before and after</v>
      </c>
    </row>
    <row r="135" spans="1:13" ht="21" customHeight="1" x14ac:dyDescent="0.45">
      <c r="A135" s="90" t="s">
        <v>235</v>
      </c>
      <c r="C135" s="77">
        <f t="shared" si="4"/>
        <v>-4.647754395731539E-2</v>
      </c>
      <c r="D135" s="91">
        <f>'06-Inventory-Burn-v4'!$E$23</f>
        <v>-9.5900620880392307E-2</v>
      </c>
      <c r="E135" s="34">
        <f t="shared" si="5"/>
        <v>-4.9423076923076916</v>
      </c>
      <c r="F135" s="77">
        <f t="shared" si="6"/>
        <v>-0.16813457305789237</v>
      </c>
      <c r="G135" s="91">
        <f>'06-Inventory-Burn-v4'!$G$35</f>
        <v>-0.17936206382910699</v>
      </c>
    </row>
    <row r="136" spans="1:13" ht="21" customHeight="1" x14ac:dyDescent="0.45">
      <c r="A136" s="90" t="s">
        <v>237</v>
      </c>
      <c r="C136" s="77">
        <f t="shared" si="4"/>
        <v>-9.4810099542180337E-2</v>
      </c>
      <c r="D136" s="91">
        <f>'06-Inventory-Burn-v4'!$E$24</f>
        <v>-0.14423317646525724</v>
      </c>
      <c r="F136" s="77">
        <f t="shared" si="6"/>
        <v>-0.20948175470097175</v>
      </c>
    </row>
    <row r="137" spans="1:13" ht="21" customHeight="1" x14ac:dyDescent="0.45">
      <c r="A137" s="90" t="s">
        <v>99</v>
      </c>
      <c r="C137" s="92">
        <f>'06-Inventory-Burn-v4'!$D$25</f>
        <v>0.56000000000000005</v>
      </c>
      <c r="D137" s="93">
        <f>'06-Inventory-Burn-v4'!$E$25</f>
        <v>0.83000000000000007</v>
      </c>
      <c r="E137" s="34">
        <f>(D137-C137)*100</f>
        <v>27</v>
      </c>
    </row>
    <row r="138" spans="1:13" ht="60" customHeight="1" x14ac:dyDescent="0.45">
      <c r="A138" s="165" t="s">
        <v>328</v>
      </c>
      <c r="B138" s="165"/>
      <c r="C138" s="165"/>
      <c r="D138" s="165"/>
      <c r="E138" s="165"/>
      <c r="F138" s="165"/>
      <c r="G138" s="165"/>
      <c r="H138" s="165"/>
      <c r="I138" s="165"/>
      <c r="J138" s="165"/>
      <c r="K138" s="165"/>
      <c r="L138" s="165"/>
      <c r="M138" s="165"/>
    </row>
    <row r="140" spans="1:13" ht="24" customHeight="1" x14ac:dyDescent="0.45">
      <c r="A140" s="176" t="s">
        <v>329</v>
      </c>
      <c r="B140" s="176"/>
      <c r="C140" s="176"/>
      <c r="D140" s="176"/>
      <c r="E140" s="176"/>
      <c r="F140" s="176"/>
      <c r="G140" s="176"/>
      <c r="H140" s="176"/>
      <c r="I140" s="176"/>
      <c r="J140" s="176"/>
      <c r="K140" s="176"/>
      <c r="L140" s="176"/>
      <c r="M140" s="176"/>
    </row>
    <row r="141" spans="1:13" ht="33" customHeight="1" x14ac:dyDescent="0.45">
      <c r="A141" s="177" t="s">
        <v>330</v>
      </c>
      <c r="B141" s="177"/>
      <c r="C141" s="177"/>
      <c r="D141" s="177"/>
      <c r="E141" s="177"/>
      <c r="F141" s="177"/>
      <c r="G141" s="177"/>
      <c r="H141" s="177"/>
      <c r="I141" s="177"/>
      <c r="J141" s="177"/>
      <c r="K141" s="177"/>
      <c r="L141" s="177"/>
      <c r="M141" s="177"/>
    </row>
    <row r="142" spans="1:13" ht="31.5" customHeight="1" x14ac:dyDescent="0.45">
      <c r="A142" s="19" t="s">
        <v>174</v>
      </c>
      <c r="B142" s="19" t="s">
        <v>175</v>
      </c>
      <c r="C142" s="7" t="s">
        <v>331</v>
      </c>
      <c r="D142" s="7"/>
      <c r="E142" s="7"/>
      <c r="F142" s="7"/>
      <c r="G142" s="7"/>
      <c r="H142" s="19" t="s">
        <v>332</v>
      </c>
      <c r="I142" s="19" t="s">
        <v>333</v>
      </c>
      <c r="J142" s="7" t="s">
        <v>55</v>
      </c>
      <c r="K142" s="7"/>
      <c r="L142" s="7"/>
      <c r="M142" s="7"/>
    </row>
    <row r="143" spans="1:13" ht="37.5" customHeight="1" x14ac:dyDescent="0.45">
      <c r="A143" s="94" t="s">
        <v>334</v>
      </c>
      <c r="B143" s="95">
        <f>H143/10</f>
        <v>2.8</v>
      </c>
      <c r="C143" s="178"/>
      <c r="D143" s="178"/>
      <c r="E143" s="178"/>
      <c r="F143" s="178"/>
      <c r="G143" s="178"/>
      <c r="H143" s="96">
        <v>28</v>
      </c>
      <c r="I143" s="97" t="s">
        <v>335</v>
      </c>
      <c r="J143" s="179" t="s">
        <v>336</v>
      </c>
      <c r="K143" s="179"/>
      <c r="L143" s="179"/>
      <c r="M143" s="179"/>
    </row>
    <row r="144" spans="1:13" ht="37.5" customHeight="1" x14ac:dyDescent="0.45">
      <c r="A144" s="94" t="s">
        <v>337</v>
      </c>
      <c r="B144" s="98">
        <f>-H144/1000</f>
        <v>-7.0000000000000007E-2</v>
      </c>
      <c r="C144" s="178"/>
      <c r="D144" s="178"/>
      <c r="E144" s="178"/>
      <c r="F144" s="178"/>
      <c r="G144" s="178"/>
      <c r="H144" s="96">
        <v>70</v>
      </c>
      <c r="I144" s="97" t="s">
        <v>338</v>
      </c>
      <c r="J144" s="179" t="s">
        <v>339</v>
      </c>
      <c r="K144" s="179"/>
      <c r="L144" s="179"/>
      <c r="M144" s="179"/>
    </row>
    <row r="145" spans="1:13" ht="37.5" customHeight="1" x14ac:dyDescent="0.45">
      <c r="A145" s="94" t="s">
        <v>184</v>
      </c>
      <c r="B145" s="99">
        <f>H145</f>
        <v>1</v>
      </c>
      <c r="C145" s="178"/>
      <c r="D145" s="178"/>
      <c r="E145" s="178"/>
      <c r="F145" s="178"/>
      <c r="G145" s="178"/>
      <c r="H145" s="96">
        <v>1</v>
      </c>
      <c r="I145" s="97" t="s">
        <v>340</v>
      </c>
      <c r="J145" s="179" t="s">
        <v>341</v>
      </c>
      <c r="K145" s="179"/>
      <c r="L145" s="179"/>
      <c r="M145" s="179"/>
    </row>
    <row r="146" spans="1:13" ht="37.5" customHeight="1" x14ac:dyDescent="0.45">
      <c r="A146" s="94" t="s">
        <v>342</v>
      </c>
      <c r="B146" s="100">
        <f>(H146-50)/1000</f>
        <v>0</v>
      </c>
      <c r="C146" s="178"/>
      <c r="D146" s="178"/>
      <c r="E146" s="178"/>
      <c r="F146" s="178"/>
      <c r="G146" s="178"/>
      <c r="H146" s="96">
        <v>50</v>
      </c>
      <c r="I146" s="97" t="s">
        <v>343</v>
      </c>
      <c r="J146" s="179" t="s">
        <v>344</v>
      </c>
      <c r="K146" s="179"/>
      <c r="L146" s="179"/>
      <c r="M146" s="179"/>
    </row>
    <row r="147" spans="1:13" ht="37.5" customHeight="1" x14ac:dyDescent="0.45">
      <c r="A147" s="94" t="s">
        <v>345</v>
      </c>
      <c r="B147" s="100">
        <f>(H147-50)/1000</f>
        <v>0</v>
      </c>
      <c r="C147" s="178"/>
      <c r="D147" s="178"/>
      <c r="E147" s="178"/>
      <c r="F147" s="178"/>
      <c r="G147" s="178"/>
      <c r="H147" s="96">
        <v>50</v>
      </c>
      <c r="I147" s="97" t="s">
        <v>346</v>
      </c>
      <c r="J147" s="179" t="s">
        <v>347</v>
      </c>
      <c r="K147" s="179"/>
      <c r="L147" s="179"/>
      <c r="M147" s="179"/>
    </row>
    <row r="148" spans="1:13" ht="37.5" customHeight="1" x14ac:dyDescent="0.45">
      <c r="A148" s="94" t="s">
        <v>348</v>
      </c>
      <c r="B148" s="100">
        <f>(H148-100)/1000</f>
        <v>0</v>
      </c>
      <c r="C148" s="178"/>
      <c r="D148" s="178"/>
      <c r="E148" s="178"/>
      <c r="F148" s="178"/>
      <c r="G148" s="178"/>
      <c r="H148" s="96">
        <v>100</v>
      </c>
      <c r="I148" s="97" t="s">
        <v>349</v>
      </c>
      <c r="J148" s="179" t="s">
        <v>350</v>
      </c>
      <c r="K148" s="179"/>
      <c r="L148" s="179"/>
      <c r="M148" s="179"/>
    </row>
    <row r="149" spans="1:13" ht="37.5" customHeight="1" x14ac:dyDescent="0.45">
      <c r="A149" s="94" t="s">
        <v>351</v>
      </c>
      <c r="B149" s="100">
        <f>(H149-100)/1000</f>
        <v>0.01</v>
      </c>
      <c r="C149" s="178"/>
      <c r="D149" s="178"/>
      <c r="E149" s="178"/>
      <c r="F149" s="178"/>
      <c r="G149" s="178"/>
      <c r="H149" s="96">
        <v>110</v>
      </c>
      <c r="I149" s="97" t="s">
        <v>352</v>
      </c>
      <c r="J149" s="179" t="s">
        <v>353</v>
      </c>
      <c r="K149" s="179"/>
      <c r="L149" s="179"/>
      <c r="M149" s="179"/>
    </row>
    <row r="150" spans="1:13" ht="18.75" customHeight="1" x14ac:dyDescent="0.45">
      <c r="A150" s="180" t="s">
        <v>354</v>
      </c>
      <c r="B150" s="180"/>
      <c r="C150" s="180"/>
      <c r="D150" s="180"/>
      <c r="E150" s="180"/>
      <c r="F150" s="180"/>
      <c r="G150" s="180"/>
      <c r="H150" s="180"/>
      <c r="I150" s="180"/>
      <c r="J150" s="180"/>
      <c r="K150" s="180"/>
      <c r="L150" s="180"/>
      <c r="M150" s="180"/>
    </row>
    <row r="151" spans="1:13" ht="37.5" customHeight="1" x14ac:dyDescent="0.45">
      <c r="A151" s="94" t="s">
        <v>355</v>
      </c>
      <c r="B151" s="101">
        <f>H151/100</f>
        <v>0.16</v>
      </c>
      <c r="C151" s="178"/>
      <c r="D151" s="178"/>
      <c r="E151" s="178"/>
      <c r="F151" s="178"/>
      <c r="G151" s="178"/>
      <c r="H151" s="96">
        <v>16</v>
      </c>
      <c r="I151" s="97" t="s">
        <v>356</v>
      </c>
      <c r="J151" s="179" t="s">
        <v>357</v>
      </c>
      <c r="K151" s="179"/>
      <c r="L151" s="179"/>
      <c r="M151" s="179"/>
    </row>
    <row r="152" spans="1:13" ht="37.5" customHeight="1" x14ac:dyDescent="0.45">
      <c r="A152" s="94" t="s">
        <v>358</v>
      </c>
      <c r="B152" s="101">
        <f>H152/100</f>
        <v>0.4</v>
      </c>
      <c r="C152" s="178"/>
      <c r="D152" s="178"/>
      <c r="E152" s="178"/>
      <c r="F152" s="178"/>
      <c r="G152" s="178"/>
      <c r="H152" s="96">
        <v>40</v>
      </c>
      <c r="I152" s="97" t="s">
        <v>356</v>
      </c>
      <c r="J152" s="179" t="s">
        <v>359</v>
      </c>
      <c r="K152" s="179"/>
      <c r="L152" s="179"/>
      <c r="M152" s="179"/>
    </row>
    <row r="153" spans="1:13" ht="37.5" customHeight="1" x14ac:dyDescent="0.45">
      <c r="A153" s="94" t="s">
        <v>360</v>
      </c>
      <c r="B153" s="101">
        <f>H153/100</f>
        <v>0.27</v>
      </c>
      <c r="C153" s="178"/>
      <c r="D153" s="178"/>
      <c r="E153" s="178"/>
      <c r="F153" s="178"/>
      <c r="G153" s="178"/>
      <c r="H153" s="96">
        <v>27</v>
      </c>
      <c r="I153" s="97" t="s">
        <v>356</v>
      </c>
      <c r="J153" s="179" t="s">
        <v>361</v>
      </c>
      <c r="K153" s="179"/>
      <c r="L153" s="179"/>
      <c r="M153" s="179"/>
    </row>
    <row r="154" spans="1:13" ht="37.5" customHeight="1" x14ac:dyDescent="0.45">
      <c r="A154" s="94" t="s">
        <v>362</v>
      </c>
      <c r="B154" s="101">
        <f>H154/100</f>
        <v>0.17</v>
      </c>
      <c r="C154" s="178"/>
      <c r="D154" s="178"/>
      <c r="E154" s="178"/>
      <c r="F154" s="178"/>
      <c r="G154" s="178"/>
      <c r="H154" s="96">
        <v>17</v>
      </c>
      <c r="I154" s="97" t="s">
        <v>356</v>
      </c>
      <c r="J154" s="179" t="s">
        <v>363</v>
      </c>
      <c r="K154" s="179"/>
      <c r="L154" s="179"/>
      <c r="M154" s="179"/>
    </row>
    <row r="155" spans="1:13" ht="37.5" customHeight="1" x14ac:dyDescent="0.45">
      <c r="A155" s="94" t="s">
        <v>364</v>
      </c>
      <c r="B155" s="101">
        <f>H155/100</f>
        <v>0</v>
      </c>
      <c r="C155" s="178"/>
      <c r="D155" s="178"/>
      <c r="E155" s="178"/>
      <c r="F155" s="178"/>
      <c r="G155" s="178"/>
      <c r="H155" s="96">
        <v>0</v>
      </c>
      <c r="I155" s="97" t="s">
        <v>356</v>
      </c>
      <c r="J155" s="179" t="s">
        <v>365</v>
      </c>
      <c r="K155" s="179"/>
      <c r="L155" s="179"/>
      <c r="M155" s="179"/>
    </row>
    <row r="156" spans="1:13" ht="33.75" customHeight="1" x14ac:dyDescent="0.45">
      <c r="A156" s="102" t="s">
        <v>366</v>
      </c>
      <c r="B156" s="103">
        <f>SUM(B151:B155)</f>
        <v>1</v>
      </c>
      <c r="C156" s="181" t="str">
        <f>IF(ABS(B156-1)&lt;0.0001,"✔  Cumulative probability = 100%; the weighted and median rows are valid.","⚠  Currently "&amp;TEXT(B156,"0%")&amp;" — "&amp;TEXT(1-B156,"0%")&amp;" still to allocate. Keep adjusting the five rows above until this reads 100%, otherwise the weighted row is unreadable.")</f>
        <v>✔  Cumulative probability = 100%; the weighted and median rows are valid.</v>
      </c>
      <c r="D156" s="181"/>
      <c r="E156" s="181"/>
      <c r="F156" s="181"/>
      <c r="G156" s="181"/>
      <c r="H156" s="181"/>
      <c r="I156" s="181"/>
      <c r="J156" s="181"/>
      <c r="K156" s="181"/>
      <c r="L156" s="181"/>
      <c r="M156" s="181"/>
    </row>
    <row r="158" spans="1:13" ht="24" customHeight="1" x14ac:dyDescent="0.45">
      <c r="A158" s="12" t="s">
        <v>367</v>
      </c>
      <c r="B158" s="12"/>
      <c r="C158" s="12"/>
      <c r="D158" s="12"/>
      <c r="E158" s="12"/>
      <c r="F158" s="12"/>
      <c r="G158" s="12"/>
      <c r="H158" s="12"/>
      <c r="I158" s="12"/>
      <c r="J158" s="12"/>
      <c r="K158" s="12"/>
      <c r="L158" s="12"/>
      <c r="M158" s="12"/>
    </row>
    <row r="159" spans="1:13" ht="31.5" customHeight="1" x14ac:dyDescent="0.45">
      <c r="A159" s="19" t="s">
        <v>27</v>
      </c>
      <c r="B159" s="19" t="s">
        <v>78</v>
      </c>
      <c r="C159" s="19" t="s">
        <v>79</v>
      </c>
      <c r="D159" s="19" t="s">
        <v>80</v>
      </c>
      <c r="E159" s="19" t="s">
        <v>368</v>
      </c>
      <c r="F159" s="19" t="s">
        <v>369</v>
      </c>
    </row>
    <row r="160" spans="1:13" ht="31.5" customHeight="1" x14ac:dyDescent="0.45">
      <c r="A160" s="28" t="s">
        <v>370</v>
      </c>
      <c r="B160" s="104">
        <f>D53</f>
        <v>-9.6010969195973961E-2</v>
      </c>
      <c r="C160" s="104">
        <f>E53</f>
        <v>-4.647754395731539E-2</v>
      </c>
      <c r="D160" s="104">
        <f>F53</f>
        <v>9.1620263391414464E-2</v>
      </c>
      <c r="E160" s="104">
        <f>E54</f>
        <v>-9.4810099542180337E-2</v>
      </c>
      <c r="F160" s="104">
        <f>F54</f>
        <v>2.2756561792224961E-2</v>
      </c>
      <c r="G160" s="182"/>
      <c r="H160" s="182"/>
      <c r="I160" s="182"/>
      <c r="J160" s="182"/>
      <c r="K160" s="182"/>
      <c r="L160" s="182"/>
      <c r="M160" s="182"/>
    </row>
    <row r="161" spans="1:13" ht="25.5" customHeight="1" x14ac:dyDescent="0.45">
      <c r="A161" s="23" t="s">
        <v>86</v>
      </c>
      <c r="B161" s="104">
        <f>E64</f>
        <v>-0.13951261391371647</v>
      </c>
      <c r="C161" s="104">
        <f>F64</f>
        <v>-0.16813457305789237</v>
      </c>
      <c r="D161" s="104">
        <f>G64</f>
        <v>-9.4430550991501438E-2</v>
      </c>
      <c r="E161" s="104">
        <f>F65</f>
        <v>-0.20948175470097175</v>
      </c>
      <c r="F161" s="104">
        <f>G65</f>
        <v>-0.19509017286334895</v>
      </c>
      <c r="G161" s="182"/>
      <c r="H161" s="182"/>
      <c r="I161" s="182"/>
      <c r="J161" s="182"/>
      <c r="K161" s="182"/>
      <c r="L161" s="182"/>
      <c r="M161" s="182"/>
    </row>
    <row r="162" spans="1:13" ht="25.5" customHeight="1" x14ac:dyDescent="0.45">
      <c r="A162" s="25" t="s">
        <v>371</v>
      </c>
      <c r="B162" s="105">
        <f>'06-Inventory-Burn-v4'!$C$35</f>
        <v>-9.6010969195973961E-2</v>
      </c>
      <c r="C162" s="105">
        <f>'06-Inventory-Burn-v4'!$D$35</f>
        <v>-6.1628024999635718E-2</v>
      </c>
      <c r="D162" s="105">
        <f>'06-Inventory-Burn-v4'!$E$35</f>
        <v>9.176731058434752E-2</v>
      </c>
      <c r="E162" s="105">
        <f>'06-Inventory-Burn-v4'!$D$36</f>
        <v>-0.1098126766991028</v>
      </c>
      <c r="F162" s="29" t="s">
        <v>84</v>
      </c>
      <c r="G162" s="182"/>
      <c r="H162" s="182"/>
      <c r="I162" s="182"/>
      <c r="J162" s="182"/>
      <c r="K162" s="182"/>
      <c r="L162" s="182"/>
      <c r="M162" s="182"/>
    </row>
    <row r="163" spans="1:13" ht="25.5" customHeight="1" x14ac:dyDescent="0.45">
      <c r="A163" s="25" t="s">
        <v>372</v>
      </c>
      <c r="B163" s="105">
        <f>'06-Inventory-Burn-v4'!$F$35</f>
        <v>-0.13951261391371647</v>
      </c>
      <c r="C163" s="105">
        <f>'06-Inventory-Burn-v4'!$G$35</f>
        <v>-0.17936206382910699</v>
      </c>
      <c r="D163" s="105">
        <f>'06-Inventory-Burn-v4'!$H$35</f>
        <v>-0.10652912863708698</v>
      </c>
      <c r="E163" s="29" t="s">
        <v>84</v>
      </c>
      <c r="F163" s="29" t="s">
        <v>84</v>
      </c>
      <c r="G163" s="182"/>
      <c r="H163" s="182"/>
      <c r="I163" s="182"/>
      <c r="J163" s="182"/>
      <c r="K163" s="182"/>
      <c r="L163" s="182"/>
      <c r="M163" s="182"/>
    </row>
    <row r="164" spans="1:13" ht="31.5" customHeight="1" x14ac:dyDescent="0.45">
      <c r="A164" s="32" t="s">
        <v>373</v>
      </c>
      <c r="B164" s="106">
        <f>'06-Inventory-Burn-v4'!$D$25</f>
        <v>0.56000000000000005</v>
      </c>
      <c r="C164" s="106">
        <f>'06-Inventory-Burn-v4'!$E$25</f>
        <v>0.83000000000000007</v>
      </c>
      <c r="D164" s="106">
        <f>'06-Inventory-Burn-v4'!$G$25</f>
        <v>0.56000000000000005</v>
      </c>
      <c r="E164" s="29" t="s">
        <v>84</v>
      </c>
      <c r="F164" s="29" t="s">
        <v>84</v>
      </c>
      <c r="G164" s="182"/>
      <c r="H164" s="182"/>
      <c r="I164" s="182"/>
      <c r="J164" s="182"/>
      <c r="K164" s="182"/>
      <c r="L164" s="182"/>
      <c r="M164" s="182"/>
    </row>
    <row r="346" spans="1:13" ht="60" customHeight="1" x14ac:dyDescent="0.45">
      <c r="A346" s="11" t="s">
        <v>374</v>
      </c>
      <c r="B346" s="11"/>
      <c r="C346" s="11"/>
      <c r="D346" s="11"/>
      <c r="E346" s="11"/>
      <c r="F346" s="11"/>
      <c r="G346" s="11"/>
      <c r="H346" s="11"/>
      <c r="I346" s="11"/>
      <c r="J346" s="11"/>
      <c r="K346" s="11"/>
      <c r="L346" s="11"/>
      <c r="M346" s="11"/>
    </row>
  </sheetData>
  <mergeCells count="99">
    <mergeCell ref="G161:M161"/>
    <mergeCell ref="G162:M162"/>
    <mergeCell ref="G163:M163"/>
    <mergeCell ref="G164:M164"/>
    <mergeCell ref="A346:M346"/>
    <mergeCell ref="C155:G155"/>
    <mergeCell ref="J155:M155"/>
    <mergeCell ref="C156:M156"/>
    <mergeCell ref="A158:M158"/>
    <mergeCell ref="G160:M160"/>
    <mergeCell ref="C152:G152"/>
    <mergeCell ref="J152:M152"/>
    <mergeCell ref="C153:G153"/>
    <mergeCell ref="J153:M153"/>
    <mergeCell ref="C154:G154"/>
    <mergeCell ref="J154:M154"/>
    <mergeCell ref="C149:G149"/>
    <mergeCell ref="J149:M149"/>
    <mergeCell ref="A150:M150"/>
    <mergeCell ref="C151:G151"/>
    <mergeCell ref="J151:M151"/>
    <mergeCell ref="C146:G146"/>
    <mergeCell ref="J146:M146"/>
    <mergeCell ref="C147:G147"/>
    <mergeCell ref="J147:M147"/>
    <mergeCell ref="C148:G148"/>
    <mergeCell ref="J148:M148"/>
    <mergeCell ref="C143:G143"/>
    <mergeCell ref="J143:M143"/>
    <mergeCell ref="C144:G144"/>
    <mergeCell ref="J144:M144"/>
    <mergeCell ref="C145:G145"/>
    <mergeCell ref="J145:M145"/>
    <mergeCell ref="A128:M128"/>
    <mergeCell ref="A138:M138"/>
    <mergeCell ref="A140:M140"/>
    <mergeCell ref="A141:M141"/>
    <mergeCell ref="C142:G142"/>
    <mergeCell ref="J142:M142"/>
    <mergeCell ref="E122:M122"/>
    <mergeCell ref="E123:M123"/>
    <mergeCell ref="E124:M124"/>
    <mergeCell ref="A125:M125"/>
    <mergeCell ref="A127:M127"/>
    <mergeCell ref="E116:M116"/>
    <mergeCell ref="A117:M117"/>
    <mergeCell ref="A119:M119"/>
    <mergeCell ref="E120:M120"/>
    <mergeCell ref="E121:M121"/>
    <mergeCell ref="C111:M111"/>
    <mergeCell ref="E112:M112"/>
    <mergeCell ref="E113:M113"/>
    <mergeCell ref="E114:M114"/>
    <mergeCell ref="E115:M115"/>
    <mergeCell ref="A95:M95"/>
    <mergeCell ref="A97:M97"/>
    <mergeCell ref="A98:M98"/>
    <mergeCell ref="A108:M108"/>
    <mergeCell ref="A110:M110"/>
    <mergeCell ref="J80:M80"/>
    <mergeCell ref="J81:M81"/>
    <mergeCell ref="A82:M82"/>
    <mergeCell ref="A84:M84"/>
    <mergeCell ref="A85:M85"/>
    <mergeCell ref="A74:M74"/>
    <mergeCell ref="A76:M76"/>
    <mergeCell ref="J77:M77"/>
    <mergeCell ref="J78:M78"/>
    <mergeCell ref="J79:M79"/>
    <mergeCell ref="A69:M69"/>
    <mergeCell ref="F70:M70"/>
    <mergeCell ref="F71:M71"/>
    <mergeCell ref="F72:M72"/>
    <mergeCell ref="F73:M73"/>
    <mergeCell ref="A46:M46"/>
    <mergeCell ref="A55:M55"/>
    <mergeCell ref="A57:M57"/>
    <mergeCell ref="A66:M66"/>
    <mergeCell ref="A67:M67"/>
    <mergeCell ref="A28:M28"/>
    <mergeCell ref="A33:M33"/>
    <mergeCell ref="A38:M38"/>
    <mergeCell ref="A43:M43"/>
    <mergeCell ref="A44:M44"/>
    <mergeCell ref="D12:M12"/>
    <mergeCell ref="D13:M13"/>
    <mergeCell ref="D14:M14"/>
    <mergeCell ref="A17:M17"/>
    <mergeCell ref="A23:M23"/>
    <mergeCell ref="D7:M7"/>
    <mergeCell ref="D8:M8"/>
    <mergeCell ref="D9:M9"/>
    <mergeCell ref="D10:M10"/>
    <mergeCell ref="D11:M11"/>
    <mergeCell ref="A1:M1"/>
    <mergeCell ref="A2:M2"/>
    <mergeCell ref="A4:M4"/>
    <mergeCell ref="D5:M5"/>
    <mergeCell ref="D6:M6"/>
  </mergeCells>
  <phoneticPr fontId="59" type="noConversion"/>
  <pageMargins left="0.75" right="0.75" top="1" bottom="1" header="0.511811023622047" footer="0.511811023622047"/>
  <pageSetup paperSize="9" orientation="portrait" horizontalDpi="300" verticalDpi="300"/>
  <drawing r:id="rId1"/>
  <legacyDrawing r:id="rId2"/>
  <mc:AlternateContent xmlns:mc="http://schemas.openxmlformats.org/markup-compatibility/2006">
    <mc:Choice Requires="x14">
      <controls>
        <mc:AlternateContent xmlns:mc="http://schemas.openxmlformats.org/markup-compatibility/2006">
          <mc:Choice Requires="x14">
            <control shapeId="1025" r:id="rId3" name="Scroll Bar 1">
              <controlPr defaultSize="0" print="0" autoLine="0" autoPict="0" altText="">
                <anchor moveWithCells="1">
                  <from>
                    <xdr:col>2</xdr:col>
                    <xdr:colOff>19050</xdr:colOff>
                    <xdr:row>142</xdr:row>
                    <xdr:rowOff>23813</xdr:rowOff>
                  </from>
                  <to>
                    <xdr:col>7</xdr:col>
                    <xdr:colOff>0</xdr:colOff>
                    <xdr:row>143</xdr:row>
                    <xdr:rowOff>0</xdr:rowOff>
                  </to>
                </anchor>
              </controlPr>
            </control>
          </mc:Choice>
        </mc:AlternateContent>
        <mc:AlternateContent xmlns:mc="http://schemas.openxmlformats.org/markup-compatibility/2006">
          <mc:Choice Requires="x14">
            <control shapeId="1026" r:id="rId4" name="Scroll Bar 2">
              <controlPr defaultSize="0" print="0" autoLine="0" autoPict="0" altText="">
                <anchor moveWithCells="1">
                  <from>
                    <xdr:col>2</xdr:col>
                    <xdr:colOff>19050</xdr:colOff>
                    <xdr:row>143</xdr:row>
                    <xdr:rowOff>23813</xdr:rowOff>
                  </from>
                  <to>
                    <xdr:col>7</xdr:col>
                    <xdr:colOff>0</xdr:colOff>
                    <xdr:row>144</xdr:row>
                    <xdr:rowOff>0</xdr:rowOff>
                  </to>
                </anchor>
              </controlPr>
            </control>
          </mc:Choice>
        </mc:AlternateContent>
        <mc:AlternateContent xmlns:mc="http://schemas.openxmlformats.org/markup-compatibility/2006">
          <mc:Choice Requires="x14">
            <control shapeId="1027" r:id="rId5" name="Scroll Bar 3">
              <controlPr defaultSize="0" print="0" autoLine="0" autoPict="0" altText="">
                <anchor moveWithCells="1">
                  <from>
                    <xdr:col>2</xdr:col>
                    <xdr:colOff>19050</xdr:colOff>
                    <xdr:row>144</xdr:row>
                    <xdr:rowOff>23813</xdr:rowOff>
                  </from>
                  <to>
                    <xdr:col>7</xdr:col>
                    <xdr:colOff>0</xdr:colOff>
                    <xdr:row>145</xdr:row>
                    <xdr:rowOff>0</xdr:rowOff>
                  </to>
                </anchor>
              </controlPr>
            </control>
          </mc:Choice>
        </mc:AlternateContent>
        <mc:AlternateContent xmlns:mc="http://schemas.openxmlformats.org/markup-compatibility/2006">
          <mc:Choice Requires="x14">
            <control shapeId="1028" r:id="rId6" name="Scroll Bar 4">
              <controlPr defaultSize="0" print="0" autoLine="0" autoPict="0" altText="">
                <anchor moveWithCells="1">
                  <from>
                    <xdr:col>2</xdr:col>
                    <xdr:colOff>19050</xdr:colOff>
                    <xdr:row>145</xdr:row>
                    <xdr:rowOff>23813</xdr:rowOff>
                  </from>
                  <to>
                    <xdr:col>7</xdr:col>
                    <xdr:colOff>0</xdr:colOff>
                    <xdr:row>146</xdr:row>
                    <xdr:rowOff>0</xdr:rowOff>
                  </to>
                </anchor>
              </controlPr>
            </control>
          </mc:Choice>
        </mc:AlternateContent>
        <mc:AlternateContent xmlns:mc="http://schemas.openxmlformats.org/markup-compatibility/2006">
          <mc:Choice Requires="x14">
            <control shapeId="1029" r:id="rId7" name="Scroll Bar 5">
              <controlPr defaultSize="0" print="0" autoLine="0" autoPict="0" altText="">
                <anchor moveWithCells="1">
                  <from>
                    <xdr:col>2</xdr:col>
                    <xdr:colOff>19050</xdr:colOff>
                    <xdr:row>146</xdr:row>
                    <xdr:rowOff>23813</xdr:rowOff>
                  </from>
                  <to>
                    <xdr:col>7</xdr:col>
                    <xdr:colOff>0</xdr:colOff>
                    <xdr:row>147</xdr:row>
                    <xdr:rowOff>0</xdr:rowOff>
                  </to>
                </anchor>
              </controlPr>
            </control>
          </mc:Choice>
        </mc:AlternateContent>
        <mc:AlternateContent xmlns:mc="http://schemas.openxmlformats.org/markup-compatibility/2006">
          <mc:Choice Requires="x14">
            <control shapeId="1030" r:id="rId8" name="Scroll Bar 6">
              <controlPr defaultSize="0" print="0" autoLine="0" autoPict="0" altText="">
                <anchor moveWithCells="1">
                  <from>
                    <xdr:col>2</xdr:col>
                    <xdr:colOff>19050</xdr:colOff>
                    <xdr:row>147</xdr:row>
                    <xdr:rowOff>23813</xdr:rowOff>
                  </from>
                  <to>
                    <xdr:col>7</xdr:col>
                    <xdr:colOff>0</xdr:colOff>
                    <xdr:row>148</xdr:row>
                    <xdr:rowOff>0</xdr:rowOff>
                  </to>
                </anchor>
              </controlPr>
            </control>
          </mc:Choice>
        </mc:AlternateContent>
        <mc:AlternateContent xmlns:mc="http://schemas.openxmlformats.org/markup-compatibility/2006">
          <mc:Choice Requires="x14">
            <control shapeId="1031" r:id="rId9" name="Scroll Bar 7">
              <controlPr defaultSize="0" print="0" autoLine="0" autoPict="0" altText="">
                <anchor moveWithCells="1">
                  <from>
                    <xdr:col>2</xdr:col>
                    <xdr:colOff>19050</xdr:colOff>
                    <xdr:row>148</xdr:row>
                    <xdr:rowOff>23813</xdr:rowOff>
                  </from>
                  <to>
                    <xdr:col>7</xdr:col>
                    <xdr:colOff>0</xdr:colOff>
                    <xdr:row>149</xdr:row>
                    <xdr:rowOff>0</xdr:rowOff>
                  </to>
                </anchor>
              </controlPr>
            </control>
          </mc:Choice>
        </mc:AlternateContent>
        <mc:AlternateContent xmlns:mc="http://schemas.openxmlformats.org/markup-compatibility/2006">
          <mc:Choice Requires="x14">
            <control shapeId="1032" r:id="rId10" name="Scroll Bar 8">
              <controlPr defaultSize="0" print="0" autoLine="0" autoPict="0" altText="">
                <anchor moveWithCells="1">
                  <from>
                    <xdr:col>2</xdr:col>
                    <xdr:colOff>19050</xdr:colOff>
                    <xdr:row>150</xdr:row>
                    <xdr:rowOff>23813</xdr:rowOff>
                  </from>
                  <to>
                    <xdr:col>7</xdr:col>
                    <xdr:colOff>0</xdr:colOff>
                    <xdr:row>151</xdr:row>
                    <xdr:rowOff>0</xdr:rowOff>
                  </to>
                </anchor>
              </controlPr>
            </control>
          </mc:Choice>
        </mc:AlternateContent>
        <mc:AlternateContent xmlns:mc="http://schemas.openxmlformats.org/markup-compatibility/2006">
          <mc:Choice Requires="x14">
            <control shapeId="1033" r:id="rId11" name="Scroll Bar 9">
              <controlPr defaultSize="0" print="0" autoLine="0" autoPict="0" altText="">
                <anchor moveWithCells="1">
                  <from>
                    <xdr:col>2</xdr:col>
                    <xdr:colOff>19050</xdr:colOff>
                    <xdr:row>151</xdr:row>
                    <xdr:rowOff>23813</xdr:rowOff>
                  </from>
                  <to>
                    <xdr:col>7</xdr:col>
                    <xdr:colOff>0</xdr:colOff>
                    <xdr:row>152</xdr:row>
                    <xdr:rowOff>0</xdr:rowOff>
                  </to>
                </anchor>
              </controlPr>
            </control>
          </mc:Choice>
        </mc:AlternateContent>
        <mc:AlternateContent xmlns:mc="http://schemas.openxmlformats.org/markup-compatibility/2006">
          <mc:Choice Requires="x14">
            <control shapeId="1034" r:id="rId12" name="Scroll Bar 10">
              <controlPr defaultSize="0" print="0" autoLine="0" autoPict="0" altText="">
                <anchor moveWithCells="1">
                  <from>
                    <xdr:col>2</xdr:col>
                    <xdr:colOff>19050</xdr:colOff>
                    <xdr:row>152</xdr:row>
                    <xdr:rowOff>23813</xdr:rowOff>
                  </from>
                  <to>
                    <xdr:col>7</xdr:col>
                    <xdr:colOff>0</xdr:colOff>
                    <xdr:row>153</xdr:row>
                    <xdr:rowOff>0</xdr:rowOff>
                  </to>
                </anchor>
              </controlPr>
            </control>
          </mc:Choice>
        </mc:AlternateContent>
        <mc:AlternateContent xmlns:mc="http://schemas.openxmlformats.org/markup-compatibility/2006">
          <mc:Choice Requires="x14">
            <control shapeId="1035" r:id="rId13" name="Scroll Bar 11">
              <controlPr defaultSize="0" print="0" autoLine="0" autoPict="0" altText="">
                <anchor moveWithCells="1">
                  <from>
                    <xdr:col>2</xdr:col>
                    <xdr:colOff>19050</xdr:colOff>
                    <xdr:row>153</xdr:row>
                    <xdr:rowOff>23813</xdr:rowOff>
                  </from>
                  <to>
                    <xdr:col>7</xdr:col>
                    <xdr:colOff>0</xdr:colOff>
                    <xdr:row>154</xdr:row>
                    <xdr:rowOff>0</xdr:rowOff>
                  </to>
                </anchor>
              </controlPr>
            </control>
          </mc:Choice>
        </mc:AlternateContent>
        <mc:AlternateContent xmlns:mc="http://schemas.openxmlformats.org/markup-compatibility/2006">
          <mc:Choice Requires="x14">
            <control shapeId="1036" r:id="rId14" name="Scroll Bar 12">
              <controlPr defaultSize="0" print="0" autoLine="0" autoPict="0" altText="">
                <anchor moveWithCells="1">
                  <from>
                    <xdr:col>2</xdr:col>
                    <xdr:colOff>19050</xdr:colOff>
                    <xdr:row>154</xdr:row>
                    <xdr:rowOff>23813</xdr:rowOff>
                  </from>
                  <to>
                    <xdr:col>7</xdr:col>
                    <xdr:colOff>0</xdr:colOff>
                    <xdr:row>155</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6305B"/>
  </sheetPr>
  <dimension ref="A1:L216"/>
  <sheetViews>
    <sheetView showGridLines="0" topLeftCell="A5" zoomScale="66" zoomScaleNormal="100" workbookViewId="0">
      <selection activeCell="F9" sqref="F9"/>
    </sheetView>
  </sheetViews>
  <sheetFormatPr defaultColWidth="8.6640625" defaultRowHeight="14.25" x14ac:dyDescent="0.45"/>
  <cols>
    <col min="1" max="1" width="22.46484375" customWidth="1"/>
    <col min="2" max="2" width="11.46484375" customWidth="1"/>
    <col min="3" max="3" width="12.6640625" customWidth="1"/>
    <col min="4" max="4" width="12" customWidth="1"/>
    <col min="5" max="5" width="11.46484375" customWidth="1"/>
    <col min="6" max="6" width="13.6640625" customWidth="1"/>
    <col min="7" max="7" width="12.6640625" customWidth="1"/>
    <col min="8" max="8" width="13.6640625" customWidth="1"/>
    <col min="9" max="9" width="12" customWidth="1"/>
    <col min="10" max="10" width="13.6640625" customWidth="1"/>
    <col min="11" max="11" width="12" customWidth="1"/>
    <col min="12" max="12" width="36" customWidth="1"/>
  </cols>
  <sheetData>
    <row r="1" spans="1:12" ht="37.5" customHeight="1" x14ac:dyDescent="0.45">
      <c r="A1" s="14" t="s">
        <v>375</v>
      </c>
      <c r="B1" s="14"/>
      <c r="C1" s="14"/>
      <c r="D1" s="14"/>
      <c r="E1" s="14"/>
      <c r="F1" s="14"/>
      <c r="G1" s="14"/>
      <c r="H1" s="14"/>
      <c r="I1" s="14"/>
      <c r="J1" s="14"/>
      <c r="K1" s="14"/>
      <c r="L1" s="14"/>
    </row>
    <row r="2" spans="1:12" ht="31.5" customHeight="1" x14ac:dyDescent="0.45">
      <c r="A2" s="13" t="s">
        <v>376</v>
      </c>
      <c r="B2" s="13"/>
      <c r="C2" s="13"/>
      <c r="D2" s="13"/>
      <c r="E2" s="13"/>
      <c r="F2" s="13"/>
      <c r="G2" s="13"/>
      <c r="H2" s="13"/>
      <c r="I2" s="13"/>
      <c r="J2" s="13"/>
      <c r="K2" s="13"/>
      <c r="L2" s="13"/>
    </row>
    <row r="4" spans="1:12" ht="24" customHeight="1" x14ac:dyDescent="0.45">
      <c r="A4" s="12" t="s">
        <v>377</v>
      </c>
      <c r="B4" s="12"/>
      <c r="C4" s="12"/>
      <c r="D4" s="12"/>
      <c r="E4" s="12"/>
      <c r="F4" s="12"/>
      <c r="G4" s="12"/>
      <c r="H4" s="12"/>
      <c r="I4" s="12"/>
      <c r="J4" s="12"/>
      <c r="K4" s="12"/>
      <c r="L4" s="12"/>
    </row>
    <row r="5" spans="1:12" ht="59.25" customHeight="1" x14ac:dyDescent="0.45">
      <c r="A5" s="19" t="s">
        <v>200</v>
      </c>
      <c r="B5" s="19" t="s">
        <v>105</v>
      </c>
      <c r="C5" s="19" t="s">
        <v>201</v>
      </c>
      <c r="D5" s="19" t="s">
        <v>378</v>
      </c>
      <c r="E5" s="19" t="s">
        <v>379</v>
      </c>
      <c r="F5" s="19" t="s">
        <v>209</v>
      </c>
      <c r="G5" s="19" t="s">
        <v>208</v>
      </c>
      <c r="H5" s="19" t="s">
        <v>210</v>
      </c>
      <c r="I5" s="19" t="s">
        <v>211</v>
      </c>
      <c r="J5" s="19" t="s">
        <v>380</v>
      </c>
      <c r="K5" s="19" t="s">
        <v>381</v>
      </c>
    </row>
    <row r="6" spans="1:12" ht="18" customHeight="1" x14ac:dyDescent="0.45">
      <c r="A6" s="53" t="s">
        <v>382</v>
      </c>
      <c r="B6" s="54" t="s">
        <v>219</v>
      </c>
      <c r="C6" s="55" t="s">
        <v>84</v>
      </c>
      <c r="D6" s="55" t="s">
        <v>84</v>
      </c>
      <c r="E6" s="55" t="s">
        <v>84</v>
      </c>
      <c r="F6" s="55" t="s">
        <v>84</v>
      </c>
      <c r="G6" s="55" t="s">
        <v>84</v>
      </c>
      <c r="H6" s="55" t="s">
        <v>84</v>
      </c>
      <c r="I6" s="59">
        <f>$B$76</f>
        <v>-2.5000000000000001E-2</v>
      </c>
      <c r="J6" s="107" t="s">
        <v>84</v>
      </c>
      <c r="K6" s="107" t="s">
        <v>84</v>
      </c>
    </row>
    <row r="7" spans="1:12" ht="18" customHeight="1" x14ac:dyDescent="0.45">
      <c r="A7" s="64"/>
      <c r="B7" s="54" t="s">
        <v>220</v>
      </c>
      <c r="C7" s="56">
        <v>0</v>
      </c>
      <c r="D7" s="56">
        <v>0.15</v>
      </c>
      <c r="E7" s="56">
        <v>0.03</v>
      </c>
      <c r="F7" s="56">
        <v>0.22</v>
      </c>
      <c r="G7" s="65">
        <f>(1+C7+$B$78)*(1+D7+$B$79)*(1+E7+$B$80)*(1+$B$77)-1</f>
        <v>0.17265499999999978</v>
      </c>
      <c r="H7" s="66">
        <f>G7-(F7+$B$81)</f>
        <v>-6.734500000000021E-2</v>
      </c>
      <c r="I7" s="66">
        <f>(1+I6)*(1+G7)/(1+F7+$B$81)-1</f>
        <v>-7.7952721774193767E-2</v>
      </c>
      <c r="J7" s="108">
        <f>'01-DRAM-Model'!J25</f>
        <v>0.18498903080402607</v>
      </c>
      <c r="K7" s="109">
        <f>IF(J7&lt;=0,"n/a",G7/J7)</f>
        <v>0.93332560990012037</v>
      </c>
    </row>
    <row r="8" spans="1:12" ht="18" customHeight="1" x14ac:dyDescent="0.45">
      <c r="A8" s="64"/>
      <c r="B8" s="54" t="s">
        <v>79</v>
      </c>
      <c r="C8" s="56">
        <v>0.02</v>
      </c>
      <c r="D8" s="56">
        <v>0.16</v>
      </c>
      <c r="E8" s="56">
        <v>0.04</v>
      </c>
      <c r="F8" s="56">
        <v>0.24</v>
      </c>
      <c r="G8" s="65">
        <f>(1+C8+$B$78)*(1+D8+$B$79)*(1+E8+$B$80)*(1+$B$77)-1</f>
        <v>0.21846399999999999</v>
      </c>
      <c r="H8" s="66">
        <f>G8-(F8+$B$81)</f>
        <v>-4.1536000000000017E-2</v>
      </c>
      <c r="I8" s="66">
        <f>(1+I7)*(1+G8)/(1+F8+$B$81)-1</f>
        <v>-0.10834808347926295</v>
      </c>
      <c r="J8" s="108">
        <f>'01-DRAM-Model'!J26</f>
        <v>0.17518990045781968</v>
      </c>
      <c r="K8" s="109">
        <f>IF(J8&lt;=0,"n/a",G8/J8)</f>
        <v>1.2470125242898884</v>
      </c>
    </row>
    <row r="9" spans="1:12" ht="18" customHeight="1" x14ac:dyDescent="0.45">
      <c r="A9" s="64"/>
      <c r="B9" s="54" t="s">
        <v>80</v>
      </c>
      <c r="C9" s="56">
        <v>0.05</v>
      </c>
      <c r="D9" s="56">
        <v>0.15</v>
      </c>
      <c r="E9" s="56">
        <v>0.04</v>
      </c>
      <c r="F9" s="56">
        <v>0.24</v>
      </c>
      <c r="G9" s="65">
        <f>(1+C9+$B$78)*(1+D9+$B$79)*(1+E9+$B$80)*(1+$B$77)-1</f>
        <v>0.24384000000000006</v>
      </c>
      <c r="H9" s="66">
        <f>G9-(F9+$B$81)</f>
        <v>-1.6159999999999952E-2</v>
      </c>
      <c r="I9" s="66">
        <f>(1+I8)*(1+G9)/(1+F9+$B$81)-1</f>
        <v>-0.11978387313876704</v>
      </c>
      <c r="J9" s="108">
        <f>'01-DRAM-Model'!J27</f>
        <v>0.27275656179222496</v>
      </c>
      <c r="K9" s="109">
        <f>IF(J9&lt;=0,"n/a",G9/J9)</f>
        <v>0.89398399216422009</v>
      </c>
    </row>
    <row r="10" spans="1:12" ht="17.25" customHeight="1" x14ac:dyDescent="0.45">
      <c r="A10" s="172" t="s">
        <v>383</v>
      </c>
      <c r="B10" s="172"/>
      <c r="C10" s="172"/>
      <c r="D10" s="172"/>
      <c r="E10" s="172"/>
      <c r="F10" s="172"/>
      <c r="G10" s="172"/>
      <c r="H10" s="172"/>
      <c r="I10" s="172"/>
      <c r="J10" s="172"/>
      <c r="K10" s="172"/>
      <c r="L10" s="172"/>
    </row>
    <row r="11" spans="1:12" ht="18" customHeight="1" x14ac:dyDescent="0.45">
      <c r="A11" s="53" t="s">
        <v>384</v>
      </c>
      <c r="B11" s="54" t="s">
        <v>219</v>
      </c>
      <c r="C11" s="55" t="s">
        <v>84</v>
      </c>
      <c r="D11" s="55" t="s">
        <v>84</v>
      </c>
      <c r="E11" s="55" t="s">
        <v>84</v>
      </c>
      <c r="F11" s="55" t="s">
        <v>84</v>
      </c>
      <c r="G11" s="55" t="s">
        <v>84</v>
      </c>
      <c r="H11" s="55" t="s">
        <v>84</v>
      </c>
      <c r="I11" s="59">
        <f>$B$76</f>
        <v>-2.5000000000000001E-2</v>
      </c>
      <c r="J11" s="107" t="s">
        <v>84</v>
      </c>
      <c r="K11" s="107" t="s">
        <v>84</v>
      </c>
    </row>
    <row r="12" spans="1:12" ht="18" customHeight="1" x14ac:dyDescent="0.45">
      <c r="A12" s="64"/>
      <c r="B12" s="54" t="s">
        <v>220</v>
      </c>
      <c r="C12" s="56">
        <v>0</v>
      </c>
      <c r="D12" s="56">
        <v>0.15</v>
      </c>
      <c r="E12" s="56">
        <v>0.03</v>
      </c>
      <c r="F12" s="56">
        <v>0.22</v>
      </c>
      <c r="G12" s="65">
        <f>(1+C12+$B$78)*(1+D12+$B$79)*(1+E12+$B$80)*(1+$B$77)-1</f>
        <v>0.17265499999999978</v>
      </c>
      <c r="H12" s="66">
        <f>G12-(F12+$B$81)</f>
        <v>-6.734500000000021E-2</v>
      </c>
      <c r="I12" s="66">
        <f>(1+I11)*(1+G12)/(1+F12+$B$81)-1</f>
        <v>-7.7952721774193767E-2</v>
      </c>
      <c r="J12" s="108">
        <f>'01-DRAM-Model'!J25</f>
        <v>0.18498903080402607</v>
      </c>
      <c r="K12" s="109">
        <f>IF(J12&lt;=0,"n/a",G12/J12)</f>
        <v>0.93332560990012037</v>
      </c>
    </row>
    <row r="13" spans="1:12" ht="18" customHeight="1" x14ac:dyDescent="0.45">
      <c r="A13" s="64"/>
      <c r="B13" s="54" t="s">
        <v>79</v>
      </c>
      <c r="C13" s="56">
        <v>0.04</v>
      </c>
      <c r="D13" s="56">
        <v>0.18</v>
      </c>
      <c r="E13" s="56">
        <v>0.05</v>
      </c>
      <c r="F13" s="56">
        <v>0.2</v>
      </c>
      <c r="G13" s="65">
        <f>(1+C13+$B$78)*(1+D13+$B$79)*(1+E13+$B$80)*(1+$B$77)-1</f>
        <v>0.27617000000000003</v>
      </c>
      <c r="H13" s="66">
        <f>G13-(F13+$B$81)</f>
        <v>5.6170000000000025E-2</v>
      </c>
      <c r="I13" s="66">
        <f>(1+I12)*(1+G13)/(1+F13+$B$81)-1</f>
        <v>-3.5500758152928524E-2</v>
      </c>
      <c r="J13" s="108">
        <f>'01-DRAM-Model'!J26</f>
        <v>0.17518990045781968</v>
      </c>
      <c r="K13" s="109">
        <f>IF(J13&lt;=0,"n/a",G13/J13)</f>
        <v>1.576403658420328</v>
      </c>
    </row>
    <row r="14" spans="1:12" ht="18" customHeight="1" x14ac:dyDescent="0.45">
      <c r="A14" s="64"/>
      <c r="B14" s="54" t="s">
        <v>80</v>
      </c>
      <c r="C14" s="56">
        <v>0.08</v>
      </c>
      <c r="D14" s="56">
        <v>0.17</v>
      </c>
      <c r="E14" s="56">
        <v>0.05</v>
      </c>
      <c r="F14" s="56">
        <v>0.18</v>
      </c>
      <c r="G14" s="65">
        <f>(1+C14+$B$78)*(1+D14+$B$79)*(1+E14+$B$80)*(1+$B$77)-1</f>
        <v>0.31449499999999997</v>
      </c>
      <c r="H14" s="66">
        <f>G14-(F14+$B$81)</f>
        <v>0.11449499999999999</v>
      </c>
      <c r="I14" s="66">
        <f>(1+I13)*(1+G14)/(1+F14+$B$81)-1</f>
        <v>5.6524525759805266E-2</v>
      </c>
      <c r="J14" s="108">
        <f>'01-DRAM-Model'!J27</f>
        <v>0.27275656179222496</v>
      </c>
      <c r="K14" s="109">
        <f>IF(J14&lt;=0,"n/a",G14/J14)</f>
        <v>1.1530245062979261</v>
      </c>
    </row>
    <row r="15" spans="1:12" ht="28.5" customHeight="1" x14ac:dyDescent="0.45">
      <c r="A15" s="172" t="s">
        <v>385</v>
      </c>
      <c r="B15" s="172"/>
      <c r="C15" s="172"/>
      <c r="D15" s="172"/>
      <c r="E15" s="172"/>
      <c r="F15" s="172"/>
      <c r="G15" s="172"/>
      <c r="H15" s="172"/>
      <c r="I15" s="172"/>
      <c r="J15" s="172"/>
      <c r="K15" s="172"/>
      <c r="L15" s="172"/>
    </row>
    <row r="16" spans="1:12" ht="18" customHeight="1" x14ac:dyDescent="0.45">
      <c r="A16" s="53" t="s">
        <v>386</v>
      </c>
      <c r="B16" s="54" t="s">
        <v>219</v>
      </c>
      <c r="C16" s="55" t="s">
        <v>84</v>
      </c>
      <c r="D16" s="55" t="s">
        <v>84</v>
      </c>
      <c r="E16" s="55" t="s">
        <v>84</v>
      </c>
      <c r="F16" s="55" t="s">
        <v>84</v>
      </c>
      <c r="G16" s="55" t="s">
        <v>84</v>
      </c>
      <c r="H16" s="55" t="s">
        <v>84</v>
      </c>
      <c r="I16" s="59">
        <f>$B$76</f>
        <v>-2.5000000000000001E-2</v>
      </c>
      <c r="J16" s="107" t="s">
        <v>84</v>
      </c>
      <c r="K16" s="107" t="s">
        <v>84</v>
      </c>
    </row>
    <row r="17" spans="1:12" ht="18" customHeight="1" x14ac:dyDescent="0.45">
      <c r="A17" s="64"/>
      <c r="B17" s="54" t="s">
        <v>220</v>
      </c>
      <c r="C17" s="56">
        <v>0</v>
      </c>
      <c r="D17" s="56">
        <v>0.15</v>
      </c>
      <c r="E17" s="56">
        <v>0.03</v>
      </c>
      <c r="F17" s="56">
        <v>0.2</v>
      </c>
      <c r="G17" s="65">
        <f>(1+C17+$B$78)*(1+D17+$B$79)*(1+E17+$B$80)*(1+$B$77)-1</f>
        <v>0.17265499999999978</v>
      </c>
      <c r="H17" s="66">
        <f>G17-(F17+$B$81)</f>
        <v>-4.734500000000022E-2</v>
      </c>
      <c r="I17" s="66">
        <f>(1+I16)*(1+G17)/(1+F17+$B$81)-1</f>
        <v>-6.2837192622951066E-2</v>
      </c>
      <c r="J17" s="108">
        <f>'01-DRAM-Model'!J25</f>
        <v>0.18498903080402607</v>
      </c>
      <c r="K17" s="109">
        <f>IF(J17&lt;=0,"n/a",G17/J17)</f>
        <v>0.93332560990012037</v>
      </c>
    </row>
    <row r="18" spans="1:12" ht="18" customHeight="1" x14ac:dyDescent="0.45">
      <c r="A18" s="64"/>
      <c r="B18" s="54" t="s">
        <v>79</v>
      </c>
      <c r="C18" s="56">
        <v>0.06</v>
      </c>
      <c r="D18" s="56">
        <v>0.21</v>
      </c>
      <c r="E18" s="56">
        <v>7.0000000000000007E-2</v>
      </c>
      <c r="F18" s="56">
        <v>0.16</v>
      </c>
      <c r="G18" s="65">
        <f>(1+C18+$B$78)*(1+D18+$B$79)*(1+E18+$B$80)*(1+$B$77)-1</f>
        <v>0.35943499999999995</v>
      </c>
      <c r="H18" s="66">
        <f>G18-(F18+$B$81)</f>
        <v>0.17943499999999996</v>
      </c>
      <c r="I18" s="66">
        <f>(1+I17)*(1+G18)/(1+F18+$B$81)-1</f>
        <v>7.9671119531032675E-2</v>
      </c>
      <c r="J18" s="108">
        <f>'01-DRAM-Model'!J26</f>
        <v>0.17518990045781968</v>
      </c>
      <c r="K18" s="109">
        <f>IF(J18&lt;=0,"n/a",G18/J18)</f>
        <v>2.0516879058706969</v>
      </c>
    </row>
    <row r="19" spans="1:12" ht="18" customHeight="1" x14ac:dyDescent="0.45">
      <c r="A19" s="64"/>
      <c r="B19" s="54" t="s">
        <v>80</v>
      </c>
      <c r="C19" s="56">
        <v>0.12</v>
      </c>
      <c r="D19" s="56">
        <v>0.2</v>
      </c>
      <c r="E19" s="56">
        <v>0.06</v>
      </c>
      <c r="F19" s="56">
        <v>0.12</v>
      </c>
      <c r="G19" s="65">
        <f>(1+C19+$B$78)*(1+D19+$B$79)*(1+E19+$B$80)*(1+$B$77)-1</f>
        <v>0.41192000000000006</v>
      </c>
      <c r="H19" s="66">
        <f>G19-(F19+$B$81)</f>
        <v>0.27192000000000005</v>
      </c>
      <c r="I19" s="66">
        <f>(1+I18)*(1+G19)/(1+F19+$B$81)-1</f>
        <v>0.33720109393706621</v>
      </c>
      <c r="J19" s="108">
        <f>'01-DRAM-Model'!J27</f>
        <v>0.27275656179222496</v>
      </c>
      <c r="K19" s="109">
        <f>IF(J19&lt;=0,"n/a",G19/J19)</f>
        <v>1.5102111468679689</v>
      </c>
    </row>
    <row r="20" spans="1:12" ht="17.25" customHeight="1" x14ac:dyDescent="0.45">
      <c r="A20" s="172" t="s">
        <v>387</v>
      </c>
      <c r="B20" s="172"/>
      <c r="C20" s="172"/>
      <c r="D20" s="172"/>
      <c r="E20" s="172"/>
      <c r="F20" s="172"/>
      <c r="G20" s="172"/>
      <c r="H20" s="172"/>
      <c r="I20" s="172"/>
      <c r="J20" s="172"/>
      <c r="K20" s="172"/>
      <c r="L20" s="172"/>
    </row>
    <row r="21" spans="1:12" ht="18" customHeight="1" x14ac:dyDescent="0.45">
      <c r="A21" s="53" t="s">
        <v>388</v>
      </c>
      <c r="B21" s="54" t="s">
        <v>219</v>
      </c>
      <c r="C21" s="55" t="s">
        <v>84</v>
      </c>
      <c r="D21" s="55" t="s">
        <v>84</v>
      </c>
      <c r="E21" s="55" t="s">
        <v>84</v>
      </c>
      <c r="F21" s="55" t="s">
        <v>84</v>
      </c>
      <c r="G21" s="55" t="s">
        <v>84</v>
      </c>
      <c r="H21" s="55" t="s">
        <v>84</v>
      </c>
      <c r="I21" s="59">
        <f>$B$76</f>
        <v>-2.5000000000000001E-2</v>
      </c>
      <c r="J21" s="107" t="s">
        <v>84</v>
      </c>
      <c r="K21" s="107" t="s">
        <v>84</v>
      </c>
    </row>
    <row r="22" spans="1:12" ht="18" customHeight="1" x14ac:dyDescent="0.45">
      <c r="A22" s="64"/>
      <c r="B22" s="54" t="s">
        <v>220</v>
      </c>
      <c r="C22" s="56">
        <v>0</v>
      </c>
      <c r="D22" s="56">
        <v>0.15</v>
      </c>
      <c r="E22" s="56">
        <v>0.03</v>
      </c>
      <c r="F22" s="56">
        <v>0.18</v>
      </c>
      <c r="G22" s="65">
        <f>(1+C22+$B$78)*(1+D22+$B$79)*(1+E22+$B$80)*(1+$B$77)-1</f>
        <v>0.17265499999999978</v>
      </c>
      <c r="H22" s="66">
        <f>G22-(F22+$B$81)</f>
        <v>-2.7345000000000202E-2</v>
      </c>
      <c r="I22" s="66">
        <f>(1+I21)*(1+G22)/(1+F22+$B$81)-1</f>
        <v>-4.7217812500000234E-2</v>
      </c>
      <c r="J22" s="108">
        <f>'01-DRAM-Model'!J25</f>
        <v>0.18498903080402607</v>
      </c>
      <c r="K22" s="109">
        <f>IF(J22&lt;=0,"n/a",G22/J22)</f>
        <v>0.93332560990012037</v>
      </c>
    </row>
    <row r="23" spans="1:12" ht="18" customHeight="1" x14ac:dyDescent="0.45">
      <c r="A23" s="64"/>
      <c r="B23" s="54" t="s">
        <v>79</v>
      </c>
      <c r="C23" s="56">
        <v>0.08</v>
      </c>
      <c r="D23" s="56">
        <v>0.24</v>
      </c>
      <c r="E23" s="56">
        <v>0.08</v>
      </c>
      <c r="F23" s="56">
        <v>0.12</v>
      </c>
      <c r="G23" s="65">
        <f>(1+C23+$B$78)*(1+D23+$B$79)*(1+E23+$B$80)*(1+$B$77)-1</f>
        <v>0.432944</v>
      </c>
      <c r="H23" s="66">
        <f>G23-(F23+$B$81)</f>
        <v>0.29294399999999998</v>
      </c>
      <c r="I23" s="66">
        <f>(1+I22)*(1+G23)/(1+F23+$B$81)-1</f>
        <v>0.19761712182894686</v>
      </c>
      <c r="J23" s="108">
        <f>'01-DRAM-Model'!J26</f>
        <v>0.17518990045781968</v>
      </c>
      <c r="K23" s="109">
        <f>IF(J23&lt;=0,"n/a",G23/J23)</f>
        <v>2.4712840116273687</v>
      </c>
    </row>
    <row r="24" spans="1:12" ht="18" customHeight="1" x14ac:dyDescent="0.45">
      <c r="A24" s="64"/>
      <c r="B24" s="54" t="s">
        <v>80</v>
      </c>
      <c r="C24" s="56">
        <v>0.16</v>
      </c>
      <c r="D24" s="56">
        <v>0.22</v>
      </c>
      <c r="E24" s="56">
        <v>7.0000000000000007E-2</v>
      </c>
      <c r="F24" s="56">
        <v>0.08</v>
      </c>
      <c r="G24" s="65">
        <f>(1+C24+$B$78)*(1+D24+$B$79)*(1+E24+$B$80)*(1+$B$77)-1</f>
        <v>0.50120999999999993</v>
      </c>
      <c r="H24" s="66">
        <f>G24-(F24+$B$81)</f>
        <v>0.40120999999999996</v>
      </c>
      <c r="I24" s="66">
        <f>(1+I23)*(1+G24)/(1+F24+$B$81)-1</f>
        <v>0.63443163587348472</v>
      </c>
      <c r="J24" s="108">
        <f>'01-DRAM-Model'!J27</f>
        <v>0.27275656179222496</v>
      </c>
      <c r="K24" s="109">
        <f>IF(J24&lt;=0,"n/a",G24/J24)</f>
        <v>1.8375726571220006</v>
      </c>
    </row>
    <row r="25" spans="1:12" ht="28.5" customHeight="1" x14ac:dyDescent="0.45">
      <c r="A25" s="172" t="s">
        <v>389</v>
      </c>
      <c r="B25" s="172"/>
      <c r="C25" s="172"/>
      <c r="D25" s="172"/>
      <c r="E25" s="172"/>
      <c r="F25" s="172"/>
      <c r="G25" s="172"/>
      <c r="H25" s="172"/>
      <c r="I25" s="172"/>
      <c r="J25" s="172"/>
      <c r="K25" s="172"/>
      <c r="L25" s="172"/>
    </row>
    <row r="26" spans="1:12" ht="33" customHeight="1" x14ac:dyDescent="0.45">
      <c r="A26" s="8" t="s">
        <v>390</v>
      </c>
      <c r="B26" s="8"/>
      <c r="C26" s="8"/>
      <c r="D26" s="8"/>
      <c r="E26" s="8"/>
      <c r="F26" s="8"/>
      <c r="G26" s="8"/>
      <c r="H26" s="8"/>
      <c r="I26" s="8"/>
      <c r="J26" s="8"/>
      <c r="K26" s="8"/>
      <c r="L26" s="8"/>
    </row>
    <row r="28" spans="1:12" ht="24" customHeight="1" x14ac:dyDescent="0.45">
      <c r="A28" s="12" t="s">
        <v>391</v>
      </c>
      <c r="B28" s="12"/>
      <c r="C28" s="12"/>
      <c r="D28" s="12"/>
      <c r="E28" s="12"/>
      <c r="F28" s="12"/>
      <c r="G28" s="12"/>
      <c r="H28" s="12"/>
      <c r="I28" s="12"/>
      <c r="J28" s="12"/>
      <c r="K28" s="12"/>
      <c r="L28" s="12"/>
    </row>
    <row r="29" spans="1:12" ht="31.5" customHeight="1" x14ac:dyDescent="0.45">
      <c r="A29" s="19" t="s">
        <v>200</v>
      </c>
      <c r="B29" s="19" t="s">
        <v>232</v>
      </c>
      <c r="C29" s="19" t="s">
        <v>233</v>
      </c>
      <c r="D29" s="19" t="s">
        <v>78</v>
      </c>
      <c r="E29" s="19" t="s">
        <v>79</v>
      </c>
      <c r="F29" s="19" t="s">
        <v>80</v>
      </c>
      <c r="G29" s="19" t="s">
        <v>234</v>
      </c>
    </row>
    <row r="30" spans="1:12" ht="18" customHeight="1" x14ac:dyDescent="0.45">
      <c r="A30" s="23" t="s">
        <v>382</v>
      </c>
      <c r="B30" s="70">
        <f>$B$83</f>
        <v>0.25</v>
      </c>
      <c r="C30" s="71">
        <f>B30</f>
        <v>0.25</v>
      </c>
      <c r="D30" s="72">
        <f>H7</f>
        <v>-6.734500000000021E-2</v>
      </c>
      <c r="E30" s="72">
        <f>H8</f>
        <v>-4.1536000000000017E-2</v>
      </c>
      <c r="F30" s="72">
        <f>H9</f>
        <v>-1.6159999999999952E-2</v>
      </c>
      <c r="G30" s="73" t="str">
        <f t="shared" ref="G30:G35" si="0">IF(D30&gt;0,"2026",IF(E30&gt;0,"2027",IF(F30&gt;0,"2028","not within 3 yrs")))</f>
        <v>not within 3 yrs</v>
      </c>
    </row>
    <row r="31" spans="1:12" ht="18" customHeight="1" x14ac:dyDescent="0.45">
      <c r="A31" s="23" t="s">
        <v>384</v>
      </c>
      <c r="B31" s="70">
        <f>$B$84</f>
        <v>0.46</v>
      </c>
      <c r="C31" s="71">
        <f>C30+B31</f>
        <v>0.71</v>
      </c>
      <c r="D31" s="74">
        <f>H12</f>
        <v>-6.734500000000021E-2</v>
      </c>
      <c r="E31" s="74">
        <f>H13</f>
        <v>5.6170000000000025E-2</v>
      </c>
      <c r="F31" s="74">
        <f>H14</f>
        <v>0.11449499999999999</v>
      </c>
      <c r="G31" s="73" t="str">
        <f t="shared" si="0"/>
        <v>2027</v>
      </c>
    </row>
    <row r="32" spans="1:12" ht="18" customHeight="1" x14ac:dyDescent="0.45">
      <c r="A32" s="23" t="s">
        <v>386</v>
      </c>
      <c r="B32" s="70">
        <f>$B$85</f>
        <v>0.28999999999999998</v>
      </c>
      <c r="C32" s="71">
        <f>C31+B32</f>
        <v>1</v>
      </c>
      <c r="D32" s="72">
        <f>H17</f>
        <v>-4.734500000000022E-2</v>
      </c>
      <c r="E32" s="72">
        <f>H18</f>
        <v>0.17943499999999996</v>
      </c>
      <c r="F32" s="72">
        <f>H19</f>
        <v>0.27192000000000005</v>
      </c>
      <c r="G32" s="73" t="str">
        <f t="shared" si="0"/>
        <v>2027</v>
      </c>
    </row>
    <row r="33" spans="1:12" ht="18" customHeight="1" x14ac:dyDescent="0.45">
      <c r="A33" s="23" t="s">
        <v>388</v>
      </c>
      <c r="B33" s="70">
        <f>$B$86</f>
        <v>0</v>
      </c>
      <c r="C33" s="71">
        <f>C32+B33</f>
        <v>1</v>
      </c>
      <c r="D33" s="72">
        <f>H22</f>
        <v>-2.7345000000000202E-2</v>
      </c>
      <c r="E33" s="72">
        <f>H23</f>
        <v>0.29294399999999998</v>
      </c>
      <c r="F33" s="72">
        <f>H24</f>
        <v>0.40120999999999996</v>
      </c>
      <c r="G33" s="73" t="str">
        <f t="shared" si="0"/>
        <v>2027</v>
      </c>
    </row>
    <row r="34" spans="1:12" ht="21" customHeight="1" x14ac:dyDescent="0.45">
      <c r="A34" s="75" t="s">
        <v>235</v>
      </c>
      <c r="B34" s="70">
        <f>SUM(B30:B33)</f>
        <v>1</v>
      </c>
      <c r="C34" s="76" t="s">
        <v>236</v>
      </c>
      <c r="D34" s="77">
        <f>SUMPRODUCT($B$30:$B$33,D30:D33)</f>
        <v>-6.1545000000000211E-2</v>
      </c>
      <c r="E34" s="77">
        <f>SUMPRODUCT($B$30:$B$33,E30:E33)</f>
        <v>6.7490349999999991E-2</v>
      </c>
      <c r="F34" s="77">
        <f>SUMPRODUCT($B$30:$B$33,F30:F33)</f>
        <v>0.1274845</v>
      </c>
      <c r="G34" s="73" t="str">
        <f t="shared" si="0"/>
        <v>2027</v>
      </c>
    </row>
    <row r="35" spans="1:12" ht="21" customHeight="1" x14ac:dyDescent="0.45">
      <c r="A35" s="75" t="s">
        <v>237</v>
      </c>
      <c r="B35" s="70">
        <f>SUM(B30:B33)</f>
        <v>1</v>
      </c>
      <c r="C35" s="76" t="s">
        <v>236</v>
      </c>
      <c r="D35" s="77">
        <f>INDEX(D30:D33,IFERROR(MATCH(0.5,$C$30:$C$33,1)+1,1))</f>
        <v>-6.734500000000021E-2</v>
      </c>
      <c r="E35" s="77">
        <f>INDEX(E30:E33,IFERROR(MATCH(0.5,$C$30:$C$33,1)+1,1))</f>
        <v>5.6170000000000025E-2</v>
      </c>
      <c r="F35" s="77">
        <f>INDEX(F30:F33,IFERROR(MATCH(0.5,$C$30:$C$33,1)+1,1))</f>
        <v>0.11449499999999999</v>
      </c>
      <c r="G35" s="73" t="str">
        <f t="shared" si="0"/>
        <v>2027</v>
      </c>
    </row>
    <row r="37" spans="1:12" ht="24" customHeight="1" x14ac:dyDescent="0.45">
      <c r="A37" s="12" t="s">
        <v>392</v>
      </c>
      <c r="B37" s="12"/>
      <c r="C37" s="12"/>
      <c r="D37" s="12"/>
      <c r="E37" s="12"/>
      <c r="F37" s="12"/>
      <c r="G37" s="12"/>
      <c r="H37" s="12"/>
      <c r="I37" s="12"/>
      <c r="J37" s="12"/>
      <c r="K37" s="12"/>
      <c r="L37" s="12"/>
    </row>
    <row r="38" spans="1:12" ht="31.5" customHeight="1" x14ac:dyDescent="0.45">
      <c r="A38" s="19" t="s">
        <v>200</v>
      </c>
      <c r="B38" s="19" t="s">
        <v>232</v>
      </c>
      <c r="C38" s="19" t="s">
        <v>233</v>
      </c>
      <c r="D38" s="19" t="s">
        <v>77</v>
      </c>
      <c r="E38" s="19" t="s">
        <v>78</v>
      </c>
      <c r="F38" s="19" t="s">
        <v>79</v>
      </c>
      <c r="G38" s="19" t="s">
        <v>80</v>
      </c>
      <c r="H38" s="19" t="s">
        <v>393</v>
      </c>
    </row>
    <row r="39" spans="1:12" ht="18" customHeight="1" x14ac:dyDescent="0.45">
      <c r="A39" s="23" t="s">
        <v>382</v>
      </c>
      <c r="B39" s="70">
        <f>B30</f>
        <v>0.25</v>
      </c>
      <c r="C39" s="71">
        <f>B39</f>
        <v>0.25</v>
      </c>
      <c r="D39" s="72">
        <f>I6</f>
        <v>-2.5000000000000001E-2</v>
      </c>
      <c r="E39" s="72">
        <f>I7</f>
        <v>-7.7952721774193767E-2</v>
      </c>
      <c r="F39" s="72">
        <f>I8</f>
        <v>-0.10834808347926295</v>
      </c>
      <c r="G39" s="72">
        <f>I9</f>
        <v>-0.11978387313876704</v>
      </c>
      <c r="H39" s="73" t="str">
        <f t="shared" ref="H39:H44" si="1">IF(F39&gt;0,"filled in 2027",IF(G39&gt;0,"filled in 2028","not filled in 3 yrs"))</f>
        <v>not filled in 3 yrs</v>
      </c>
    </row>
    <row r="40" spans="1:12" ht="18" customHeight="1" x14ac:dyDescent="0.45">
      <c r="A40" s="23" t="s">
        <v>384</v>
      </c>
      <c r="B40" s="70">
        <f>B31</f>
        <v>0.46</v>
      </c>
      <c r="C40" s="71">
        <f>C39+B40</f>
        <v>0.71</v>
      </c>
      <c r="D40" s="74">
        <f>I11</f>
        <v>-2.5000000000000001E-2</v>
      </c>
      <c r="E40" s="74">
        <f>I12</f>
        <v>-7.7952721774193767E-2</v>
      </c>
      <c r="F40" s="74">
        <f>I13</f>
        <v>-3.5500758152928524E-2</v>
      </c>
      <c r="G40" s="74">
        <f>I14</f>
        <v>5.6524525759805266E-2</v>
      </c>
      <c r="H40" s="73" t="str">
        <f t="shared" si="1"/>
        <v>filled in 2028</v>
      </c>
    </row>
    <row r="41" spans="1:12" ht="18" customHeight="1" x14ac:dyDescent="0.45">
      <c r="A41" s="23" t="s">
        <v>386</v>
      </c>
      <c r="B41" s="70">
        <f>B32</f>
        <v>0.28999999999999998</v>
      </c>
      <c r="C41" s="71">
        <f>C40+B41</f>
        <v>1</v>
      </c>
      <c r="D41" s="72">
        <f>I16</f>
        <v>-2.5000000000000001E-2</v>
      </c>
      <c r="E41" s="72">
        <f>I17</f>
        <v>-6.2837192622951066E-2</v>
      </c>
      <c r="F41" s="72">
        <f>I18</f>
        <v>7.9671119531032675E-2</v>
      </c>
      <c r="G41" s="72">
        <f>I19</f>
        <v>0.33720109393706621</v>
      </c>
      <c r="H41" s="73" t="str">
        <f t="shared" si="1"/>
        <v>filled in 2027</v>
      </c>
    </row>
    <row r="42" spans="1:12" ht="18" customHeight="1" x14ac:dyDescent="0.45">
      <c r="A42" s="23" t="s">
        <v>388</v>
      </c>
      <c r="B42" s="70">
        <f>B33</f>
        <v>0</v>
      </c>
      <c r="C42" s="71">
        <f>C41+B42</f>
        <v>1</v>
      </c>
      <c r="D42" s="72">
        <f>I21</f>
        <v>-2.5000000000000001E-2</v>
      </c>
      <c r="E42" s="72">
        <f>I22</f>
        <v>-4.7217812500000234E-2</v>
      </c>
      <c r="F42" s="72">
        <f>I23</f>
        <v>0.19761712182894686</v>
      </c>
      <c r="G42" s="72">
        <f>I24</f>
        <v>0.63443163587348472</v>
      </c>
      <c r="H42" s="73" t="str">
        <f t="shared" si="1"/>
        <v>filled in 2027</v>
      </c>
    </row>
    <row r="43" spans="1:12" ht="21" customHeight="1" x14ac:dyDescent="0.45">
      <c r="A43" s="75" t="s">
        <v>235</v>
      </c>
      <c r="D43" s="77">
        <f>SUMPRODUCT($B$39:$B$42,D39:D42)</f>
        <v>-2.5000000000000001E-2</v>
      </c>
      <c r="E43" s="77">
        <f>SUMPRODUCT($B$39:$B$42,E39:E42)</f>
        <v>-7.356921832033339E-2</v>
      </c>
      <c r="F43" s="77">
        <f>SUMPRODUCT($B$39:$B$42,F39:F42)</f>
        <v>-2.0312744956163389E-2</v>
      </c>
      <c r="G43" s="77">
        <f>SUMPRODUCT($B$39:$B$42,G39:G42)</f>
        <v>9.3843630806567851E-2</v>
      </c>
      <c r="H43" s="73" t="str">
        <f t="shared" si="1"/>
        <v>filled in 2028</v>
      </c>
    </row>
    <row r="44" spans="1:12" ht="21" customHeight="1" x14ac:dyDescent="0.45">
      <c r="A44" s="75" t="s">
        <v>237</v>
      </c>
      <c r="D44" s="77">
        <f>INDEX(D39:D42,IFERROR(MATCH(0.5,$C$39:$C$42,1)+1,1))</f>
        <v>-2.5000000000000001E-2</v>
      </c>
      <c r="E44" s="77">
        <f>INDEX(E39:E42,IFERROR(MATCH(0.5,$C$39:$C$42,1)+1,1))</f>
        <v>-7.7952721774193767E-2</v>
      </c>
      <c r="F44" s="77">
        <f>INDEX(F39:F42,IFERROR(MATCH(0.5,$C$39:$C$42,1)+1,1))</f>
        <v>-3.5500758152928524E-2</v>
      </c>
      <c r="G44" s="77">
        <f>INDEX(G39:G42,IFERROR(MATCH(0.5,$C$39:$C$42,1)+1,1))</f>
        <v>5.6524525759805266E-2</v>
      </c>
      <c r="H44" s="73" t="str">
        <f t="shared" si="1"/>
        <v>filled in 2028</v>
      </c>
    </row>
    <row r="45" spans="1:12" ht="33" customHeight="1" x14ac:dyDescent="0.45">
      <c r="A45" s="8" t="s">
        <v>394</v>
      </c>
      <c r="B45" s="8"/>
      <c r="C45" s="8"/>
      <c r="D45" s="8"/>
      <c r="E45" s="8"/>
      <c r="F45" s="8"/>
      <c r="G45" s="8"/>
      <c r="H45" s="8"/>
      <c r="I45" s="8"/>
      <c r="J45" s="8"/>
      <c r="K45" s="8"/>
      <c r="L45" s="8"/>
    </row>
    <row r="47" spans="1:12" ht="24" customHeight="1" x14ac:dyDescent="0.45">
      <c r="A47" s="12" t="s">
        <v>395</v>
      </c>
      <c r="B47" s="12"/>
      <c r="C47" s="12"/>
      <c r="D47" s="12"/>
      <c r="E47" s="12"/>
      <c r="F47" s="12"/>
      <c r="G47" s="12"/>
      <c r="H47" s="12"/>
      <c r="I47" s="12"/>
      <c r="J47" s="12"/>
      <c r="K47" s="12"/>
      <c r="L47" s="12"/>
    </row>
    <row r="48" spans="1:12" ht="39.75" customHeight="1" x14ac:dyDescent="0.45">
      <c r="A48" s="19" t="s">
        <v>105</v>
      </c>
      <c r="B48" s="19" t="s">
        <v>396</v>
      </c>
      <c r="C48" s="19" t="s">
        <v>397</v>
      </c>
      <c r="D48" s="19" t="s">
        <v>398</v>
      </c>
      <c r="E48" s="19" t="s">
        <v>399</v>
      </c>
      <c r="F48" s="19" t="s">
        <v>400</v>
      </c>
      <c r="G48" s="19" t="s">
        <v>401</v>
      </c>
      <c r="H48" s="19" t="s">
        <v>402</v>
      </c>
      <c r="I48" s="19" t="s">
        <v>403</v>
      </c>
      <c r="J48" s="19" t="s">
        <v>404</v>
      </c>
      <c r="K48" s="7" t="s">
        <v>113</v>
      </c>
      <c r="L48" s="7"/>
    </row>
    <row r="49" spans="1:12" ht="21.75" customHeight="1" x14ac:dyDescent="0.45">
      <c r="A49" s="35" t="s">
        <v>78</v>
      </c>
      <c r="B49" s="108">
        <f>'01-DRAM-Model'!D53</f>
        <v>-9.6010969195973961E-2</v>
      </c>
      <c r="C49" s="60">
        <f>D34</f>
        <v>-6.1545000000000211E-2</v>
      </c>
      <c r="D49" s="110">
        <f>(C49-B49)*100</f>
        <v>3.4465969195973751</v>
      </c>
      <c r="E49" s="108">
        <f>'01-DRAM-Model'!E64</f>
        <v>-0.13951261391371647</v>
      </c>
      <c r="F49" s="60">
        <f>E43</f>
        <v>-7.356921832033339E-2</v>
      </c>
      <c r="G49" s="110">
        <f>(F49-E49)*100</f>
        <v>6.5943395593383078</v>
      </c>
      <c r="H49" s="108">
        <f>'01-DRAM-Model'!E65</f>
        <v>-0.14570558244360921</v>
      </c>
      <c r="I49" s="60">
        <f>E44</f>
        <v>-7.7952721774193767E-2</v>
      </c>
      <c r="J49" s="110">
        <f>(I49-H49)*100</f>
        <v>6.7752860669415433</v>
      </c>
      <c r="K49" s="183" t="s">
        <v>114</v>
      </c>
      <c r="L49" s="183"/>
    </row>
    <row r="50" spans="1:12" ht="21.75" customHeight="1" x14ac:dyDescent="0.45">
      <c r="A50" s="35" t="s">
        <v>79</v>
      </c>
      <c r="B50" s="108">
        <f>'01-DRAM-Model'!E53</f>
        <v>-4.647754395731539E-2</v>
      </c>
      <c r="C50" s="60">
        <f>E34</f>
        <v>6.7490349999999991E-2</v>
      </c>
      <c r="D50" s="110">
        <f>(C50-B50)*100</f>
        <v>11.396789395731538</v>
      </c>
      <c r="E50" s="108">
        <f>'01-DRAM-Model'!F64</f>
        <v>-0.16813457305789237</v>
      </c>
      <c r="F50" s="60">
        <f>F43</f>
        <v>-2.0312744956163389E-2</v>
      </c>
      <c r="G50" s="110">
        <f>(F50-E50)*100</f>
        <v>14.782182810172898</v>
      </c>
      <c r="H50" s="108">
        <f>'01-DRAM-Model'!F65</f>
        <v>-0.20948175470097175</v>
      </c>
      <c r="I50" s="60">
        <f>F44</f>
        <v>-3.5500758152928524E-2</v>
      </c>
      <c r="J50" s="110">
        <f>(I50-H50)*100</f>
        <v>17.398099654804323</v>
      </c>
      <c r="K50" s="183" t="s">
        <v>115</v>
      </c>
      <c r="L50" s="183"/>
    </row>
    <row r="51" spans="1:12" ht="21.75" customHeight="1" x14ac:dyDescent="0.45">
      <c r="A51" s="35" t="s">
        <v>80</v>
      </c>
      <c r="B51" s="108">
        <f>'01-DRAM-Model'!F53</f>
        <v>9.1620263391414464E-2</v>
      </c>
      <c r="C51" s="60">
        <f>F34</f>
        <v>0.1274845</v>
      </c>
      <c r="D51" s="110">
        <f>(C51-B51)*100</f>
        <v>3.5864236608585536</v>
      </c>
      <c r="E51" s="108">
        <f>'01-DRAM-Model'!G64</f>
        <v>-9.4430550991501438E-2</v>
      </c>
      <c r="F51" s="60">
        <f>G43</f>
        <v>9.3843630806567851E-2</v>
      </c>
      <c r="G51" s="110">
        <f>(F51-E51)*100</f>
        <v>18.82741817980693</v>
      </c>
      <c r="H51" s="108">
        <f>'01-DRAM-Model'!G65</f>
        <v>-0.19509017286334895</v>
      </c>
      <c r="I51" s="60">
        <f>G44</f>
        <v>5.6524525759805266E-2</v>
      </c>
      <c r="J51" s="110">
        <f>(I51-H51)*100</f>
        <v>25.161469862315421</v>
      </c>
      <c r="K51" s="183" t="s">
        <v>405</v>
      </c>
      <c r="L51" s="183"/>
    </row>
    <row r="52" spans="1:12" ht="33" customHeight="1" x14ac:dyDescent="0.45">
      <c r="A52" s="11" t="s">
        <v>406</v>
      </c>
      <c r="B52" s="11"/>
      <c r="C52" s="11"/>
      <c r="D52" s="11"/>
      <c r="E52" s="11"/>
      <c r="F52" s="11"/>
      <c r="G52" s="11"/>
      <c r="H52" s="11"/>
      <c r="I52" s="11"/>
      <c r="J52" s="11"/>
      <c r="K52" s="11"/>
      <c r="L52" s="11"/>
    </row>
    <row r="53" spans="1:12" ht="45" customHeight="1" x14ac:dyDescent="0.45">
      <c r="A53" s="8" t="s">
        <v>407</v>
      </c>
      <c r="B53" s="8"/>
      <c r="C53" s="8"/>
      <c r="D53" s="8"/>
      <c r="E53" s="8"/>
      <c r="F53" s="8"/>
      <c r="G53" s="8"/>
      <c r="H53" s="8"/>
      <c r="I53" s="8"/>
      <c r="J53" s="8"/>
      <c r="K53" s="8"/>
      <c r="L53" s="8"/>
    </row>
    <row r="55" spans="1:12" ht="24" customHeight="1" x14ac:dyDescent="0.45">
      <c r="A55" s="12" t="s">
        <v>408</v>
      </c>
      <c r="B55" s="12"/>
      <c r="C55" s="12"/>
      <c r="D55" s="12"/>
      <c r="E55" s="12"/>
      <c r="F55" s="12"/>
      <c r="G55" s="12"/>
      <c r="H55" s="12"/>
      <c r="I55" s="12"/>
      <c r="J55" s="12"/>
      <c r="K55" s="12"/>
      <c r="L55" s="12"/>
    </row>
    <row r="56" spans="1:12" ht="31.5" customHeight="1" x14ac:dyDescent="0.45">
      <c r="A56" s="19" t="s">
        <v>105</v>
      </c>
      <c r="B56" s="19" t="s">
        <v>243</v>
      </c>
      <c r="C56" s="19" t="s">
        <v>409</v>
      </c>
      <c r="D56" s="19" t="s">
        <v>410</v>
      </c>
      <c r="E56" s="19" t="s">
        <v>246</v>
      </c>
      <c r="F56" s="19" t="s">
        <v>411</v>
      </c>
      <c r="G56" s="19" t="s">
        <v>412</v>
      </c>
    </row>
    <row r="57" spans="1:12" ht="18.75" customHeight="1" x14ac:dyDescent="0.45">
      <c r="A57" s="35" t="s">
        <v>78</v>
      </c>
      <c r="B57" s="72">
        <f>C12+$B$78</f>
        <v>-0.01</v>
      </c>
      <c r="C57" s="72">
        <f>(1+C12+$B$78)*(D12+$B$79)</f>
        <v>0.14849999999999999</v>
      </c>
      <c r="D57" s="72">
        <f>(1+C12+$B$78)*(1+D12+$B$79)*(E12+$B$80)</f>
        <v>3.4154999999999991E-2</v>
      </c>
      <c r="E57" s="79">
        <f>B57+C57+D57</f>
        <v>0.17265499999999998</v>
      </c>
      <c r="F57" s="36">
        <f>'01-DRAM-Model'!J25</f>
        <v>0.18498903080402607</v>
      </c>
      <c r="G57" s="111">
        <f>IF(F57&lt;=0,"n/a",E57/F57)</f>
        <v>0.93332560990012137</v>
      </c>
    </row>
    <row r="58" spans="1:12" ht="18.75" customHeight="1" x14ac:dyDescent="0.45">
      <c r="A58" s="35" t="s">
        <v>79</v>
      </c>
      <c r="B58" s="72">
        <f>C13+$B$78</f>
        <v>0.03</v>
      </c>
      <c r="C58" s="72">
        <f>(1+C13+$B$78)*(D13+$B$79)</f>
        <v>0.18540000000000001</v>
      </c>
      <c r="D58" s="72">
        <f>(1+C13+$B$78)*(1+D13+$B$79)*(E13+$B$80)</f>
        <v>6.0770000000000005E-2</v>
      </c>
      <c r="E58" s="79">
        <f>B58+C58+D58</f>
        <v>0.27617000000000003</v>
      </c>
      <c r="F58" s="36">
        <f>'01-DRAM-Model'!J26</f>
        <v>0.17518990045781968</v>
      </c>
      <c r="G58" s="111">
        <f>IF(F58&lt;=0,"n/a",E58/F58)</f>
        <v>1.576403658420328</v>
      </c>
    </row>
    <row r="59" spans="1:12" ht="18.75" customHeight="1" x14ac:dyDescent="0.45">
      <c r="A59" s="35" t="s">
        <v>80</v>
      </c>
      <c r="B59" s="72">
        <f>C14+$B$78</f>
        <v>7.0000000000000007E-2</v>
      </c>
      <c r="C59" s="72">
        <f>(1+C14+$B$78)*(D14+$B$79)</f>
        <v>0.18190000000000003</v>
      </c>
      <c r="D59" s="72">
        <f>(1+C14+$B$78)*(1+D14+$B$79)*(E14+$B$80)</f>
        <v>6.2594999999999998E-2</v>
      </c>
      <c r="E59" s="79">
        <f>B59+C59+D59</f>
        <v>0.31449500000000002</v>
      </c>
      <c r="F59" s="36">
        <f>'01-DRAM-Model'!J27</f>
        <v>0.27275656179222496</v>
      </c>
      <c r="G59" s="111">
        <f>IF(F59&lt;=0,"n/a",E59/F59)</f>
        <v>1.1530245062979263</v>
      </c>
    </row>
    <row r="60" spans="1:12" ht="20.25" customHeight="1" x14ac:dyDescent="0.45">
      <c r="A60" s="11" t="s">
        <v>413</v>
      </c>
      <c r="B60" s="11"/>
      <c r="C60" s="11"/>
      <c r="D60" s="11"/>
      <c r="E60" s="11"/>
      <c r="F60" s="11"/>
      <c r="G60" s="11"/>
      <c r="H60" s="11"/>
      <c r="I60" s="11"/>
      <c r="J60" s="11"/>
      <c r="K60" s="11"/>
      <c r="L60" s="11"/>
    </row>
    <row r="62" spans="1:12" ht="24" customHeight="1" x14ac:dyDescent="0.45">
      <c r="A62" s="3" t="s">
        <v>414</v>
      </c>
      <c r="B62" s="3"/>
      <c r="C62" s="3"/>
      <c r="D62" s="3"/>
      <c r="E62" s="3"/>
      <c r="F62" s="3"/>
      <c r="G62" s="3"/>
      <c r="H62" s="3"/>
      <c r="I62" s="3"/>
      <c r="J62" s="3"/>
      <c r="K62" s="3"/>
      <c r="L62" s="3"/>
    </row>
    <row r="63" spans="1:12" ht="75" customHeight="1" x14ac:dyDescent="0.45">
      <c r="A63" s="165" t="s">
        <v>415</v>
      </c>
      <c r="B63" s="165"/>
      <c r="C63" s="165"/>
      <c r="D63" s="165"/>
      <c r="E63" s="165"/>
      <c r="F63" s="165"/>
      <c r="G63" s="165"/>
      <c r="H63" s="165"/>
      <c r="I63" s="165"/>
      <c r="J63" s="165"/>
      <c r="K63" s="165"/>
      <c r="L63" s="165"/>
    </row>
    <row r="64" spans="1:12" ht="39.75" customHeight="1" x14ac:dyDescent="0.45">
      <c r="A64" s="22" t="s">
        <v>200</v>
      </c>
      <c r="B64" s="22" t="s">
        <v>232</v>
      </c>
      <c r="C64" s="22" t="s">
        <v>416</v>
      </c>
      <c r="D64" s="22" t="s">
        <v>417</v>
      </c>
      <c r="E64" s="22" t="s">
        <v>418</v>
      </c>
      <c r="F64" s="22" t="s">
        <v>419</v>
      </c>
      <c r="G64" s="22" t="s">
        <v>420</v>
      </c>
      <c r="H64" s="22" t="s">
        <v>421</v>
      </c>
      <c r="I64" s="22" t="s">
        <v>324</v>
      </c>
      <c r="J64" s="2" t="s">
        <v>327</v>
      </c>
      <c r="K64" s="2"/>
      <c r="L64" s="2"/>
    </row>
    <row r="65" spans="1:12" ht="18" customHeight="1" x14ac:dyDescent="0.45">
      <c r="A65" s="25" t="s">
        <v>382</v>
      </c>
      <c r="B65" s="70">
        <f>B30</f>
        <v>0.25</v>
      </c>
      <c r="C65" s="72">
        <f>G8</f>
        <v>0.21846399999999999</v>
      </c>
      <c r="D65" s="33">
        <f>G8+'06-Inventory-Burn-v4'!$B$14</f>
        <v>0.18846399999999999</v>
      </c>
      <c r="E65" s="72">
        <f>F8+$B$81</f>
        <v>0.26</v>
      </c>
      <c r="F65" s="33">
        <f>F8+$B$81+'06-Inventory-Burn-v4'!$B$13</f>
        <v>0.3</v>
      </c>
      <c r="G65" s="72">
        <f t="shared" ref="G65:H68" si="2">C65-E65</f>
        <v>-4.1536000000000017E-2</v>
      </c>
      <c r="H65" s="112">
        <f t="shared" si="2"/>
        <v>-0.111536</v>
      </c>
      <c r="I65" s="34">
        <f>(H65-G65)*100</f>
        <v>-6.9999999999999982</v>
      </c>
      <c r="J65" s="183" t="str">
        <f>IF(H65&lt;0,"still short after correction",IF(H65&lt;0.05,"close to balance","still in surplus"))</f>
        <v>still short after correction</v>
      </c>
      <c r="K65" s="183"/>
      <c r="L65" s="183"/>
    </row>
    <row r="66" spans="1:12" ht="18" customHeight="1" x14ac:dyDescent="0.45">
      <c r="A66" s="25" t="s">
        <v>384</v>
      </c>
      <c r="B66" s="70">
        <f>B31</f>
        <v>0.46</v>
      </c>
      <c r="C66" s="72">
        <f>G13</f>
        <v>0.27617000000000003</v>
      </c>
      <c r="D66" s="33">
        <f>G13+'06-Inventory-Burn-v4'!$B$14</f>
        <v>0.24617000000000003</v>
      </c>
      <c r="E66" s="72">
        <f>F13+$B$81</f>
        <v>0.22</v>
      </c>
      <c r="F66" s="33">
        <f>F13+$B$81+'06-Inventory-Burn-v4'!$B$13</f>
        <v>0.26</v>
      </c>
      <c r="G66" s="72">
        <f t="shared" si="2"/>
        <v>5.6170000000000025E-2</v>
      </c>
      <c r="H66" s="112">
        <f t="shared" si="2"/>
        <v>-1.3829999999999981E-2</v>
      </c>
      <c r="I66" s="34">
        <f>(H66-G66)*100</f>
        <v>-7.0000000000000009</v>
      </c>
      <c r="J66" s="183" t="str">
        <f>IF(H66&lt;0,"still short after correction",IF(H66&lt;0.05,"close to balance","still in surplus"))</f>
        <v>still short after correction</v>
      </c>
      <c r="K66" s="183"/>
      <c r="L66" s="183"/>
    </row>
    <row r="67" spans="1:12" ht="18" customHeight="1" x14ac:dyDescent="0.45">
      <c r="A67" s="25" t="s">
        <v>386</v>
      </c>
      <c r="B67" s="70">
        <f>B32</f>
        <v>0.28999999999999998</v>
      </c>
      <c r="C67" s="72">
        <f>G18</f>
        <v>0.35943499999999995</v>
      </c>
      <c r="D67" s="33">
        <f>G18+'06-Inventory-Burn-v4'!$B$14</f>
        <v>0.32943499999999992</v>
      </c>
      <c r="E67" s="72">
        <f>F18+$B$81</f>
        <v>0.18</v>
      </c>
      <c r="F67" s="33">
        <f>F18+$B$81+'06-Inventory-Burn-v4'!$B$13</f>
        <v>0.22</v>
      </c>
      <c r="G67" s="72">
        <f t="shared" si="2"/>
        <v>0.17943499999999996</v>
      </c>
      <c r="H67" s="112">
        <f t="shared" si="2"/>
        <v>0.10943499999999992</v>
      </c>
      <c r="I67" s="34">
        <f>(H67-G67)*100</f>
        <v>-7.0000000000000036</v>
      </c>
      <c r="J67" s="183" t="str">
        <f>IF(H67&lt;0,"still short after correction",IF(H67&lt;0.05,"close to balance","still in surplus"))</f>
        <v>still in surplus</v>
      </c>
      <c r="K67" s="183"/>
      <c r="L67" s="183"/>
    </row>
    <row r="68" spans="1:12" ht="18" customHeight="1" x14ac:dyDescent="0.45">
      <c r="A68" s="25" t="s">
        <v>388</v>
      </c>
      <c r="B68" s="70">
        <f>B33</f>
        <v>0</v>
      </c>
      <c r="C68" s="72">
        <f>G23</f>
        <v>0.432944</v>
      </c>
      <c r="D68" s="33">
        <f>G23+'06-Inventory-Burn-v4'!$B$14</f>
        <v>0.40294399999999997</v>
      </c>
      <c r="E68" s="72">
        <f>F23+$B$81</f>
        <v>0.13999999999999999</v>
      </c>
      <c r="F68" s="33">
        <f>F23+$B$81+'06-Inventory-Burn-v4'!$B$13</f>
        <v>0.18</v>
      </c>
      <c r="G68" s="72">
        <f t="shared" si="2"/>
        <v>0.29294399999999998</v>
      </c>
      <c r="H68" s="112">
        <f t="shared" si="2"/>
        <v>0.22294399999999998</v>
      </c>
      <c r="I68" s="34">
        <f>(H68-G68)*100</f>
        <v>-7.0000000000000009</v>
      </c>
      <c r="J68" s="183" t="str">
        <f>IF(H68&lt;0,"still short after correction",IF(H68&lt;0.05,"close to balance","still in surplus"))</f>
        <v>still in surplus</v>
      </c>
      <c r="K68" s="183"/>
      <c r="L68" s="183"/>
    </row>
    <row r="69" spans="1:12" ht="21" customHeight="1" x14ac:dyDescent="0.45">
      <c r="A69" s="90" t="s">
        <v>235</v>
      </c>
      <c r="C69" s="77">
        <f>SUMPRODUCT($B$65:$B$68,C65:C68)</f>
        <v>0.28589034999999996</v>
      </c>
      <c r="D69" s="91">
        <f>SUMPRODUCT($B$65:$B$68,D65:D68)</f>
        <v>0.25589034999999999</v>
      </c>
      <c r="G69" s="77">
        <f>SUMPRODUCT($B$65:$B$68,G65:G68)</f>
        <v>6.7490349999999991E-2</v>
      </c>
      <c r="H69" s="91">
        <f>SUMPRODUCT($B$65:$B$68,H65:H68)</f>
        <v>-2.509650000000016E-3</v>
      </c>
      <c r="I69" s="34">
        <f>(H69-G69)*100</f>
        <v>-7.0000000000000009</v>
      </c>
      <c r="J69" s="182"/>
      <c r="K69" s="182"/>
      <c r="L69" s="182"/>
    </row>
    <row r="70" spans="1:12" ht="33" customHeight="1" x14ac:dyDescent="0.45">
      <c r="A70" s="113" t="s">
        <v>422</v>
      </c>
      <c r="B70" s="184" t="s">
        <v>423</v>
      </c>
      <c r="C70" s="184"/>
      <c r="D70" s="184"/>
      <c r="E70" s="184"/>
      <c r="F70" s="184"/>
      <c r="G70" s="184"/>
      <c r="H70" s="184"/>
      <c r="I70" s="184"/>
      <c r="J70" s="184"/>
      <c r="K70" s="184"/>
      <c r="L70" s="184"/>
    </row>
    <row r="71" spans="1:12" ht="45.75" customHeight="1" x14ac:dyDescent="0.45">
      <c r="A71" s="165" t="s">
        <v>424</v>
      </c>
      <c r="B71" s="165"/>
      <c r="C71" s="165"/>
      <c r="D71" s="165"/>
      <c r="E71" s="165"/>
      <c r="F71" s="165"/>
      <c r="G71" s="165"/>
      <c r="H71" s="165"/>
      <c r="I71" s="165"/>
      <c r="J71" s="165"/>
      <c r="K71" s="165"/>
      <c r="L71" s="165"/>
    </row>
    <row r="73" spans="1:12" ht="24" customHeight="1" x14ac:dyDescent="0.45">
      <c r="A73" s="176" t="s">
        <v>425</v>
      </c>
      <c r="B73" s="176"/>
      <c r="C73" s="176"/>
      <c r="D73" s="176"/>
      <c r="E73" s="176"/>
      <c r="F73" s="176"/>
      <c r="G73" s="176"/>
      <c r="H73" s="176"/>
      <c r="I73" s="176"/>
      <c r="J73" s="176"/>
      <c r="K73" s="176"/>
      <c r="L73" s="176"/>
    </row>
    <row r="74" spans="1:12" ht="33" customHeight="1" x14ac:dyDescent="0.45">
      <c r="A74" s="177" t="s">
        <v>426</v>
      </c>
      <c r="B74" s="177"/>
      <c r="C74" s="177"/>
      <c r="D74" s="177"/>
      <c r="E74" s="177"/>
      <c r="F74" s="177"/>
      <c r="G74" s="177"/>
      <c r="H74" s="177"/>
      <c r="I74" s="177"/>
      <c r="J74" s="177"/>
      <c r="K74" s="177"/>
      <c r="L74" s="177"/>
    </row>
    <row r="75" spans="1:12" ht="31.5" customHeight="1" x14ac:dyDescent="0.45">
      <c r="A75" s="19" t="s">
        <v>174</v>
      </c>
      <c r="B75" s="19" t="s">
        <v>175</v>
      </c>
      <c r="C75" s="7" t="s">
        <v>331</v>
      </c>
      <c r="D75" s="7"/>
      <c r="E75" s="7"/>
      <c r="F75" s="7"/>
      <c r="G75" s="7"/>
      <c r="H75" s="19" t="s">
        <v>332</v>
      </c>
      <c r="I75" s="19" t="s">
        <v>333</v>
      </c>
      <c r="J75" s="7" t="s">
        <v>55</v>
      </c>
      <c r="K75" s="7"/>
      <c r="L75" s="7"/>
    </row>
    <row r="76" spans="1:12" ht="37.5" customHeight="1" x14ac:dyDescent="0.45">
      <c r="A76" s="94" t="s">
        <v>337</v>
      </c>
      <c r="B76" s="98">
        <f>-H76/1000</f>
        <v>-2.5000000000000001E-2</v>
      </c>
      <c r="C76" s="178"/>
      <c r="D76" s="178"/>
      <c r="E76" s="178"/>
      <c r="F76" s="178"/>
      <c r="G76" s="178"/>
      <c r="H76" s="96">
        <v>25</v>
      </c>
      <c r="I76" s="97" t="s">
        <v>427</v>
      </c>
      <c r="J76" s="179" t="s">
        <v>428</v>
      </c>
      <c r="K76" s="179"/>
      <c r="L76" s="179"/>
    </row>
    <row r="77" spans="1:12" ht="37.5" customHeight="1" x14ac:dyDescent="0.45">
      <c r="A77" s="94" t="s">
        <v>429</v>
      </c>
      <c r="B77" s="100">
        <f>(H77-100)/1000</f>
        <v>0</v>
      </c>
      <c r="C77" s="178"/>
      <c r="D77" s="178"/>
      <c r="E77" s="178"/>
      <c r="F77" s="178"/>
      <c r="G77" s="178"/>
      <c r="H77" s="96">
        <v>100</v>
      </c>
      <c r="I77" s="97" t="s">
        <v>430</v>
      </c>
      <c r="J77" s="179" t="s">
        <v>431</v>
      </c>
      <c r="K77" s="179"/>
      <c r="L77" s="179"/>
    </row>
    <row r="78" spans="1:12" ht="37.5" customHeight="1" x14ac:dyDescent="0.45">
      <c r="A78" s="94" t="s">
        <v>342</v>
      </c>
      <c r="B78" s="100">
        <f>(H78-50)/1000</f>
        <v>-0.01</v>
      </c>
      <c r="C78" s="178"/>
      <c r="D78" s="178"/>
      <c r="E78" s="178"/>
      <c r="F78" s="178"/>
      <c r="G78" s="178"/>
      <c r="H78" s="96">
        <v>40</v>
      </c>
      <c r="I78" s="97" t="s">
        <v>343</v>
      </c>
      <c r="J78" s="179" t="s">
        <v>432</v>
      </c>
      <c r="K78" s="179"/>
      <c r="L78" s="179"/>
    </row>
    <row r="79" spans="1:12" ht="37.5" customHeight="1" x14ac:dyDescent="0.45">
      <c r="A79" s="94" t="s">
        <v>433</v>
      </c>
      <c r="B79" s="100">
        <f>(H79-80)/1000</f>
        <v>0</v>
      </c>
      <c r="C79" s="178"/>
      <c r="D79" s="178"/>
      <c r="E79" s="178"/>
      <c r="F79" s="178"/>
      <c r="G79" s="178"/>
      <c r="H79" s="96">
        <v>80</v>
      </c>
      <c r="I79" s="97" t="s">
        <v>434</v>
      </c>
      <c r="J79" s="179" t="s">
        <v>435</v>
      </c>
      <c r="K79" s="179"/>
      <c r="L79" s="179"/>
    </row>
    <row r="80" spans="1:12" ht="37.5" customHeight="1" x14ac:dyDescent="0.45">
      <c r="A80" s="94" t="s">
        <v>436</v>
      </c>
      <c r="B80" s="100">
        <f>(H80-50)/1000</f>
        <v>0</v>
      </c>
      <c r="C80" s="178"/>
      <c r="D80" s="178"/>
      <c r="E80" s="178"/>
      <c r="F80" s="178"/>
      <c r="G80" s="178"/>
      <c r="H80" s="96">
        <v>50</v>
      </c>
      <c r="I80" s="97" t="s">
        <v>346</v>
      </c>
      <c r="J80" s="179" t="s">
        <v>437</v>
      </c>
      <c r="K80" s="179"/>
      <c r="L80" s="179"/>
    </row>
    <row r="81" spans="1:12" ht="37.5" customHeight="1" x14ac:dyDescent="0.45">
      <c r="A81" s="94" t="s">
        <v>351</v>
      </c>
      <c r="B81" s="100">
        <f>(H81-100)/1000</f>
        <v>0.02</v>
      </c>
      <c r="C81" s="178"/>
      <c r="D81" s="178"/>
      <c r="E81" s="178"/>
      <c r="F81" s="178"/>
      <c r="G81" s="178"/>
      <c r="H81" s="96">
        <v>120</v>
      </c>
      <c r="I81" s="97" t="s">
        <v>352</v>
      </c>
      <c r="J81" s="179" t="s">
        <v>438</v>
      </c>
      <c r="K81" s="179"/>
      <c r="L81" s="179"/>
    </row>
    <row r="82" spans="1:12" ht="18.75" customHeight="1" x14ac:dyDescent="0.45">
      <c r="A82" s="180" t="s">
        <v>439</v>
      </c>
      <c r="B82" s="180"/>
      <c r="C82" s="180"/>
      <c r="D82" s="180"/>
      <c r="E82" s="180"/>
      <c r="F82" s="180"/>
      <c r="G82" s="180"/>
      <c r="H82" s="180"/>
      <c r="I82" s="180"/>
      <c r="J82" s="180"/>
      <c r="K82" s="180"/>
      <c r="L82" s="180"/>
    </row>
    <row r="83" spans="1:12" ht="37.5" customHeight="1" x14ac:dyDescent="0.45">
      <c r="A83" s="94" t="s">
        <v>440</v>
      </c>
      <c r="B83" s="101">
        <f>H83/100</f>
        <v>0.25</v>
      </c>
      <c r="C83" s="178"/>
      <c r="D83" s="178"/>
      <c r="E83" s="178"/>
      <c r="F83" s="178"/>
      <c r="G83" s="178"/>
      <c r="H83" s="96">
        <v>25</v>
      </c>
      <c r="I83" s="97" t="s">
        <v>356</v>
      </c>
      <c r="J83" s="179" t="s">
        <v>441</v>
      </c>
      <c r="K83" s="179"/>
      <c r="L83" s="179"/>
    </row>
    <row r="84" spans="1:12" ht="37.5" customHeight="1" x14ac:dyDescent="0.45">
      <c r="A84" s="94" t="s">
        <v>442</v>
      </c>
      <c r="B84" s="101">
        <f>H84/100</f>
        <v>0.46</v>
      </c>
      <c r="C84" s="178"/>
      <c r="D84" s="178"/>
      <c r="E84" s="178"/>
      <c r="F84" s="178"/>
      <c r="G84" s="178"/>
      <c r="H84" s="96">
        <v>46</v>
      </c>
      <c r="I84" s="97" t="s">
        <v>356</v>
      </c>
      <c r="J84" s="179" t="s">
        <v>443</v>
      </c>
      <c r="K84" s="179"/>
      <c r="L84" s="179"/>
    </row>
    <row r="85" spans="1:12" ht="37.5" customHeight="1" x14ac:dyDescent="0.45">
      <c r="A85" s="94" t="s">
        <v>444</v>
      </c>
      <c r="B85" s="101">
        <f>H85/100</f>
        <v>0.28999999999999998</v>
      </c>
      <c r="C85" s="178"/>
      <c r="D85" s="178"/>
      <c r="E85" s="178"/>
      <c r="F85" s="178"/>
      <c r="G85" s="178"/>
      <c r="H85" s="96">
        <v>29</v>
      </c>
      <c r="I85" s="97" t="s">
        <v>356</v>
      </c>
      <c r="J85" s="179" t="s">
        <v>445</v>
      </c>
      <c r="K85" s="179"/>
      <c r="L85" s="179"/>
    </row>
    <row r="86" spans="1:12" ht="37.5" customHeight="1" x14ac:dyDescent="0.45">
      <c r="A86" s="94" t="s">
        <v>446</v>
      </c>
      <c r="B86" s="101">
        <f>H86/100</f>
        <v>0</v>
      </c>
      <c r="C86" s="178"/>
      <c r="D86" s="178"/>
      <c r="E86" s="178"/>
      <c r="F86" s="178"/>
      <c r="G86" s="178"/>
      <c r="H86" s="96">
        <v>0</v>
      </c>
      <c r="I86" s="97" t="s">
        <v>356</v>
      </c>
      <c r="J86" s="179" t="s">
        <v>447</v>
      </c>
      <c r="K86" s="179"/>
      <c r="L86" s="179"/>
    </row>
    <row r="87" spans="1:12" ht="33.75" customHeight="1" x14ac:dyDescent="0.45">
      <c r="A87" s="102" t="s">
        <v>366</v>
      </c>
      <c r="B87" s="103">
        <f>SUM(B83:B86)</f>
        <v>1</v>
      </c>
      <c r="C87" s="181" t="str">
        <f>IF(ABS(B87-1)&lt;0.0001,"✔  Cumulative probability = 100%; the weighted and median rows are valid.","⚠  Currently "&amp;TEXT(B87,"0%")&amp;" — "&amp;TEXT(1-B87,"0%")&amp;" still to allocate. Keep adjusting the four rows above until this reads 100%.")</f>
        <v>✔  Cumulative probability = 100%; the weighted and median rows are valid.</v>
      </c>
      <c r="D87" s="181"/>
      <c r="E87" s="181"/>
      <c r="F87" s="181"/>
      <c r="G87" s="181"/>
      <c r="H87" s="181"/>
      <c r="I87" s="181"/>
      <c r="J87" s="181"/>
      <c r="K87" s="181"/>
      <c r="L87" s="181"/>
    </row>
    <row r="89" spans="1:12" ht="24" customHeight="1" x14ac:dyDescent="0.45">
      <c r="A89" s="12" t="s">
        <v>448</v>
      </c>
      <c r="B89" s="12"/>
      <c r="C89" s="12"/>
      <c r="D89" s="12"/>
      <c r="E89" s="12"/>
      <c r="F89" s="12"/>
      <c r="G89" s="12"/>
      <c r="H89" s="12"/>
      <c r="I89" s="12"/>
      <c r="J89" s="12"/>
      <c r="K89" s="12"/>
      <c r="L89" s="12"/>
    </row>
    <row r="90" spans="1:12" ht="31.5" customHeight="1" x14ac:dyDescent="0.45">
      <c r="A90" s="19" t="s">
        <v>27</v>
      </c>
      <c r="B90" s="19" t="s">
        <v>78</v>
      </c>
      <c r="C90" s="19" t="s">
        <v>79</v>
      </c>
      <c r="D90" s="19" t="s">
        <v>80</v>
      </c>
      <c r="E90" s="19" t="s">
        <v>368</v>
      </c>
      <c r="F90" s="19" t="s">
        <v>369</v>
      </c>
    </row>
    <row r="91" spans="1:12" ht="31.5" customHeight="1" x14ac:dyDescent="0.45">
      <c r="A91" s="28" t="s">
        <v>370</v>
      </c>
      <c r="B91" s="104">
        <f>D34</f>
        <v>-6.1545000000000211E-2</v>
      </c>
      <c r="C91" s="104">
        <f>E34</f>
        <v>6.7490349999999991E-2</v>
      </c>
      <c r="D91" s="104">
        <f>F34</f>
        <v>0.1274845</v>
      </c>
      <c r="E91" s="104">
        <f>E35</f>
        <v>5.6170000000000025E-2</v>
      </c>
      <c r="F91" s="104">
        <f>F35</f>
        <v>0.11449499999999999</v>
      </c>
      <c r="G91" s="182"/>
      <c r="H91" s="182"/>
      <c r="I91" s="182"/>
      <c r="J91" s="182"/>
      <c r="K91" s="182"/>
      <c r="L91" s="182"/>
    </row>
    <row r="92" spans="1:12" ht="31.5" customHeight="1" x14ac:dyDescent="0.45">
      <c r="A92" s="28" t="s">
        <v>86</v>
      </c>
      <c r="B92" s="104">
        <f>E43</f>
        <v>-7.356921832033339E-2</v>
      </c>
      <c r="C92" s="104">
        <f>F43</f>
        <v>-2.0312744956163389E-2</v>
      </c>
      <c r="D92" s="104">
        <f>G43</f>
        <v>9.3843630806567851E-2</v>
      </c>
      <c r="E92" s="104">
        <f>F44</f>
        <v>-3.5500758152928524E-2</v>
      </c>
      <c r="F92" s="104">
        <f>G44</f>
        <v>5.6524525759805266E-2</v>
      </c>
      <c r="G92" s="182"/>
      <c r="H92" s="182"/>
      <c r="I92" s="182"/>
      <c r="J92" s="182"/>
      <c r="K92" s="182"/>
      <c r="L92" s="182"/>
    </row>
    <row r="93" spans="1:12" ht="31.5" customHeight="1" x14ac:dyDescent="0.45">
      <c r="A93" s="32" t="s">
        <v>449</v>
      </c>
      <c r="B93" s="29" t="s">
        <v>84</v>
      </c>
      <c r="C93" s="105">
        <f>H69</f>
        <v>-2.509650000000016E-3</v>
      </c>
      <c r="D93" s="29" t="s">
        <v>84</v>
      </c>
      <c r="E93" s="29" t="s">
        <v>84</v>
      </c>
      <c r="F93" s="29" t="s">
        <v>84</v>
      </c>
      <c r="G93" s="182"/>
      <c r="H93" s="182"/>
      <c r="I93" s="182"/>
      <c r="J93" s="182"/>
      <c r="K93" s="182"/>
      <c r="L93" s="182"/>
    </row>
    <row r="216" spans="1:12" ht="45" customHeight="1" x14ac:dyDescent="0.45">
      <c r="A216" s="11" t="s">
        <v>450</v>
      </c>
      <c r="B216" s="11"/>
      <c r="C216" s="11"/>
      <c r="D216" s="11"/>
      <c r="E216" s="11"/>
      <c r="F216" s="11"/>
      <c r="G216" s="11"/>
      <c r="H216" s="11"/>
      <c r="I216" s="11"/>
      <c r="J216" s="11"/>
      <c r="K216" s="11"/>
      <c r="L216" s="11"/>
    </row>
  </sheetData>
  <mergeCells count="61">
    <mergeCell ref="G92:L92"/>
    <mergeCell ref="G93:L93"/>
    <mergeCell ref="A216:L216"/>
    <mergeCell ref="C86:G86"/>
    <mergeCell ref="J86:L86"/>
    <mergeCell ref="C87:L87"/>
    <mergeCell ref="A89:L89"/>
    <mergeCell ref="G91:L91"/>
    <mergeCell ref="C83:G83"/>
    <mergeCell ref="J83:L83"/>
    <mergeCell ref="C84:G84"/>
    <mergeCell ref="J84:L84"/>
    <mergeCell ref="C85:G85"/>
    <mergeCell ref="J85:L85"/>
    <mergeCell ref="C80:G80"/>
    <mergeCell ref="J80:L80"/>
    <mergeCell ref="C81:G81"/>
    <mergeCell ref="J81:L81"/>
    <mergeCell ref="A82:L82"/>
    <mergeCell ref="C77:G77"/>
    <mergeCell ref="J77:L77"/>
    <mergeCell ref="C78:G78"/>
    <mergeCell ref="J78:L78"/>
    <mergeCell ref="C79:G79"/>
    <mergeCell ref="J79:L79"/>
    <mergeCell ref="A73:L73"/>
    <mergeCell ref="A74:L74"/>
    <mergeCell ref="C75:G75"/>
    <mergeCell ref="J75:L75"/>
    <mergeCell ref="C76:G76"/>
    <mergeCell ref="J76:L76"/>
    <mergeCell ref="J67:L67"/>
    <mergeCell ref="J68:L68"/>
    <mergeCell ref="J69:L69"/>
    <mergeCell ref="B70:L70"/>
    <mergeCell ref="A71:L71"/>
    <mergeCell ref="A62:L62"/>
    <mergeCell ref="A63:L63"/>
    <mergeCell ref="J64:L64"/>
    <mergeCell ref="J65:L65"/>
    <mergeCell ref="J66:L66"/>
    <mergeCell ref="K51:L51"/>
    <mergeCell ref="A52:L52"/>
    <mergeCell ref="A53:L53"/>
    <mergeCell ref="A55:L55"/>
    <mergeCell ref="A60:L60"/>
    <mergeCell ref="A45:L45"/>
    <mergeCell ref="A47:L47"/>
    <mergeCell ref="K48:L48"/>
    <mergeCell ref="K49:L49"/>
    <mergeCell ref="K50:L50"/>
    <mergeCell ref="A20:L20"/>
    <mergeCell ref="A25:L25"/>
    <mergeCell ref="A26:L26"/>
    <mergeCell ref="A28:L28"/>
    <mergeCell ref="A37:L37"/>
    <mergeCell ref="A1:L1"/>
    <mergeCell ref="A2:L2"/>
    <mergeCell ref="A4:L4"/>
    <mergeCell ref="A10:L10"/>
    <mergeCell ref="A15:L15"/>
  </mergeCells>
  <phoneticPr fontId="59" type="noConversion"/>
  <pageMargins left="0.75" right="0.75" top="1" bottom="1" header="0.511811023622047" footer="0.511811023622047"/>
  <pageSetup paperSize="9" orientation="portrait" horizontalDpi="300" verticalDpi="300"/>
  <drawing r:id="rId1"/>
  <legacyDrawing r:id="rId2"/>
  <mc:AlternateContent xmlns:mc="http://schemas.openxmlformats.org/markup-compatibility/2006">
    <mc:Choice Requires="x14">
      <controls>
        <mc:AlternateContent xmlns:mc="http://schemas.openxmlformats.org/markup-compatibility/2006">
          <mc:Choice Requires="x14">
            <control shapeId="2049" r:id="rId3" name="Scroll Bar 1">
              <controlPr defaultSize="0" print="0" autoLine="0" autoPict="0" altText="">
                <anchor moveWithCells="1">
                  <from>
                    <xdr:col>2</xdr:col>
                    <xdr:colOff>19050</xdr:colOff>
                    <xdr:row>75</xdr:row>
                    <xdr:rowOff>23813</xdr:rowOff>
                  </from>
                  <to>
                    <xdr:col>7</xdr:col>
                    <xdr:colOff>0</xdr:colOff>
                    <xdr:row>76</xdr:row>
                    <xdr:rowOff>0</xdr:rowOff>
                  </to>
                </anchor>
              </controlPr>
            </control>
          </mc:Choice>
        </mc:AlternateContent>
        <mc:AlternateContent xmlns:mc="http://schemas.openxmlformats.org/markup-compatibility/2006">
          <mc:Choice Requires="x14">
            <control shapeId="2050" r:id="rId4" name="Scroll Bar 2">
              <controlPr defaultSize="0" print="0" autoLine="0" autoPict="0" altText="">
                <anchor moveWithCells="1">
                  <from>
                    <xdr:col>2</xdr:col>
                    <xdr:colOff>19050</xdr:colOff>
                    <xdr:row>76</xdr:row>
                    <xdr:rowOff>23813</xdr:rowOff>
                  </from>
                  <to>
                    <xdr:col>7</xdr:col>
                    <xdr:colOff>0</xdr:colOff>
                    <xdr:row>77</xdr:row>
                    <xdr:rowOff>0</xdr:rowOff>
                  </to>
                </anchor>
              </controlPr>
            </control>
          </mc:Choice>
        </mc:AlternateContent>
        <mc:AlternateContent xmlns:mc="http://schemas.openxmlformats.org/markup-compatibility/2006">
          <mc:Choice Requires="x14">
            <control shapeId="2051" r:id="rId5" name="Scroll Bar 3">
              <controlPr defaultSize="0" print="0" autoLine="0" autoPict="0" altText="">
                <anchor moveWithCells="1">
                  <from>
                    <xdr:col>2</xdr:col>
                    <xdr:colOff>19050</xdr:colOff>
                    <xdr:row>77</xdr:row>
                    <xdr:rowOff>23813</xdr:rowOff>
                  </from>
                  <to>
                    <xdr:col>7</xdr:col>
                    <xdr:colOff>0</xdr:colOff>
                    <xdr:row>78</xdr:row>
                    <xdr:rowOff>0</xdr:rowOff>
                  </to>
                </anchor>
              </controlPr>
            </control>
          </mc:Choice>
        </mc:AlternateContent>
        <mc:AlternateContent xmlns:mc="http://schemas.openxmlformats.org/markup-compatibility/2006">
          <mc:Choice Requires="x14">
            <control shapeId="2052" r:id="rId6" name="Scroll Bar 4">
              <controlPr defaultSize="0" print="0" autoLine="0" autoPict="0" altText="">
                <anchor moveWithCells="1">
                  <from>
                    <xdr:col>2</xdr:col>
                    <xdr:colOff>19050</xdr:colOff>
                    <xdr:row>78</xdr:row>
                    <xdr:rowOff>23813</xdr:rowOff>
                  </from>
                  <to>
                    <xdr:col>7</xdr:col>
                    <xdr:colOff>0</xdr:colOff>
                    <xdr:row>79</xdr:row>
                    <xdr:rowOff>0</xdr:rowOff>
                  </to>
                </anchor>
              </controlPr>
            </control>
          </mc:Choice>
        </mc:AlternateContent>
        <mc:AlternateContent xmlns:mc="http://schemas.openxmlformats.org/markup-compatibility/2006">
          <mc:Choice Requires="x14">
            <control shapeId="2053" r:id="rId7" name="Scroll Bar 5">
              <controlPr defaultSize="0" print="0" autoLine="0" autoPict="0" altText="">
                <anchor moveWithCells="1">
                  <from>
                    <xdr:col>2</xdr:col>
                    <xdr:colOff>19050</xdr:colOff>
                    <xdr:row>79</xdr:row>
                    <xdr:rowOff>23813</xdr:rowOff>
                  </from>
                  <to>
                    <xdr:col>7</xdr:col>
                    <xdr:colOff>0</xdr:colOff>
                    <xdr:row>80</xdr:row>
                    <xdr:rowOff>0</xdr:rowOff>
                  </to>
                </anchor>
              </controlPr>
            </control>
          </mc:Choice>
        </mc:AlternateContent>
        <mc:AlternateContent xmlns:mc="http://schemas.openxmlformats.org/markup-compatibility/2006">
          <mc:Choice Requires="x14">
            <control shapeId="2054" r:id="rId8" name="Scroll Bar 6">
              <controlPr defaultSize="0" print="0" autoLine="0" autoPict="0" altText="">
                <anchor moveWithCells="1">
                  <from>
                    <xdr:col>2</xdr:col>
                    <xdr:colOff>19050</xdr:colOff>
                    <xdr:row>80</xdr:row>
                    <xdr:rowOff>23813</xdr:rowOff>
                  </from>
                  <to>
                    <xdr:col>7</xdr:col>
                    <xdr:colOff>0</xdr:colOff>
                    <xdr:row>81</xdr:row>
                    <xdr:rowOff>0</xdr:rowOff>
                  </to>
                </anchor>
              </controlPr>
            </control>
          </mc:Choice>
        </mc:AlternateContent>
        <mc:AlternateContent xmlns:mc="http://schemas.openxmlformats.org/markup-compatibility/2006">
          <mc:Choice Requires="x14">
            <control shapeId="2055" r:id="rId9" name="Scroll Bar 7">
              <controlPr defaultSize="0" print="0" autoLine="0" autoPict="0" altText="">
                <anchor moveWithCells="1">
                  <from>
                    <xdr:col>2</xdr:col>
                    <xdr:colOff>19050</xdr:colOff>
                    <xdr:row>82</xdr:row>
                    <xdr:rowOff>23813</xdr:rowOff>
                  </from>
                  <to>
                    <xdr:col>7</xdr:col>
                    <xdr:colOff>0</xdr:colOff>
                    <xdr:row>83</xdr:row>
                    <xdr:rowOff>0</xdr:rowOff>
                  </to>
                </anchor>
              </controlPr>
            </control>
          </mc:Choice>
        </mc:AlternateContent>
        <mc:AlternateContent xmlns:mc="http://schemas.openxmlformats.org/markup-compatibility/2006">
          <mc:Choice Requires="x14">
            <control shapeId="2056" r:id="rId10" name="Scroll Bar 8">
              <controlPr defaultSize="0" print="0" autoLine="0" autoPict="0" altText="">
                <anchor moveWithCells="1">
                  <from>
                    <xdr:col>2</xdr:col>
                    <xdr:colOff>19050</xdr:colOff>
                    <xdr:row>83</xdr:row>
                    <xdr:rowOff>23813</xdr:rowOff>
                  </from>
                  <to>
                    <xdr:col>7</xdr:col>
                    <xdr:colOff>0</xdr:colOff>
                    <xdr:row>84</xdr:row>
                    <xdr:rowOff>0</xdr:rowOff>
                  </to>
                </anchor>
              </controlPr>
            </control>
          </mc:Choice>
        </mc:AlternateContent>
        <mc:AlternateContent xmlns:mc="http://schemas.openxmlformats.org/markup-compatibility/2006">
          <mc:Choice Requires="x14">
            <control shapeId="2057" r:id="rId11" name="Scroll Bar 9">
              <controlPr defaultSize="0" print="0" autoLine="0" autoPict="0" altText="">
                <anchor moveWithCells="1">
                  <from>
                    <xdr:col>2</xdr:col>
                    <xdr:colOff>19050</xdr:colOff>
                    <xdr:row>84</xdr:row>
                    <xdr:rowOff>23813</xdr:rowOff>
                  </from>
                  <to>
                    <xdr:col>7</xdr:col>
                    <xdr:colOff>0</xdr:colOff>
                    <xdr:row>85</xdr:row>
                    <xdr:rowOff>0</xdr:rowOff>
                  </to>
                </anchor>
              </controlPr>
            </control>
          </mc:Choice>
        </mc:AlternateContent>
        <mc:AlternateContent xmlns:mc="http://schemas.openxmlformats.org/markup-compatibility/2006">
          <mc:Choice Requires="x14">
            <control shapeId="2058" r:id="rId12" name="Scroll Bar 10">
              <controlPr defaultSize="0" print="0" autoLine="0" autoPict="0" altText="">
                <anchor moveWithCells="1">
                  <from>
                    <xdr:col>2</xdr:col>
                    <xdr:colOff>19050</xdr:colOff>
                    <xdr:row>85</xdr:row>
                    <xdr:rowOff>23813</xdr:rowOff>
                  </from>
                  <to>
                    <xdr:col>7</xdr:col>
                    <xdr:colOff>0</xdr:colOff>
                    <xdr:row>86</xdr:row>
                    <xdr:rowOff>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6305B"/>
  </sheetPr>
  <dimension ref="A1:K37"/>
  <sheetViews>
    <sheetView showGridLines="0" topLeftCell="A19" zoomScale="68" zoomScaleNormal="100" workbookViewId="0">
      <selection sqref="A1:K1"/>
    </sheetView>
  </sheetViews>
  <sheetFormatPr defaultColWidth="8.6640625" defaultRowHeight="14.25" x14ac:dyDescent="0.45"/>
  <cols>
    <col min="1" max="1" width="23" customWidth="1"/>
    <col min="2" max="2" width="12.6640625" customWidth="1"/>
    <col min="3" max="4" width="13.6640625" customWidth="1"/>
    <col min="5" max="6" width="11.46484375" customWidth="1"/>
  </cols>
  <sheetData>
    <row r="1" spans="1:11" ht="37.5" customHeight="1" x14ac:dyDescent="0.45">
      <c r="A1" s="14" t="s">
        <v>451</v>
      </c>
      <c r="B1" s="14"/>
      <c r="C1" s="14"/>
      <c r="D1" s="14"/>
      <c r="E1" s="14"/>
      <c r="F1" s="14"/>
      <c r="G1" s="14"/>
      <c r="H1" s="14"/>
      <c r="I1" s="14"/>
      <c r="J1" s="14"/>
      <c r="K1" s="14"/>
    </row>
    <row r="2" spans="1:11" ht="31.5" customHeight="1" x14ac:dyDescent="0.45">
      <c r="A2" s="13" t="s">
        <v>452</v>
      </c>
      <c r="B2" s="13"/>
      <c r="C2" s="13"/>
      <c r="D2" s="13"/>
      <c r="E2" s="13"/>
      <c r="F2" s="13"/>
      <c r="G2" s="13"/>
      <c r="H2" s="13"/>
      <c r="I2" s="13"/>
      <c r="J2" s="13"/>
      <c r="K2" s="13"/>
    </row>
    <row r="4" spans="1:11" ht="24" customHeight="1" x14ac:dyDescent="0.45">
      <c r="A4" s="12" t="s">
        <v>453</v>
      </c>
      <c r="B4" s="12"/>
      <c r="C4" s="12"/>
      <c r="D4" s="12"/>
      <c r="E4" s="12"/>
      <c r="F4" s="12"/>
      <c r="G4" s="12"/>
      <c r="H4" s="12"/>
      <c r="I4" s="12"/>
      <c r="J4" s="12"/>
      <c r="K4" s="12"/>
    </row>
    <row r="5" spans="1:11" ht="45" customHeight="1" x14ac:dyDescent="0.45">
      <c r="A5" s="19" t="s">
        <v>454</v>
      </c>
      <c r="B5" s="19" t="s">
        <v>455</v>
      </c>
      <c r="C5" s="19" t="s">
        <v>456</v>
      </c>
      <c r="D5" s="19" t="s">
        <v>457</v>
      </c>
      <c r="E5" s="19" t="s">
        <v>458</v>
      </c>
      <c r="F5" s="19" t="s">
        <v>459</v>
      </c>
      <c r="G5" s="7" t="s">
        <v>460</v>
      </c>
      <c r="H5" s="7"/>
      <c r="I5" s="7"/>
      <c r="J5" s="7"/>
      <c r="K5" s="7"/>
    </row>
    <row r="6" spans="1:11" ht="72.75" customHeight="1" x14ac:dyDescent="0.45">
      <c r="A6" s="23" t="s">
        <v>461</v>
      </c>
      <c r="B6" s="88">
        <v>0.09</v>
      </c>
      <c r="C6" s="114">
        <v>0.6</v>
      </c>
      <c r="D6" s="114">
        <v>0.6</v>
      </c>
      <c r="E6" s="72">
        <f>B6*C6</f>
        <v>5.3999999999999999E-2</v>
      </c>
      <c r="F6" s="72">
        <f>B6*D6</f>
        <v>5.3999999999999999E-2</v>
      </c>
      <c r="G6" s="1" t="s">
        <v>462</v>
      </c>
      <c r="H6" s="1"/>
      <c r="I6" s="1"/>
      <c r="J6" s="1"/>
      <c r="K6" s="1"/>
    </row>
    <row r="7" spans="1:11" ht="72.75" customHeight="1" x14ac:dyDescent="0.45">
      <c r="A7" s="23" t="s">
        <v>463</v>
      </c>
      <c r="B7" s="88">
        <v>0.42</v>
      </c>
      <c r="C7" s="114">
        <v>0.3</v>
      </c>
      <c r="D7" s="114">
        <v>0.3</v>
      </c>
      <c r="E7" s="72">
        <f>B7*C7</f>
        <v>0.126</v>
      </c>
      <c r="F7" s="72">
        <f>B7*D7</f>
        <v>0.126</v>
      </c>
      <c r="G7" s="1" t="s">
        <v>464</v>
      </c>
      <c r="H7" s="1"/>
      <c r="I7" s="1"/>
      <c r="J7" s="1"/>
      <c r="K7" s="1"/>
    </row>
    <row r="8" spans="1:11" ht="59.25" customHeight="1" x14ac:dyDescent="0.45">
      <c r="A8" s="23" t="s">
        <v>465</v>
      </c>
      <c r="B8" s="88">
        <v>0.27</v>
      </c>
      <c r="C8" s="114">
        <v>0.12</v>
      </c>
      <c r="D8" s="114">
        <v>-0.05</v>
      </c>
      <c r="E8" s="72">
        <f>B8*C8</f>
        <v>3.2399999999999998E-2</v>
      </c>
      <c r="F8" s="72">
        <f>B8*D8</f>
        <v>-1.3500000000000002E-2</v>
      </c>
      <c r="G8" s="1" t="s">
        <v>466</v>
      </c>
      <c r="H8" s="1"/>
      <c r="I8" s="1"/>
      <c r="J8" s="1"/>
      <c r="K8" s="1"/>
    </row>
    <row r="9" spans="1:11" ht="45" customHeight="1" x14ac:dyDescent="0.45">
      <c r="A9" s="23" t="s">
        <v>467</v>
      </c>
      <c r="B9" s="88">
        <v>0.13</v>
      </c>
      <c r="C9" s="114">
        <v>0.12</v>
      </c>
      <c r="D9" s="114">
        <v>-0.05</v>
      </c>
      <c r="E9" s="72">
        <f>B9*C9</f>
        <v>1.5599999999999999E-2</v>
      </c>
      <c r="F9" s="72">
        <f>B9*D9</f>
        <v>-6.5000000000000006E-3</v>
      </c>
      <c r="G9" s="1" t="s">
        <v>468</v>
      </c>
      <c r="H9" s="1"/>
      <c r="I9" s="1"/>
      <c r="J9" s="1"/>
      <c r="K9" s="1"/>
    </row>
    <row r="10" spans="1:11" ht="45" customHeight="1" x14ac:dyDescent="0.45">
      <c r="A10" s="28" t="s">
        <v>469</v>
      </c>
      <c r="B10" s="88">
        <v>0.09</v>
      </c>
      <c r="C10" s="114">
        <v>0.08</v>
      </c>
      <c r="D10" s="114">
        <v>0</v>
      </c>
      <c r="E10" s="72">
        <f>B10*C10</f>
        <v>7.1999999999999998E-3</v>
      </c>
      <c r="F10" s="72">
        <f>B10*D10</f>
        <v>0</v>
      </c>
      <c r="G10" s="1" t="s">
        <v>470</v>
      </c>
      <c r="H10" s="1"/>
      <c r="I10" s="1"/>
      <c r="J10" s="1"/>
      <c r="K10" s="1"/>
    </row>
    <row r="11" spans="1:11" ht="25.5" customHeight="1" x14ac:dyDescent="0.45">
      <c r="A11" s="75" t="s">
        <v>471</v>
      </c>
      <c r="B11" s="115">
        <f>SUM(B6:B10)</f>
        <v>1</v>
      </c>
      <c r="C11" s="29" t="s">
        <v>84</v>
      </c>
      <c r="D11" s="29" t="s">
        <v>84</v>
      </c>
      <c r="E11" s="77">
        <f>SUM(E6:E10)</f>
        <v>0.23519999999999999</v>
      </c>
      <c r="F11" s="77">
        <f>SUM(F6:F10)</f>
        <v>0.15999999999999998</v>
      </c>
      <c r="G11" s="9" t="str">
        <f>IF(ABS(B11-1)&lt;0.0001,"✔  Weights sum to 100%; the comparison below is valid.","⚠  Currently "&amp;TEXT(B11,"0.0%")&amp;" — put the weights back to 100%.")</f>
        <v>✔  Weights sum to 100%; the comparison below is valid.</v>
      </c>
      <c r="H11" s="9"/>
      <c r="I11" s="9"/>
      <c r="J11" s="9"/>
      <c r="K11" s="9"/>
    </row>
    <row r="13" spans="1:11" ht="24" customHeight="1" x14ac:dyDescent="0.45">
      <c r="A13" s="12" t="s">
        <v>472</v>
      </c>
      <c r="B13" s="12"/>
      <c r="C13" s="12"/>
      <c r="D13" s="12"/>
      <c r="E13" s="12"/>
      <c r="F13" s="12"/>
      <c r="G13" s="12"/>
      <c r="H13" s="12"/>
      <c r="I13" s="12"/>
      <c r="J13" s="12"/>
      <c r="K13" s="12"/>
    </row>
    <row r="14" spans="1:11" ht="27" customHeight="1" x14ac:dyDescent="0.45">
      <c r="A14" s="19" t="s">
        <v>473</v>
      </c>
      <c r="B14" s="19" t="s">
        <v>474</v>
      </c>
      <c r="C14" s="19" t="s">
        <v>475</v>
      </c>
      <c r="D14" s="7" t="s">
        <v>45</v>
      </c>
      <c r="E14" s="7"/>
      <c r="F14" s="7"/>
      <c r="G14" s="7"/>
      <c r="H14" s="7" t="s">
        <v>327</v>
      </c>
      <c r="I14" s="7"/>
      <c r="J14" s="7"/>
      <c r="K14" s="7"/>
    </row>
    <row r="15" spans="1:11" ht="45" customHeight="1" x14ac:dyDescent="0.45">
      <c r="A15" s="28" t="s">
        <v>476</v>
      </c>
      <c r="B15" s="30">
        <f>'01-DRAM-Model'!J26</f>
        <v>0.17518990045781968</v>
      </c>
      <c r="C15" s="29" t="s">
        <v>84</v>
      </c>
      <c r="D15" s="1" t="s">
        <v>477</v>
      </c>
      <c r="E15" s="1"/>
      <c r="F15" s="1"/>
      <c r="G15" s="1"/>
      <c r="H15" s="185" t="s">
        <v>478</v>
      </c>
      <c r="I15" s="185"/>
      <c r="J15" s="185"/>
      <c r="K15" s="185"/>
    </row>
    <row r="16" spans="1:11" ht="33.75" customHeight="1" x14ac:dyDescent="0.45">
      <c r="A16" s="28" t="s">
        <v>479</v>
      </c>
      <c r="B16" s="30">
        <f>'01-DRAM-Model'!K26+'01-DRAM-Model'!$B$149</f>
        <v>0.27</v>
      </c>
      <c r="C16" s="116">
        <f>B15-B16</f>
        <v>-9.4810099542180337E-2</v>
      </c>
      <c r="D16" s="1" t="s">
        <v>480</v>
      </c>
      <c r="E16" s="1"/>
      <c r="F16" s="1"/>
      <c r="G16" s="1"/>
      <c r="H16" s="185" t="s">
        <v>481</v>
      </c>
      <c r="I16" s="185"/>
      <c r="J16" s="185"/>
      <c r="K16" s="185"/>
    </row>
    <row r="17" spans="1:11" ht="33.75" customHeight="1" x14ac:dyDescent="0.45">
      <c r="A17" s="28" t="s">
        <v>482</v>
      </c>
      <c r="B17" s="74">
        <f>E11</f>
        <v>0.23519999999999999</v>
      </c>
      <c r="C17" s="116">
        <f>B15-B17</f>
        <v>-6.0010099542180312E-2</v>
      </c>
      <c r="D17" s="1" t="s">
        <v>483</v>
      </c>
      <c r="E17" s="1"/>
      <c r="F17" s="1"/>
      <c r="G17" s="1"/>
      <c r="H17" s="185" t="s">
        <v>484</v>
      </c>
      <c r="I17" s="185"/>
      <c r="J17" s="185"/>
      <c r="K17" s="185"/>
    </row>
    <row r="18" spans="1:11" ht="45" customHeight="1" x14ac:dyDescent="0.45">
      <c r="A18" s="28" t="s">
        <v>485</v>
      </c>
      <c r="B18" s="74">
        <f>F11</f>
        <v>0.15999999999999998</v>
      </c>
      <c r="C18" s="116">
        <f>B15-B18</f>
        <v>1.5189900457819705E-2</v>
      </c>
      <c r="D18" s="1" t="s">
        <v>486</v>
      </c>
      <c r="E18" s="1"/>
      <c r="F18" s="1"/>
      <c r="G18" s="1"/>
      <c r="H18" s="185" t="s">
        <v>487</v>
      </c>
      <c r="I18" s="185"/>
      <c r="J18" s="185"/>
      <c r="K18" s="185"/>
    </row>
    <row r="20" spans="1:11" ht="59.25" customHeight="1" x14ac:dyDescent="0.45">
      <c r="A20" s="8" t="s">
        <v>488</v>
      </c>
      <c r="B20" s="8"/>
      <c r="C20" s="8"/>
      <c r="D20" s="8"/>
      <c r="E20" s="8"/>
      <c r="F20" s="8"/>
      <c r="G20" s="8"/>
      <c r="H20" s="8"/>
      <c r="I20" s="8"/>
      <c r="J20" s="8"/>
      <c r="K20" s="8"/>
    </row>
    <row r="22" spans="1:11" ht="24" customHeight="1" x14ac:dyDescent="0.45">
      <c r="A22" s="12" t="s">
        <v>489</v>
      </c>
      <c r="B22" s="12"/>
      <c r="C22" s="12"/>
      <c r="D22" s="12"/>
      <c r="E22" s="12"/>
      <c r="F22" s="12"/>
      <c r="G22" s="12"/>
      <c r="H22" s="12"/>
      <c r="I22" s="12"/>
      <c r="J22" s="12"/>
      <c r="K22" s="12"/>
    </row>
    <row r="23" spans="1:11" ht="59.25" customHeight="1" x14ac:dyDescent="0.45">
      <c r="A23" s="11" t="s">
        <v>490</v>
      </c>
      <c r="B23" s="11"/>
      <c r="C23" s="11"/>
      <c r="D23" s="11"/>
      <c r="E23" s="11"/>
      <c r="F23" s="11"/>
      <c r="G23" s="11"/>
      <c r="H23" s="11"/>
      <c r="I23" s="11"/>
      <c r="J23" s="11"/>
      <c r="K23" s="11"/>
    </row>
    <row r="24" spans="1:11" ht="27" customHeight="1" x14ac:dyDescent="0.45">
      <c r="A24" s="19" t="s">
        <v>473</v>
      </c>
      <c r="B24" s="19" t="s">
        <v>491</v>
      </c>
      <c r="C24" s="7" t="s">
        <v>55</v>
      </c>
      <c r="D24" s="7"/>
      <c r="E24" s="7"/>
      <c r="F24" s="7"/>
      <c r="G24" s="7"/>
      <c r="H24" s="7"/>
      <c r="I24" s="7"/>
      <c r="J24" s="7"/>
      <c r="K24" s="7"/>
    </row>
    <row r="25" spans="1:11" ht="31.5" customHeight="1" x14ac:dyDescent="0.45">
      <c r="A25" s="28" t="s">
        <v>492</v>
      </c>
      <c r="B25" s="116">
        <f>B17</f>
        <v>0.23519999999999999</v>
      </c>
      <c r="C25" s="186" t="s">
        <v>493</v>
      </c>
      <c r="D25" s="186"/>
      <c r="E25" s="186"/>
      <c r="F25" s="186"/>
      <c r="G25" s="186"/>
      <c r="H25" s="186"/>
      <c r="I25" s="186"/>
      <c r="J25" s="186"/>
      <c r="K25" s="186"/>
    </row>
    <row r="26" spans="1:11" ht="18.75" customHeight="1" x14ac:dyDescent="0.45">
      <c r="A26" s="23" t="s">
        <v>494</v>
      </c>
      <c r="B26" s="116">
        <f>B18</f>
        <v>0.15999999999999998</v>
      </c>
      <c r="C26" s="186" t="s">
        <v>495</v>
      </c>
      <c r="D26" s="186"/>
      <c r="E26" s="186"/>
      <c r="F26" s="186"/>
      <c r="G26" s="186"/>
      <c r="H26" s="186"/>
      <c r="I26" s="186"/>
      <c r="J26" s="186"/>
      <c r="K26" s="186"/>
    </row>
    <row r="27" spans="1:11" ht="31.5" customHeight="1" x14ac:dyDescent="0.45">
      <c r="A27" s="28" t="s">
        <v>496</v>
      </c>
      <c r="B27" s="117">
        <f>(B25-B26)*100</f>
        <v>7.5200000000000014</v>
      </c>
      <c r="C27" s="186" t="s">
        <v>497</v>
      </c>
      <c r="D27" s="186"/>
      <c r="E27" s="186"/>
      <c r="F27" s="186"/>
      <c r="G27" s="186"/>
      <c r="H27" s="186"/>
      <c r="I27" s="186"/>
      <c r="J27" s="186"/>
      <c r="K27" s="186"/>
    </row>
    <row r="28" spans="1:11" ht="31.5" customHeight="1" x14ac:dyDescent="0.45">
      <c r="A28" s="28" t="s">
        <v>498</v>
      </c>
      <c r="B28" s="117">
        <f>(((1+B25)^3/(1+B26)^3)-1)*100</f>
        <v>20.736305186764568</v>
      </c>
      <c r="C28" s="186" t="s">
        <v>499</v>
      </c>
      <c r="D28" s="186"/>
      <c r="E28" s="186"/>
      <c r="F28" s="186"/>
      <c r="G28" s="186"/>
      <c r="H28" s="186"/>
      <c r="I28" s="186"/>
      <c r="J28" s="186"/>
      <c r="K28" s="186"/>
    </row>
    <row r="30" spans="1:11" ht="45" customHeight="1" x14ac:dyDescent="0.45">
      <c r="A30" s="11" t="s">
        <v>500</v>
      </c>
      <c r="B30" s="11"/>
      <c r="C30" s="11"/>
      <c r="D30" s="11"/>
      <c r="E30" s="11"/>
      <c r="F30" s="11"/>
      <c r="G30" s="11"/>
      <c r="H30" s="11"/>
      <c r="I30" s="11"/>
      <c r="J30" s="11"/>
      <c r="K30" s="11"/>
    </row>
    <row r="32" spans="1:11" ht="24" customHeight="1" x14ac:dyDescent="0.45">
      <c r="A32" s="3" t="s">
        <v>501</v>
      </c>
      <c r="B32" s="3"/>
      <c r="C32" s="3"/>
      <c r="D32" s="3"/>
      <c r="E32" s="3"/>
      <c r="F32" s="3"/>
      <c r="G32" s="3"/>
      <c r="H32" s="3"/>
      <c r="I32" s="3"/>
      <c r="J32" s="3"/>
      <c r="K32" s="3"/>
    </row>
    <row r="33" spans="1:11" ht="27" customHeight="1" x14ac:dyDescent="0.45">
      <c r="A33" s="22" t="s">
        <v>473</v>
      </c>
      <c r="B33" s="2" t="s">
        <v>502</v>
      </c>
      <c r="C33" s="2"/>
      <c r="D33" s="2"/>
      <c r="E33" s="2" t="s">
        <v>503</v>
      </c>
      <c r="F33" s="2"/>
      <c r="G33" s="2" t="s">
        <v>504</v>
      </c>
      <c r="H33" s="2"/>
      <c r="I33" s="2"/>
      <c r="J33" s="2"/>
      <c r="K33" s="2"/>
    </row>
    <row r="34" spans="1:11" ht="72.75" customHeight="1" x14ac:dyDescent="0.45">
      <c r="A34" s="118" t="s">
        <v>505</v>
      </c>
      <c r="B34" s="168" t="s">
        <v>506</v>
      </c>
      <c r="C34" s="168"/>
      <c r="D34" s="168"/>
      <c r="E34" s="168" t="s">
        <v>507</v>
      </c>
      <c r="F34" s="168"/>
      <c r="G34" s="187" t="s">
        <v>508</v>
      </c>
      <c r="H34" s="187"/>
      <c r="I34" s="187"/>
      <c r="J34" s="187"/>
      <c r="K34" s="187"/>
    </row>
    <row r="35" spans="1:11" ht="72" customHeight="1" x14ac:dyDescent="0.45">
      <c r="A35" s="118" t="s">
        <v>509</v>
      </c>
      <c r="B35" s="168" t="s">
        <v>510</v>
      </c>
      <c r="C35" s="168"/>
      <c r="D35" s="168"/>
      <c r="E35" s="168" t="s">
        <v>511</v>
      </c>
      <c r="F35" s="168"/>
      <c r="G35" s="187" t="s">
        <v>512</v>
      </c>
      <c r="H35" s="187"/>
      <c r="I35" s="187"/>
      <c r="J35" s="187"/>
      <c r="K35" s="187"/>
    </row>
    <row r="36" spans="1:11" ht="87" customHeight="1" x14ac:dyDescent="0.45">
      <c r="A36" s="118" t="s">
        <v>513</v>
      </c>
      <c r="B36" s="168" t="s">
        <v>514</v>
      </c>
      <c r="C36" s="168"/>
      <c r="D36" s="168"/>
      <c r="E36" s="168" t="s">
        <v>515</v>
      </c>
      <c r="F36" s="168"/>
      <c r="G36" s="187" t="s">
        <v>516</v>
      </c>
      <c r="H36" s="187"/>
      <c r="I36" s="187"/>
      <c r="J36" s="187"/>
      <c r="K36" s="187"/>
    </row>
    <row r="37" spans="1:11" ht="45" customHeight="1" x14ac:dyDescent="0.45">
      <c r="A37" s="165" t="s">
        <v>517</v>
      </c>
      <c r="B37" s="165"/>
      <c r="C37" s="165"/>
      <c r="D37" s="165"/>
      <c r="E37" s="165"/>
      <c r="F37" s="165"/>
      <c r="G37" s="165"/>
      <c r="H37" s="165"/>
      <c r="I37" s="165"/>
      <c r="J37" s="165"/>
      <c r="K37" s="165"/>
    </row>
  </sheetData>
  <mergeCells count="44">
    <mergeCell ref="A37:K37"/>
    <mergeCell ref="B35:D35"/>
    <mergeCell ref="E35:F35"/>
    <mergeCell ref="G35:K35"/>
    <mergeCell ref="B36:D36"/>
    <mergeCell ref="E36:F36"/>
    <mergeCell ref="G36:K36"/>
    <mergeCell ref="B33:D33"/>
    <mergeCell ref="E33:F33"/>
    <mergeCell ref="G33:K33"/>
    <mergeCell ref="B34:D34"/>
    <mergeCell ref="E34:F34"/>
    <mergeCell ref="G34:K34"/>
    <mergeCell ref="C26:K26"/>
    <mergeCell ref="C27:K27"/>
    <mergeCell ref="C28:K28"/>
    <mergeCell ref="A30:K30"/>
    <mergeCell ref="A32:K32"/>
    <mergeCell ref="A20:K20"/>
    <mergeCell ref="A22:K22"/>
    <mergeCell ref="A23:K23"/>
    <mergeCell ref="C24:K24"/>
    <mergeCell ref="C25:K25"/>
    <mergeCell ref="D16:G16"/>
    <mergeCell ref="H16:K16"/>
    <mergeCell ref="D17:G17"/>
    <mergeCell ref="H17:K17"/>
    <mergeCell ref="D18:G18"/>
    <mergeCell ref="H18:K18"/>
    <mergeCell ref="A13:K13"/>
    <mergeCell ref="D14:G14"/>
    <mergeCell ref="H14:K14"/>
    <mergeCell ref="D15:G15"/>
    <mergeCell ref="H15:K15"/>
    <mergeCell ref="G7:K7"/>
    <mergeCell ref="G8:K8"/>
    <mergeCell ref="G9:K9"/>
    <mergeCell ref="G10:K10"/>
    <mergeCell ref="G11:K11"/>
    <mergeCell ref="A1:K1"/>
    <mergeCell ref="A2:K2"/>
    <mergeCell ref="A4:K4"/>
    <mergeCell ref="G5:K5"/>
    <mergeCell ref="G6:K6"/>
  </mergeCells>
  <phoneticPr fontId="59" type="noConversion"/>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6305B"/>
  </sheetPr>
  <dimension ref="A1:L48"/>
  <sheetViews>
    <sheetView showGridLines="0" zoomScaleNormal="100" workbookViewId="0">
      <selection sqref="A1:L1"/>
    </sheetView>
  </sheetViews>
  <sheetFormatPr defaultColWidth="8.6640625" defaultRowHeight="14.25" x14ac:dyDescent="0.45"/>
  <cols>
    <col min="1" max="1" width="23" customWidth="1"/>
    <col min="2" max="2" width="12.6640625" customWidth="1"/>
    <col min="3" max="3" width="12" customWidth="1"/>
    <col min="4" max="4" width="11" customWidth="1"/>
    <col min="7" max="7" width="11" customWidth="1"/>
  </cols>
  <sheetData>
    <row r="1" spans="1:12" ht="37.5" customHeight="1" x14ac:dyDescent="0.45">
      <c r="A1" s="14" t="s">
        <v>518</v>
      </c>
      <c r="B1" s="14"/>
      <c r="C1" s="14"/>
      <c r="D1" s="14"/>
      <c r="E1" s="14"/>
      <c r="F1" s="14"/>
      <c r="G1" s="14"/>
      <c r="H1" s="14"/>
      <c r="I1" s="14"/>
      <c r="J1" s="14"/>
      <c r="K1" s="14"/>
      <c r="L1" s="14"/>
    </row>
    <row r="2" spans="1:12" ht="31.5" customHeight="1" x14ac:dyDescent="0.45">
      <c r="A2" s="13" t="s">
        <v>519</v>
      </c>
      <c r="B2" s="13"/>
      <c r="C2" s="13"/>
      <c r="D2" s="13"/>
      <c r="E2" s="13"/>
      <c r="F2" s="13"/>
      <c r="G2" s="13"/>
      <c r="H2" s="13"/>
      <c r="I2" s="13"/>
      <c r="J2" s="13"/>
      <c r="K2" s="13"/>
      <c r="L2" s="13"/>
    </row>
    <row r="4" spans="1:12" ht="24" customHeight="1" x14ac:dyDescent="0.45">
      <c r="A4" s="12" t="s">
        <v>520</v>
      </c>
      <c r="B4" s="12"/>
      <c r="C4" s="12"/>
      <c r="D4" s="12"/>
      <c r="E4" s="12"/>
      <c r="F4" s="12"/>
      <c r="G4" s="12"/>
      <c r="H4" s="12"/>
      <c r="I4" s="12"/>
      <c r="J4" s="12"/>
      <c r="K4" s="12"/>
      <c r="L4" s="12"/>
    </row>
    <row r="5" spans="1:12" ht="27" customHeight="1" x14ac:dyDescent="0.45">
      <c r="A5" s="19" t="s">
        <v>521</v>
      </c>
      <c r="B5" s="7" t="s">
        <v>522</v>
      </c>
      <c r="C5" s="7"/>
      <c r="D5" s="7"/>
      <c r="E5" s="7" t="s">
        <v>523</v>
      </c>
      <c r="F5" s="7"/>
      <c r="G5" s="7" t="s">
        <v>524</v>
      </c>
      <c r="H5" s="7"/>
      <c r="I5" s="7" t="s">
        <v>525</v>
      </c>
      <c r="J5" s="7"/>
      <c r="K5" s="7"/>
      <c r="L5" s="7"/>
    </row>
    <row r="6" spans="1:12" ht="87" customHeight="1" x14ac:dyDescent="0.45">
      <c r="A6" s="119" t="s">
        <v>526</v>
      </c>
      <c r="B6" s="168" t="s">
        <v>527</v>
      </c>
      <c r="C6" s="168"/>
      <c r="D6" s="168"/>
      <c r="E6" s="188" t="s">
        <v>528</v>
      </c>
      <c r="F6" s="188"/>
      <c r="G6" s="168" t="s">
        <v>529</v>
      </c>
      <c r="H6" s="168"/>
      <c r="I6" s="168" t="s">
        <v>530</v>
      </c>
      <c r="J6" s="168"/>
      <c r="K6" s="168"/>
      <c r="L6" s="168"/>
    </row>
    <row r="7" spans="1:12" ht="72" customHeight="1" x14ac:dyDescent="0.45">
      <c r="A7" s="119" t="s">
        <v>531</v>
      </c>
      <c r="B7" s="168" t="s">
        <v>532</v>
      </c>
      <c r="C7" s="168"/>
      <c r="D7" s="168"/>
      <c r="E7" s="188" t="s">
        <v>533</v>
      </c>
      <c r="F7" s="188"/>
      <c r="G7" s="168" t="s">
        <v>534</v>
      </c>
      <c r="H7" s="168"/>
      <c r="I7" s="168" t="s">
        <v>535</v>
      </c>
      <c r="J7" s="168"/>
      <c r="K7" s="168"/>
      <c r="L7" s="168"/>
    </row>
    <row r="8" spans="1:12" ht="87" customHeight="1" x14ac:dyDescent="0.45">
      <c r="A8" s="119" t="s">
        <v>536</v>
      </c>
      <c r="B8" s="168" t="s">
        <v>537</v>
      </c>
      <c r="C8" s="168"/>
      <c r="D8" s="168"/>
      <c r="E8" s="188" t="s">
        <v>538</v>
      </c>
      <c r="F8" s="188"/>
      <c r="G8" s="168" t="s">
        <v>539</v>
      </c>
      <c r="H8" s="168"/>
      <c r="I8" s="168" t="s">
        <v>540</v>
      </c>
      <c r="J8" s="168"/>
      <c r="K8" s="168"/>
      <c r="L8" s="168"/>
    </row>
    <row r="9" spans="1:12" ht="72" customHeight="1" x14ac:dyDescent="0.45">
      <c r="A9" s="119" t="s">
        <v>541</v>
      </c>
      <c r="B9" s="168" t="s">
        <v>542</v>
      </c>
      <c r="C9" s="168"/>
      <c r="D9" s="168"/>
      <c r="E9" s="188" t="s">
        <v>543</v>
      </c>
      <c r="F9" s="188"/>
      <c r="G9" s="168" t="s">
        <v>544</v>
      </c>
      <c r="H9" s="168"/>
      <c r="I9" s="168" t="s">
        <v>545</v>
      </c>
      <c r="J9" s="168"/>
      <c r="K9" s="168"/>
      <c r="L9" s="168"/>
    </row>
    <row r="10" spans="1:12" ht="72.75" customHeight="1" x14ac:dyDescent="0.45">
      <c r="A10" s="119" t="s">
        <v>546</v>
      </c>
      <c r="B10" s="168" t="s">
        <v>547</v>
      </c>
      <c r="C10" s="168"/>
      <c r="D10" s="168"/>
      <c r="E10" s="188" t="s">
        <v>548</v>
      </c>
      <c r="F10" s="188"/>
      <c r="G10" s="168" t="s">
        <v>549</v>
      </c>
      <c r="H10" s="168"/>
      <c r="I10" s="168" t="s">
        <v>550</v>
      </c>
      <c r="J10" s="168"/>
      <c r="K10" s="168"/>
      <c r="L10" s="168"/>
    </row>
    <row r="11" spans="1:12" ht="114" customHeight="1" x14ac:dyDescent="0.45">
      <c r="A11" s="119" t="s">
        <v>551</v>
      </c>
      <c r="B11" s="168" t="s">
        <v>552</v>
      </c>
      <c r="C11" s="168"/>
      <c r="D11" s="168"/>
      <c r="E11" s="189" t="s">
        <v>553</v>
      </c>
      <c r="F11" s="189"/>
      <c r="G11" s="168" t="s">
        <v>554</v>
      </c>
      <c r="H11" s="168"/>
      <c r="I11" s="168" t="s">
        <v>555</v>
      </c>
      <c r="J11" s="168"/>
      <c r="K11" s="168"/>
      <c r="L11" s="168"/>
    </row>
    <row r="13" spans="1:12" ht="24" customHeight="1" x14ac:dyDescent="0.45">
      <c r="A13" s="12" t="s">
        <v>556</v>
      </c>
      <c r="B13" s="12"/>
      <c r="C13" s="12"/>
      <c r="D13" s="12"/>
      <c r="E13" s="12"/>
      <c r="F13" s="12"/>
      <c r="G13" s="12"/>
      <c r="H13" s="12"/>
      <c r="I13" s="12"/>
      <c r="J13" s="12"/>
      <c r="K13" s="12"/>
      <c r="L13" s="12"/>
    </row>
    <row r="14" spans="1:12" ht="27" customHeight="1" x14ac:dyDescent="0.45">
      <c r="A14" s="7" t="s">
        <v>91</v>
      </c>
      <c r="B14" s="7"/>
      <c r="C14" s="19" t="s">
        <v>78</v>
      </c>
      <c r="D14" s="19" t="s">
        <v>79</v>
      </c>
      <c r="E14" s="7" t="s">
        <v>557</v>
      </c>
      <c r="F14" s="7"/>
      <c r="G14" s="7"/>
      <c r="H14" s="7"/>
      <c r="I14" s="7"/>
      <c r="J14" s="7"/>
      <c r="K14" s="7"/>
      <c r="L14" s="7"/>
    </row>
    <row r="15" spans="1:12" ht="25.5" customHeight="1" x14ac:dyDescent="0.45">
      <c r="A15" s="10" t="s">
        <v>558</v>
      </c>
      <c r="B15" s="10"/>
      <c r="C15" s="88">
        <v>0.98</v>
      </c>
      <c r="D15" s="88">
        <v>0.5</v>
      </c>
      <c r="E15" s="186" t="s">
        <v>559</v>
      </c>
      <c r="F15" s="186"/>
      <c r="G15" s="186"/>
      <c r="H15" s="186"/>
      <c r="I15" s="186"/>
      <c r="J15" s="186"/>
      <c r="K15" s="186"/>
      <c r="L15" s="186"/>
    </row>
    <row r="16" spans="1:12" ht="25.5" customHeight="1" x14ac:dyDescent="0.45">
      <c r="A16" s="10" t="s">
        <v>560</v>
      </c>
      <c r="B16" s="10"/>
      <c r="C16" s="88">
        <v>0.47</v>
      </c>
      <c r="D16" s="88">
        <v>0.68</v>
      </c>
      <c r="E16" s="186" t="s">
        <v>561</v>
      </c>
      <c r="F16" s="186"/>
      <c r="G16" s="186"/>
      <c r="H16" s="186"/>
      <c r="I16" s="186"/>
      <c r="J16" s="186"/>
      <c r="K16" s="186"/>
      <c r="L16" s="186"/>
    </row>
    <row r="17" spans="1:12" ht="31.5" customHeight="1" x14ac:dyDescent="0.45">
      <c r="A17" s="1" t="s">
        <v>562</v>
      </c>
      <c r="B17" s="1"/>
      <c r="C17" s="88">
        <v>2.7</v>
      </c>
      <c r="D17" s="29" t="s">
        <v>84</v>
      </c>
      <c r="E17" s="186" t="s">
        <v>563</v>
      </c>
      <c r="F17" s="186"/>
      <c r="G17" s="186"/>
      <c r="H17" s="186"/>
      <c r="I17" s="186"/>
      <c r="J17" s="186"/>
      <c r="K17" s="186"/>
      <c r="L17" s="186"/>
    </row>
    <row r="18" spans="1:12" ht="31.5" customHeight="1" x14ac:dyDescent="0.45">
      <c r="A18" s="1" t="s">
        <v>564</v>
      </c>
      <c r="B18" s="1"/>
      <c r="C18" s="88">
        <v>2.35</v>
      </c>
      <c r="D18" s="29" t="s">
        <v>84</v>
      </c>
      <c r="E18" s="186" t="s">
        <v>565</v>
      </c>
      <c r="F18" s="186"/>
      <c r="G18" s="186"/>
      <c r="H18" s="186"/>
      <c r="I18" s="186"/>
      <c r="J18" s="186"/>
      <c r="K18" s="186"/>
      <c r="L18" s="186"/>
    </row>
    <row r="19" spans="1:12" ht="31.5" customHeight="1" x14ac:dyDescent="0.45">
      <c r="A19" s="10" t="s">
        <v>566</v>
      </c>
      <c r="B19" s="10"/>
      <c r="C19" s="29" t="s">
        <v>84</v>
      </c>
      <c r="D19" s="88">
        <v>1.05</v>
      </c>
      <c r="E19" s="186" t="s">
        <v>567</v>
      </c>
      <c r="F19" s="186"/>
      <c r="G19" s="186"/>
      <c r="H19" s="186"/>
      <c r="I19" s="186"/>
      <c r="J19" s="186"/>
      <c r="K19" s="186"/>
      <c r="L19" s="186"/>
    </row>
    <row r="20" spans="1:12" ht="25.5" customHeight="1" x14ac:dyDescent="0.45">
      <c r="A20" s="10" t="s">
        <v>568</v>
      </c>
      <c r="B20" s="10"/>
      <c r="C20" s="88">
        <v>0.51</v>
      </c>
      <c r="D20" s="29" t="s">
        <v>84</v>
      </c>
      <c r="E20" s="186" t="s">
        <v>569</v>
      </c>
      <c r="F20" s="186"/>
      <c r="G20" s="186"/>
      <c r="H20" s="186"/>
      <c r="I20" s="186"/>
      <c r="J20" s="186"/>
      <c r="K20" s="186"/>
      <c r="L20" s="186"/>
    </row>
    <row r="21" spans="1:12" ht="25.5" customHeight="1" x14ac:dyDescent="0.45">
      <c r="A21" s="10" t="s">
        <v>570</v>
      </c>
      <c r="B21" s="10"/>
      <c r="C21" s="29" t="s">
        <v>84</v>
      </c>
      <c r="D21" s="88">
        <v>0.27</v>
      </c>
      <c r="E21" s="186" t="s">
        <v>571</v>
      </c>
      <c r="F21" s="186"/>
      <c r="G21" s="186"/>
      <c r="H21" s="186"/>
      <c r="I21" s="186"/>
      <c r="J21" s="186"/>
      <c r="K21" s="186"/>
      <c r="L21" s="186"/>
    </row>
    <row r="23" spans="1:12" ht="24" customHeight="1" x14ac:dyDescent="0.45">
      <c r="A23" s="12" t="s">
        <v>572</v>
      </c>
      <c r="B23" s="12"/>
      <c r="C23" s="12"/>
      <c r="D23" s="12"/>
      <c r="E23" s="12"/>
      <c r="F23" s="12"/>
      <c r="G23" s="12"/>
      <c r="H23" s="12"/>
      <c r="I23" s="12"/>
      <c r="J23" s="12"/>
      <c r="K23" s="12"/>
      <c r="L23" s="12"/>
    </row>
    <row r="24" spans="1:12" ht="27" customHeight="1" x14ac:dyDescent="0.45">
      <c r="A24" s="7" t="s">
        <v>573</v>
      </c>
      <c r="B24" s="7"/>
      <c r="C24" s="7" t="s">
        <v>574</v>
      </c>
      <c r="D24" s="7"/>
      <c r="E24" s="7"/>
      <c r="F24" s="7"/>
      <c r="G24" s="19" t="s">
        <v>575</v>
      </c>
      <c r="H24" s="7" t="s">
        <v>55</v>
      </c>
      <c r="I24" s="7"/>
      <c r="J24" s="7"/>
      <c r="K24" s="7"/>
      <c r="L24" s="7"/>
    </row>
    <row r="25" spans="1:12" ht="28.5" customHeight="1" x14ac:dyDescent="0.45">
      <c r="A25" s="10" t="s">
        <v>576</v>
      </c>
      <c r="B25" s="10"/>
      <c r="C25" s="184" t="s">
        <v>577</v>
      </c>
      <c r="D25" s="184"/>
      <c r="E25" s="184"/>
      <c r="F25" s="184"/>
      <c r="G25" s="120">
        <f>(1+D15)*D16/C16-1</f>
        <v>1.1702127659574471</v>
      </c>
      <c r="H25" s="186" t="s">
        <v>578</v>
      </c>
      <c r="I25" s="186"/>
      <c r="J25" s="186"/>
      <c r="K25" s="186"/>
      <c r="L25" s="186"/>
    </row>
    <row r="26" spans="1:12" ht="45" customHeight="1" x14ac:dyDescent="0.45">
      <c r="A26" s="10" t="s">
        <v>579</v>
      </c>
      <c r="B26" s="10"/>
      <c r="C26" s="184" t="s">
        <v>580</v>
      </c>
      <c r="D26" s="184"/>
      <c r="E26" s="184"/>
      <c r="F26" s="184"/>
      <c r="G26" s="121">
        <v>0.5</v>
      </c>
      <c r="H26" s="186" t="s">
        <v>581</v>
      </c>
      <c r="I26" s="186"/>
      <c r="J26" s="186"/>
      <c r="K26" s="186"/>
      <c r="L26" s="186"/>
    </row>
    <row r="27" spans="1:12" ht="31.5" customHeight="1" x14ac:dyDescent="0.45">
      <c r="A27" s="10" t="s">
        <v>582</v>
      </c>
      <c r="B27" s="10"/>
      <c r="C27" s="184" t="s">
        <v>583</v>
      </c>
      <c r="D27" s="184"/>
      <c r="E27" s="184"/>
      <c r="F27" s="184"/>
      <c r="G27" s="120">
        <f>(1+G25)/(1+G26)-1</f>
        <v>0.44680851063829796</v>
      </c>
      <c r="H27" s="186" t="s">
        <v>584</v>
      </c>
      <c r="I27" s="186"/>
      <c r="J27" s="186"/>
      <c r="K27" s="186"/>
      <c r="L27" s="186"/>
    </row>
    <row r="28" spans="1:12" ht="45" customHeight="1" x14ac:dyDescent="0.45">
      <c r="A28" s="10" t="s">
        <v>585</v>
      </c>
      <c r="B28" s="10"/>
      <c r="C28" s="184" t="s">
        <v>586</v>
      </c>
      <c r="D28" s="184"/>
      <c r="E28" s="184"/>
      <c r="F28" s="184"/>
      <c r="G28" s="120">
        <f>('03-Demand-BottomUp'!B6+'03-Demand-BottomUp'!B7)*G27+(1-'03-Demand-BottomUp'!B6-'03-Demand-BottomUp'!B7)*'03-Demand-BottomUp'!C8</f>
        <v>0.28667234042553197</v>
      </c>
      <c r="H28" s="186" t="s">
        <v>587</v>
      </c>
      <c r="I28" s="186"/>
      <c r="J28" s="186"/>
      <c r="K28" s="186"/>
      <c r="L28" s="186"/>
    </row>
    <row r="29" spans="1:12" ht="45" customHeight="1" x14ac:dyDescent="0.45">
      <c r="A29" s="10" t="s">
        <v>588</v>
      </c>
      <c r="B29" s="10"/>
      <c r="C29" s="184" t="s">
        <v>589</v>
      </c>
      <c r="D29" s="184"/>
      <c r="E29" s="184"/>
      <c r="F29" s="184"/>
      <c r="G29" s="120">
        <f>'01-DRAM-Model'!K26+'01-DRAM-Model'!$B$149</f>
        <v>0.27</v>
      </c>
      <c r="H29" s="186" t="s">
        <v>590</v>
      </c>
      <c r="I29" s="186"/>
      <c r="J29" s="186"/>
      <c r="K29" s="186"/>
      <c r="L29" s="186"/>
    </row>
    <row r="31" spans="1:12" ht="45" customHeight="1" x14ac:dyDescent="0.45">
      <c r="A31" s="8" t="s">
        <v>591</v>
      </c>
      <c r="B31" s="8"/>
      <c r="C31" s="8"/>
      <c r="D31" s="8"/>
      <c r="E31" s="8"/>
      <c r="F31" s="8"/>
      <c r="G31" s="8"/>
      <c r="H31" s="8"/>
      <c r="I31" s="8"/>
      <c r="J31" s="8"/>
      <c r="K31" s="8"/>
      <c r="L31" s="8"/>
    </row>
    <row r="33" spans="1:12" ht="24" customHeight="1" x14ac:dyDescent="0.45">
      <c r="A33" s="3" t="s">
        <v>592</v>
      </c>
      <c r="B33" s="3"/>
      <c r="C33" s="3"/>
      <c r="D33" s="3"/>
      <c r="E33" s="3"/>
      <c r="F33" s="3"/>
      <c r="G33" s="3"/>
      <c r="H33" s="3"/>
      <c r="I33" s="3"/>
      <c r="J33" s="3"/>
      <c r="K33" s="3"/>
      <c r="L33" s="3"/>
    </row>
    <row r="34" spans="1:12" ht="45" customHeight="1" x14ac:dyDescent="0.45">
      <c r="A34" s="165" t="s">
        <v>593</v>
      </c>
      <c r="B34" s="165"/>
      <c r="C34" s="165"/>
      <c r="D34" s="165"/>
      <c r="E34" s="165"/>
      <c r="F34" s="165"/>
      <c r="G34" s="165"/>
      <c r="H34" s="165"/>
      <c r="I34" s="165"/>
      <c r="J34" s="165"/>
      <c r="K34" s="165"/>
      <c r="L34" s="165"/>
    </row>
    <row r="35" spans="1:12" ht="27" customHeight="1" x14ac:dyDescent="0.45">
      <c r="A35" s="22" t="s">
        <v>594</v>
      </c>
      <c r="B35" s="2" t="s">
        <v>595</v>
      </c>
      <c r="C35" s="2"/>
      <c r="D35" s="2"/>
      <c r="E35" s="2"/>
      <c r="F35" s="2" t="s">
        <v>596</v>
      </c>
      <c r="G35" s="2"/>
      <c r="H35" s="2"/>
      <c r="I35" s="2" t="s">
        <v>597</v>
      </c>
      <c r="J35" s="2"/>
      <c r="K35" s="2"/>
      <c r="L35" s="2"/>
    </row>
    <row r="36" spans="1:12" ht="87" customHeight="1" x14ac:dyDescent="0.45">
      <c r="A36" s="122" t="s">
        <v>31</v>
      </c>
      <c r="B36" s="167" t="s">
        <v>598</v>
      </c>
      <c r="C36" s="167"/>
      <c r="D36" s="167"/>
      <c r="E36" s="167"/>
      <c r="F36" s="168" t="s">
        <v>599</v>
      </c>
      <c r="G36" s="168"/>
      <c r="H36" s="168"/>
      <c r="I36" s="187" t="s">
        <v>600</v>
      </c>
      <c r="J36" s="187"/>
      <c r="K36" s="187"/>
      <c r="L36" s="187"/>
    </row>
    <row r="37" spans="1:12" ht="60" customHeight="1" x14ac:dyDescent="0.45">
      <c r="A37" s="122" t="s">
        <v>36</v>
      </c>
      <c r="B37" s="167" t="s">
        <v>601</v>
      </c>
      <c r="C37" s="167"/>
      <c r="D37" s="167"/>
      <c r="E37" s="167"/>
      <c r="F37" s="168" t="s">
        <v>602</v>
      </c>
      <c r="G37" s="168"/>
      <c r="H37" s="168"/>
      <c r="I37" s="187" t="s">
        <v>603</v>
      </c>
      <c r="J37" s="187"/>
      <c r="K37" s="187"/>
      <c r="L37" s="187"/>
    </row>
    <row r="38" spans="1:12" ht="87" customHeight="1" x14ac:dyDescent="0.45">
      <c r="A38" s="122" t="s">
        <v>41</v>
      </c>
      <c r="B38" s="167" t="s">
        <v>604</v>
      </c>
      <c r="C38" s="167"/>
      <c r="D38" s="167"/>
      <c r="E38" s="167"/>
      <c r="F38" s="168" t="s">
        <v>605</v>
      </c>
      <c r="G38" s="168"/>
      <c r="H38" s="168"/>
      <c r="I38" s="187" t="s">
        <v>606</v>
      </c>
      <c r="J38" s="187"/>
      <c r="K38" s="187"/>
      <c r="L38" s="187"/>
    </row>
    <row r="39" spans="1:12" ht="60" customHeight="1" x14ac:dyDescent="0.45">
      <c r="A39" s="122" t="s">
        <v>46</v>
      </c>
      <c r="B39" s="167" t="s">
        <v>607</v>
      </c>
      <c r="C39" s="167"/>
      <c r="D39" s="167"/>
      <c r="E39" s="167"/>
      <c r="F39" s="168" t="s">
        <v>608</v>
      </c>
      <c r="G39" s="168"/>
      <c r="H39" s="168"/>
      <c r="I39" s="187" t="s">
        <v>609</v>
      </c>
      <c r="J39" s="187"/>
      <c r="K39" s="187"/>
      <c r="L39" s="187"/>
    </row>
    <row r="41" spans="1:12" ht="27" customHeight="1" x14ac:dyDescent="0.45">
      <c r="A41" s="2" t="s">
        <v>610</v>
      </c>
      <c r="B41" s="2"/>
      <c r="C41" s="2" t="s">
        <v>491</v>
      </c>
      <c r="D41" s="2"/>
      <c r="E41" s="2" t="s">
        <v>55</v>
      </c>
      <c r="F41" s="2"/>
      <c r="G41" s="2"/>
      <c r="H41" s="2"/>
      <c r="I41" s="2"/>
      <c r="J41" s="2"/>
      <c r="K41" s="2"/>
      <c r="L41" s="2"/>
    </row>
    <row r="42" spans="1:12" ht="25.5" customHeight="1" x14ac:dyDescent="0.45">
      <c r="A42" s="190" t="s">
        <v>611</v>
      </c>
      <c r="B42" s="190"/>
      <c r="C42" s="191" t="s">
        <v>612</v>
      </c>
      <c r="D42" s="191"/>
      <c r="E42" s="186" t="s">
        <v>613</v>
      </c>
      <c r="F42" s="186"/>
      <c r="G42" s="186"/>
      <c r="H42" s="186"/>
      <c r="I42" s="186"/>
      <c r="J42" s="186"/>
      <c r="K42" s="186"/>
      <c r="L42" s="186"/>
    </row>
    <row r="43" spans="1:12" ht="31.5" customHeight="1" x14ac:dyDescent="0.45">
      <c r="A43" s="190" t="s">
        <v>614</v>
      </c>
      <c r="B43" s="190"/>
      <c r="C43" s="191" t="s">
        <v>615</v>
      </c>
      <c r="D43" s="191"/>
      <c r="E43" s="186" t="s">
        <v>616</v>
      </c>
      <c r="F43" s="186"/>
      <c r="G43" s="186"/>
      <c r="H43" s="186"/>
      <c r="I43" s="186"/>
      <c r="J43" s="186"/>
      <c r="K43" s="186"/>
      <c r="L43" s="186"/>
    </row>
    <row r="44" spans="1:12" ht="31.5" customHeight="1" x14ac:dyDescent="0.45">
      <c r="A44" s="190" t="s">
        <v>617</v>
      </c>
      <c r="B44" s="190"/>
      <c r="C44" s="191" t="s">
        <v>618</v>
      </c>
      <c r="D44" s="191"/>
      <c r="E44" s="186" t="s">
        <v>619</v>
      </c>
      <c r="F44" s="186"/>
      <c r="G44" s="186"/>
      <c r="H44" s="186"/>
      <c r="I44" s="186"/>
      <c r="J44" s="186"/>
      <c r="K44" s="186"/>
      <c r="L44" s="186"/>
    </row>
    <row r="45" spans="1:12" ht="31.5" customHeight="1" x14ac:dyDescent="0.45">
      <c r="A45" s="190" t="s">
        <v>620</v>
      </c>
      <c r="B45" s="190"/>
      <c r="C45" s="191" t="s">
        <v>621</v>
      </c>
      <c r="D45" s="191"/>
      <c r="E45" s="186" t="s">
        <v>622</v>
      </c>
      <c r="F45" s="186"/>
      <c r="G45" s="186"/>
      <c r="H45" s="186"/>
      <c r="I45" s="186"/>
      <c r="J45" s="186"/>
      <c r="K45" s="186"/>
      <c r="L45" s="186"/>
    </row>
    <row r="46" spans="1:12" ht="31.5" customHeight="1" x14ac:dyDescent="0.45">
      <c r="A46" s="190" t="s">
        <v>623</v>
      </c>
      <c r="B46" s="190"/>
      <c r="C46" s="191" t="s">
        <v>624</v>
      </c>
      <c r="D46" s="191"/>
      <c r="E46" s="186" t="s">
        <v>625</v>
      </c>
      <c r="F46" s="186"/>
      <c r="G46" s="186"/>
      <c r="H46" s="186"/>
      <c r="I46" s="186"/>
      <c r="J46" s="186"/>
      <c r="K46" s="186"/>
      <c r="L46" s="186"/>
    </row>
    <row r="47" spans="1:12" ht="45" customHeight="1" x14ac:dyDescent="0.45">
      <c r="A47" s="190" t="s">
        <v>626</v>
      </c>
      <c r="B47" s="190"/>
      <c r="C47" s="191" t="s">
        <v>627</v>
      </c>
      <c r="D47" s="191"/>
      <c r="E47" s="186" t="s">
        <v>628</v>
      </c>
      <c r="F47" s="186"/>
      <c r="G47" s="186"/>
      <c r="H47" s="186"/>
      <c r="I47" s="186"/>
      <c r="J47" s="186"/>
      <c r="K47" s="186"/>
      <c r="L47" s="186"/>
    </row>
    <row r="48" spans="1:12" ht="59.25" customHeight="1" x14ac:dyDescent="0.45">
      <c r="A48" s="165" t="s">
        <v>629</v>
      </c>
      <c r="B48" s="165"/>
      <c r="C48" s="165"/>
      <c r="D48" s="165"/>
      <c r="E48" s="165"/>
      <c r="F48" s="165"/>
      <c r="G48" s="165"/>
      <c r="H48" s="165"/>
      <c r="I48" s="165"/>
      <c r="J48" s="165"/>
      <c r="K48" s="165"/>
      <c r="L48" s="165"/>
    </row>
  </sheetData>
  <mergeCells count="107">
    <mergeCell ref="A48:L48"/>
    <mergeCell ref="A45:B45"/>
    <mergeCell ref="C45:D45"/>
    <mergeCell ref="E45:L45"/>
    <mergeCell ref="A46:B46"/>
    <mergeCell ref="C46:D46"/>
    <mergeCell ref="E46:L46"/>
    <mergeCell ref="A47:B47"/>
    <mergeCell ref="C47:D47"/>
    <mergeCell ref="E47:L47"/>
    <mergeCell ref="A42:B42"/>
    <mergeCell ref="C42:D42"/>
    <mergeCell ref="E42:L42"/>
    <mergeCell ref="A43:B43"/>
    <mergeCell ref="C43:D43"/>
    <mergeCell ref="E43:L43"/>
    <mergeCell ref="A44:B44"/>
    <mergeCell ref="C44:D44"/>
    <mergeCell ref="E44:L44"/>
    <mergeCell ref="B38:E38"/>
    <mergeCell ref="F38:H38"/>
    <mergeCell ref="I38:L38"/>
    <mergeCell ref="B39:E39"/>
    <mergeCell ref="F39:H39"/>
    <mergeCell ref="I39:L39"/>
    <mergeCell ref="A41:B41"/>
    <mergeCell ref="C41:D41"/>
    <mergeCell ref="E41:L41"/>
    <mergeCell ref="B35:E35"/>
    <mergeCell ref="F35:H35"/>
    <mergeCell ref="I35:L35"/>
    <mergeCell ref="B36:E36"/>
    <mergeCell ref="F36:H36"/>
    <mergeCell ref="I36:L36"/>
    <mergeCell ref="B37:E37"/>
    <mergeCell ref="F37:H37"/>
    <mergeCell ref="I37:L37"/>
    <mergeCell ref="A28:B28"/>
    <mergeCell ref="C28:F28"/>
    <mergeCell ref="H28:L28"/>
    <mergeCell ref="A29:B29"/>
    <mergeCell ref="C29:F29"/>
    <mergeCell ref="H29:L29"/>
    <mergeCell ref="A31:L31"/>
    <mergeCell ref="A33:L33"/>
    <mergeCell ref="A34:L34"/>
    <mergeCell ref="A25:B25"/>
    <mergeCell ref="C25:F25"/>
    <mergeCell ref="H25:L25"/>
    <mergeCell ref="A26:B26"/>
    <mergeCell ref="C26:F26"/>
    <mergeCell ref="H26:L26"/>
    <mergeCell ref="A27:B27"/>
    <mergeCell ref="C27:F27"/>
    <mergeCell ref="H27:L27"/>
    <mergeCell ref="A19:B19"/>
    <mergeCell ref="E19:L19"/>
    <mergeCell ref="A20:B20"/>
    <mergeCell ref="E20:L20"/>
    <mergeCell ref="A21:B21"/>
    <mergeCell ref="E21:L21"/>
    <mergeCell ref="A23:L23"/>
    <mergeCell ref="A24:B24"/>
    <mergeCell ref="C24:F24"/>
    <mergeCell ref="H24:L24"/>
    <mergeCell ref="A14:B14"/>
    <mergeCell ref="E14:L14"/>
    <mergeCell ref="A15:B15"/>
    <mergeCell ref="E15:L15"/>
    <mergeCell ref="A16:B16"/>
    <mergeCell ref="E16:L16"/>
    <mergeCell ref="A17:B17"/>
    <mergeCell ref="E17:L17"/>
    <mergeCell ref="A18:B18"/>
    <mergeCell ref="E18:L18"/>
    <mergeCell ref="B10:D10"/>
    <mergeCell ref="E10:F10"/>
    <mergeCell ref="G10:H10"/>
    <mergeCell ref="I10:L10"/>
    <mergeCell ref="B11:D11"/>
    <mergeCell ref="E11:F11"/>
    <mergeCell ref="G11:H11"/>
    <mergeCell ref="I11:L11"/>
    <mergeCell ref="A13:L13"/>
    <mergeCell ref="B7:D7"/>
    <mergeCell ref="E7:F7"/>
    <mergeCell ref="G7:H7"/>
    <mergeCell ref="I7:L7"/>
    <mergeCell ref="B8:D8"/>
    <mergeCell ref="E8:F8"/>
    <mergeCell ref="G8:H8"/>
    <mergeCell ref="I8:L8"/>
    <mergeCell ref="B9:D9"/>
    <mergeCell ref="E9:F9"/>
    <mergeCell ref="G9:H9"/>
    <mergeCell ref="I9:L9"/>
    <mergeCell ref="A1:L1"/>
    <mergeCell ref="A2:L2"/>
    <mergeCell ref="A4:L4"/>
    <mergeCell ref="B5:D5"/>
    <mergeCell ref="E5:F5"/>
    <mergeCell ref="G5:H5"/>
    <mergeCell ref="I5:L5"/>
    <mergeCell ref="B6:D6"/>
    <mergeCell ref="E6:F6"/>
    <mergeCell ref="G6:H6"/>
    <mergeCell ref="I6:L6"/>
  </mergeCells>
  <phoneticPr fontId="59" type="noConversion"/>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6305B"/>
  </sheetPr>
  <dimension ref="A1:L55"/>
  <sheetViews>
    <sheetView showGridLines="0" tabSelected="1" zoomScaleNormal="100" workbookViewId="0">
      <selection sqref="A1:L1"/>
    </sheetView>
  </sheetViews>
  <sheetFormatPr defaultColWidth="8.6640625" defaultRowHeight="14.25" x14ac:dyDescent="0.45"/>
  <cols>
    <col min="1" max="1" width="25" customWidth="1"/>
    <col min="2" max="2" width="12.6640625" customWidth="1"/>
    <col min="3" max="3" width="11" customWidth="1"/>
    <col min="4" max="6" width="11.46484375" customWidth="1"/>
  </cols>
  <sheetData>
    <row r="1" spans="1:12" ht="37.5" customHeight="1" x14ac:dyDescent="0.45">
      <c r="A1" s="14" t="s">
        <v>630</v>
      </c>
      <c r="B1" s="14"/>
      <c r="C1" s="14"/>
      <c r="D1" s="14"/>
      <c r="E1" s="14"/>
      <c r="F1" s="14"/>
      <c r="G1" s="14"/>
      <c r="H1" s="14"/>
      <c r="I1" s="14"/>
      <c r="J1" s="14"/>
      <c r="K1" s="14"/>
      <c r="L1" s="14"/>
    </row>
    <row r="2" spans="1:12" ht="31.5" customHeight="1" x14ac:dyDescent="0.45">
      <c r="A2" s="13" t="s">
        <v>631</v>
      </c>
      <c r="B2" s="13"/>
      <c r="C2" s="13"/>
      <c r="D2" s="13"/>
      <c r="E2" s="13"/>
      <c r="F2" s="13"/>
      <c r="G2" s="13"/>
      <c r="H2" s="13"/>
      <c r="I2" s="13"/>
      <c r="J2" s="13"/>
      <c r="K2" s="13"/>
      <c r="L2" s="13"/>
    </row>
    <row r="4" spans="1:12" ht="24" customHeight="1" x14ac:dyDescent="0.45">
      <c r="A4" s="12" t="s">
        <v>632</v>
      </c>
      <c r="B4" s="12"/>
      <c r="C4" s="12"/>
      <c r="D4" s="12"/>
      <c r="E4" s="12"/>
      <c r="F4" s="12"/>
      <c r="G4" s="12"/>
      <c r="H4" s="12"/>
      <c r="I4" s="12"/>
      <c r="J4" s="12"/>
      <c r="K4" s="12"/>
      <c r="L4" s="12"/>
    </row>
    <row r="5" spans="1:12" ht="27" customHeight="1" x14ac:dyDescent="0.45">
      <c r="A5" s="19" t="s">
        <v>120</v>
      </c>
      <c r="B5" s="7" t="s">
        <v>121</v>
      </c>
      <c r="C5" s="7"/>
      <c r="D5" s="7" t="s">
        <v>122</v>
      </c>
      <c r="E5" s="7"/>
      <c r="F5" s="7"/>
      <c r="G5" s="7" t="s">
        <v>123</v>
      </c>
      <c r="H5" s="7"/>
      <c r="I5" s="7"/>
      <c r="J5" s="7" t="s">
        <v>597</v>
      </c>
      <c r="K5" s="7"/>
      <c r="L5" s="7"/>
    </row>
    <row r="6" spans="1:12" ht="114" customHeight="1" x14ac:dyDescent="0.45">
      <c r="A6" s="39" t="s">
        <v>124</v>
      </c>
      <c r="B6" s="167" t="s">
        <v>633</v>
      </c>
      <c r="C6" s="167"/>
      <c r="D6" s="168" t="s">
        <v>634</v>
      </c>
      <c r="E6" s="168"/>
      <c r="F6" s="168"/>
      <c r="G6" s="168" t="s">
        <v>635</v>
      </c>
      <c r="H6" s="168"/>
      <c r="I6" s="168"/>
      <c r="J6" s="168" t="s">
        <v>636</v>
      </c>
      <c r="K6" s="168"/>
      <c r="L6" s="168"/>
    </row>
    <row r="7" spans="1:12" ht="100.5" customHeight="1" x14ac:dyDescent="0.45">
      <c r="A7" s="39" t="s">
        <v>124</v>
      </c>
      <c r="B7" s="167" t="s">
        <v>637</v>
      </c>
      <c r="C7" s="167"/>
      <c r="D7" s="168" t="s">
        <v>638</v>
      </c>
      <c r="E7" s="168"/>
      <c r="F7" s="168"/>
      <c r="G7" s="168" t="s">
        <v>639</v>
      </c>
      <c r="H7" s="168"/>
      <c r="I7" s="168"/>
      <c r="J7" s="168" t="s">
        <v>640</v>
      </c>
      <c r="K7" s="168"/>
      <c r="L7" s="168"/>
    </row>
    <row r="8" spans="1:12" ht="87" customHeight="1" x14ac:dyDescent="0.45">
      <c r="A8" s="39" t="s">
        <v>137</v>
      </c>
      <c r="B8" s="167" t="s">
        <v>641</v>
      </c>
      <c r="C8" s="167"/>
      <c r="D8" s="168" t="s">
        <v>642</v>
      </c>
      <c r="E8" s="168"/>
      <c r="F8" s="168"/>
      <c r="G8" s="168" t="s">
        <v>643</v>
      </c>
      <c r="H8" s="168"/>
      <c r="I8" s="168"/>
      <c r="J8" s="168" t="s">
        <v>644</v>
      </c>
      <c r="K8" s="168"/>
      <c r="L8" s="168"/>
    </row>
    <row r="9" spans="1:12" ht="114" customHeight="1" x14ac:dyDescent="0.45">
      <c r="A9" s="39" t="s">
        <v>137</v>
      </c>
      <c r="B9" s="167" t="s">
        <v>645</v>
      </c>
      <c r="C9" s="167"/>
      <c r="D9" s="168" t="s">
        <v>646</v>
      </c>
      <c r="E9" s="168"/>
      <c r="F9" s="168"/>
      <c r="G9" s="168" t="s">
        <v>647</v>
      </c>
      <c r="H9" s="168"/>
      <c r="I9" s="168"/>
      <c r="J9" s="168" t="s">
        <v>648</v>
      </c>
      <c r="K9" s="168"/>
      <c r="L9" s="168"/>
    </row>
    <row r="10" spans="1:12" ht="78" customHeight="1" x14ac:dyDescent="0.45">
      <c r="A10" s="39" t="s">
        <v>147</v>
      </c>
      <c r="B10" s="167" t="s">
        <v>649</v>
      </c>
      <c r="C10" s="167"/>
      <c r="D10" s="168" t="s">
        <v>650</v>
      </c>
      <c r="E10" s="168"/>
      <c r="F10" s="168"/>
      <c r="G10" s="168" t="s">
        <v>651</v>
      </c>
      <c r="H10" s="168"/>
      <c r="I10" s="168"/>
      <c r="J10" s="168" t="s">
        <v>652</v>
      </c>
      <c r="K10" s="168"/>
      <c r="L10" s="168"/>
    </row>
    <row r="12" spans="1:12" ht="24" customHeight="1" x14ac:dyDescent="0.45">
      <c r="A12" s="12" t="s">
        <v>653</v>
      </c>
      <c r="B12" s="12"/>
      <c r="C12" s="12"/>
      <c r="D12" s="12"/>
      <c r="E12" s="12"/>
      <c r="F12" s="12"/>
      <c r="G12" s="12"/>
      <c r="H12" s="12"/>
      <c r="I12" s="12"/>
      <c r="J12" s="12"/>
      <c r="K12" s="12"/>
      <c r="L12" s="12"/>
    </row>
    <row r="13" spans="1:12" ht="27" customHeight="1" x14ac:dyDescent="0.45">
      <c r="A13" s="7" t="s">
        <v>298</v>
      </c>
      <c r="B13" s="7"/>
      <c r="C13" s="7"/>
      <c r="D13" s="19" t="s">
        <v>78</v>
      </c>
      <c r="E13" s="19" t="s">
        <v>79</v>
      </c>
      <c r="F13" s="19" t="s">
        <v>80</v>
      </c>
      <c r="G13" s="7" t="s">
        <v>299</v>
      </c>
      <c r="H13" s="7"/>
      <c r="I13" s="7"/>
      <c r="J13" s="7"/>
      <c r="K13" s="7"/>
      <c r="L13" s="7"/>
    </row>
    <row r="14" spans="1:12" ht="59.25" customHeight="1" x14ac:dyDescent="0.45">
      <c r="A14" s="1" t="s">
        <v>654</v>
      </c>
      <c r="B14" s="1"/>
      <c r="C14" s="1"/>
      <c r="D14" s="74">
        <f>'01-DRAM-Model'!M25</f>
        <v>-0.14570558244360921</v>
      </c>
      <c r="E14" s="74">
        <f>'01-DRAM-Model'!M26</f>
        <v>-0.20948175470097175</v>
      </c>
      <c r="F14" s="74">
        <f>'01-DRAM-Model'!M27</f>
        <v>-0.19509017286334895</v>
      </c>
      <c r="G14" s="186" t="s">
        <v>655</v>
      </c>
      <c r="H14" s="186"/>
      <c r="I14" s="186"/>
      <c r="J14" s="186"/>
      <c r="K14" s="186"/>
      <c r="L14" s="186"/>
    </row>
    <row r="15" spans="1:12" ht="45" customHeight="1" x14ac:dyDescent="0.45">
      <c r="A15" s="1" t="s">
        <v>656</v>
      </c>
      <c r="B15" s="1"/>
      <c r="C15" s="1"/>
      <c r="D15" s="74">
        <f>(1+'01-DRAM-Model'!$B$14)*(1+'01-DRAM-Model'!J25)/(1+'03-Demand-BottomUp'!$F$11)-1</f>
        <v>-4.996569082091018E-2</v>
      </c>
      <c r="E15" s="74">
        <f>(1+D15)*(1+'01-DRAM-Model'!J26)/(1+'03-Demand-BottomUp'!$F$11)-1</f>
        <v>-3.7525236865786127E-2</v>
      </c>
      <c r="F15" s="74">
        <f>(1+E15)*(1+'01-DRAM-Model'!J27)/(1+'03-Demand-BottomUp'!$F$11)-1</f>
        <v>5.6031095119386309E-2</v>
      </c>
      <c r="G15" s="186" t="s">
        <v>657</v>
      </c>
      <c r="H15" s="186"/>
      <c r="I15" s="186"/>
      <c r="J15" s="186"/>
      <c r="K15" s="186"/>
      <c r="L15" s="186"/>
    </row>
    <row r="16" spans="1:12" ht="33.75" customHeight="1" x14ac:dyDescent="0.45">
      <c r="A16" s="1" t="s">
        <v>658</v>
      </c>
      <c r="B16" s="1"/>
      <c r="C16" s="1"/>
      <c r="D16" s="74">
        <f>(1+'01-DRAM-Model'!J25)/(1+'03-Demand-BottomUp'!$E$11)-1</f>
        <v>-4.065007221176653E-2</v>
      </c>
      <c r="E16" s="74">
        <f>(1+D16)*(1+'01-DRAM-Model'!J26)/(1+'03-Demand-BottomUp'!$E$11)-1</f>
        <v>-8.7258463292041233E-2</v>
      </c>
      <c r="F16" s="74">
        <f>(1+E16)*(1+'01-DRAM-Model'!J27)/(1+'03-Demand-BottomUp'!$E$11)-1</f>
        <v>-5.9506330905623961E-2</v>
      </c>
      <c r="G16" s="186" t="s">
        <v>659</v>
      </c>
      <c r="H16" s="186"/>
      <c r="I16" s="186"/>
      <c r="J16" s="186"/>
      <c r="K16" s="186"/>
      <c r="L16" s="186"/>
    </row>
    <row r="17" spans="1:12" ht="59.25" customHeight="1" x14ac:dyDescent="0.45">
      <c r="A17" s="1" t="s">
        <v>660</v>
      </c>
      <c r="B17" s="1"/>
      <c r="C17" s="1"/>
      <c r="D17" s="74">
        <f>'01-DRAM-Model'!J25-'03-Demand-BottomUp'!$F$11</f>
        <v>2.4989030804026091E-2</v>
      </c>
      <c r="E17" s="74">
        <f>'01-DRAM-Model'!J26-'03-Demand-BottomUp'!$F$11</f>
        <v>1.5189900457819705E-2</v>
      </c>
      <c r="F17" s="74">
        <f>'01-DRAM-Model'!J27-'03-Demand-BottomUp'!$F$11</f>
        <v>0.11275656179222499</v>
      </c>
      <c r="G17" s="186" t="s">
        <v>661</v>
      </c>
      <c r="H17" s="186"/>
      <c r="I17" s="186"/>
      <c r="J17" s="186"/>
      <c r="K17" s="186"/>
      <c r="L17" s="186"/>
    </row>
    <row r="18" spans="1:12" ht="31.5" customHeight="1" x14ac:dyDescent="0.45">
      <c r="A18" s="192" t="s">
        <v>662</v>
      </c>
      <c r="B18" s="192"/>
      <c r="C18" s="192"/>
      <c r="D18" s="86">
        <f>(D14-D16)*100</f>
        <v>-10.505551023184267</v>
      </c>
      <c r="E18" s="86">
        <f>(E14-E16)*100</f>
        <v>-12.222329140893052</v>
      </c>
      <c r="F18" s="86">
        <f>(F14-F16)*100</f>
        <v>-13.558384195772499</v>
      </c>
      <c r="G18" s="186" t="s">
        <v>663</v>
      </c>
      <c r="H18" s="186"/>
      <c r="I18" s="186"/>
      <c r="J18" s="186"/>
      <c r="K18" s="186"/>
      <c r="L18" s="186"/>
    </row>
    <row r="20" spans="1:12" ht="24" customHeight="1" x14ac:dyDescent="0.45">
      <c r="A20" s="12" t="s">
        <v>664</v>
      </c>
      <c r="B20" s="12"/>
      <c r="C20" s="12"/>
      <c r="D20" s="12"/>
      <c r="E20" s="12"/>
      <c r="F20" s="12"/>
      <c r="G20" s="12"/>
      <c r="H20" s="12"/>
      <c r="I20" s="12"/>
      <c r="J20" s="12"/>
      <c r="K20" s="12"/>
      <c r="L20" s="12"/>
    </row>
    <row r="21" spans="1:12" ht="45" customHeight="1" x14ac:dyDescent="0.45">
      <c r="A21" s="193" t="s">
        <v>665</v>
      </c>
      <c r="B21" s="193"/>
      <c r="C21" s="193"/>
      <c r="D21" s="121">
        <v>0.35</v>
      </c>
      <c r="E21" s="186" t="s">
        <v>666</v>
      </c>
      <c r="F21" s="186"/>
      <c r="G21" s="186"/>
      <c r="H21" s="186"/>
      <c r="I21" s="186"/>
      <c r="J21" s="186"/>
      <c r="K21" s="186"/>
      <c r="L21" s="186"/>
    </row>
    <row r="22" spans="1:12" ht="27" customHeight="1" x14ac:dyDescent="0.45">
      <c r="A22" s="7" t="s">
        <v>200</v>
      </c>
      <c r="B22" s="7"/>
      <c r="C22" s="19" t="s">
        <v>232</v>
      </c>
      <c r="D22" s="19" t="s">
        <v>667</v>
      </c>
      <c r="E22" s="19" t="s">
        <v>668</v>
      </c>
      <c r="F22" s="7" t="s">
        <v>55</v>
      </c>
      <c r="G22" s="7"/>
      <c r="H22" s="7"/>
      <c r="I22" s="7"/>
      <c r="J22" s="7"/>
      <c r="K22" s="7"/>
      <c r="L22" s="7"/>
    </row>
    <row r="23" spans="1:12" ht="18.75" customHeight="1" x14ac:dyDescent="0.45">
      <c r="A23" s="10" t="s">
        <v>218</v>
      </c>
      <c r="B23" s="10"/>
      <c r="C23" s="70">
        <f>'01-DRAM-Model'!B48</f>
        <v>0.16</v>
      </c>
      <c r="D23" s="36">
        <f>'01-DRAM-Model'!M22</f>
        <v>-0.33966859445915887</v>
      </c>
      <c r="E23" s="74">
        <f>MIN(D23,$D$21)</f>
        <v>-0.33966859445915887</v>
      </c>
      <c r="F23" s="182"/>
      <c r="G23" s="182"/>
      <c r="H23" s="182"/>
      <c r="I23" s="182"/>
      <c r="J23" s="182"/>
      <c r="K23" s="182"/>
      <c r="L23" s="182"/>
    </row>
    <row r="24" spans="1:12" ht="18.75" customHeight="1" x14ac:dyDescent="0.45">
      <c r="A24" s="10" t="s">
        <v>222</v>
      </c>
      <c r="B24" s="10"/>
      <c r="C24" s="70">
        <f>'01-DRAM-Model'!B49</f>
        <v>0.4</v>
      </c>
      <c r="D24" s="36">
        <f>'01-DRAM-Model'!M27</f>
        <v>-0.19509017286334895</v>
      </c>
      <c r="E24" s="74">
        <f>MIN(D24,$D$21)</f>
        <v>-0.19509017286334895</v>
      </c>
      <c r="F24" s="182"/>
      <c r="G24" s="182"/>
      <c r="H24" s="182"/>
      <c r="I24" s="182"/>
      <c r="J24" s="182"/>
      <c r="K24" s="182"/>
      <c r="L24" s="182"/>
    </row>
    <row r="25" spans="1:12" ht="18.75" customHeight="1" x14ac:dyDescent="0.45">
      <c r="A25" s="10" t="s">
        <v>224</v>
      </c>
      <c r="B25" s="10"/>
      <c r="C25" s="70">
        <f>'01-DRAM-Model'!B50</f>
        <v>0.27</v>
      </c>
      <c r="D25" s="36">
        <f>'01-DRAM-Model'!M32</f>
        <v>2.0952831578305409E-2</v>
      </c>
      <c r="E25" s="74">
        <f>MIN(D25,$D$21)</f>
        <v>2.0952831578305409E-2</v>
      </c>
      <c r="F25" s="182"/>
      <c r="G25" s="182"/>
      <c r="H25" s="182"/>
      <c r="I25" s="182"/>
      <c r="J25" s="182"/>
      <c r="K25" s="182"/>
      <c r="L25" s="182"/>
    </row>
    <row r="26" spans="1:12" ht="18.75" customHeight="1" x14ac:dyDescent="0.45">
      <c r="A26" s="10" t="s">
        <v>226</v>
      </c>
      <c r="B26" s="10"/>
      <c r="C26" s="70">
        <f>'01-DRAM-Model'!B51</f>
        <v>0.17</v>
      </c>
      <c r="D26" s="36">
        <f>'01-DRAM-Model'!M37</f>
        <v>0.18997193377153598</v>
      </c>
      <c r="E26" s="74">
        <f>MIN(D26,$D$21)</f>
        <v>0.18997193377153598</v>
      </c>
      <c r="F26" s="182"/>
      <c r="G26" s="182"/>
      <c r="H26" s="182"/>
      <c r="I26" s="182"/>
      <c r="J26" s="182"/>
      <c r="K26" s="182"/>
      <c r="L26" s="182"/>
    </row>
    <row r="27" spans="1:12" ht="18.75" customHeight="1" x14ac:dyDescent="0.45">
      <c r="A27" s="10" t="s">
        <v>228</v>
      </c>
      <c r="B27" s="10"/>
      <c r="C27" s="70">
        <f>'01-DRAM-Model'!B52</f>
        <v>0</v>
      </c>
      <c r="D27" s="36">
        <f>'01-DRAM-Model'!M42</f>
        <v>0.77784142217135321</v>
      </c>
      <c r="E27" s="74">
        <f>MIN(D27,$D$21)</f>
        <v>0.35</v>
      </c>
      <c r="F27" s="182"/>
      <c r="G27" s="182"/>
      <c r="H27" s="182"/>
      <c r="I27" s="182"/>
      <c r="J27" s="182"/>
      <c r="K27" s="182"/>
      <c r="L27" s="182"/>
    </row>
    <row r="28" spans="1:12" ht="31.5" customHeight="1" x14ac:dyDescent="0.45">
      <c r="A28" s="194" t="s">
        <v>235</v>
      </c>
      <c r="B28" s="194"/>
      <c r="C28" s="123">
        <f>SUM(C23:C27)</f>
        <v>1</v>
      </c>
      <c r="D28" s="124">
        <f>SUMPRODUCT(C23:C27,D23:D27)</f>
        <v>-9.4430550991501438E-2</v>
      </c>
      <c r="E28" s="124">
        <f>SUMPRODUCT(C23:C27,E23:E27)</f>
        <v>-9.4430550991501438E-2</v>
      </c>
      <c r="F28" s="186" t="s">
        <v>669</v>
      </c>
      <c r="G28" s="186"/>
      <c r="H28" s="186"/>
      <c r="I28" s="186"/>
      <c r="J28" s="186"/>
      <c r="K28" s="186"/>
      <c r="L28" s="186"/>
    </row>
    <row r="29" spans="1:12" ht="31.5" customHeight="1" x14ac:dyDescent="0.45">
      <c r="A29" s="194" t="s">
        <v>670</v>
      </c>
      <c r="B29" s="194"/>
      <c r="C29" s="29" t="s">
        <v>84</v>
      </c>
      <c r="D29" s="125">
        <f>'01-DRAM-Model'!G65</f>
        <v>-0.19509017286334895</v>
      </c>
      <c r="E29" s="125">
        <f>'01-DRAM-Model'!G65</f>
        <v>-0.19509017286334895</v>
      </c>
      <c r="F29" s="186" t="s">
        <v>671</v>
      </c>
      <c r="G29" s="186"/>
      <c r="H29" s="186"/>
      <c r="I29" s="186"/>
      <c r="J29" s="186"/>
      <c r="K29" s="186"/>
      <c r="L29" s="186"/>
    </row>
    <row r="30" spans="1:12" ht="31.5" customHeight="1" x14ac:dyDescent="0.45">
      <c r="A30" s="194" t="s">
        <v>672</v>
      </c>
      <c r="B30" s="194"/>
      <c r="C30" s="29" t="s">
        <v>84</v>
      </c>
      <c r="D30" s="37">
        <f>(D28-D29)*100</f>
        <v>10.065962187184752</v>
      </c>
      <c r="E30" s="37">
        <f>(E28-E29)*100</f>
        <v>10.065962187184752</v>
      </c>
      <c r="F30" s="186" t="s">
        <v>673</v>
      </c>
      <c r="G30" s="186"/>
      <c r="H30" s="186"/>
      <c r="I30" s="186"/>
      <c r="J30" s="186"/>
      <c r="K30" s="186"/>
      <c r="L30" s="186"/>
    </row>
    <row r="32" spans="1:12" ht="24" customHeight="1" x14ac:dyDescent="0.45">
      <c r="A32" s="12" t="s">
        <v>674</v>
      </c>
      <c r="B32" s="12"/>
      <c r="C32" s="12"/>
      <c r="D32" s="12"/>
      <c r="E32" s="12"/>
      <c r="F32" s="12"/>
      <c r="G32" s="12"/>
      <c r="H32" s="12"/>
      <c r="I32" s="12"/>
      <c r="J32" s="12"/>
      <c r="K32" s="12"/>
      <c r="L32" s="12"/>
    </row>
    <row r="33" spans="1:12" ht="31.5" customHeight="1" x14ac:dyDescent="0.45">
      <c r="A33" s="11" t="s">
        <v>675</v>
      </c>
      <c r="B33" s="11"/>
      <c r="C33" s="11"/>
      <c r="D33" s="11"/>
      <c r="E33" s="11"/>
      <c r="F33" s="11"/>
      <c r="G33" s="11"/>
      <c r="H33" s="11"/>
      <c r="I33" s="11"/>
      <c r="J33" s="11"/>
      <c r="K33" s="11"/>
      <c r="L33" s="11"/>
    </row>
    <row r="34" spans="1:12" ht="31.5" customHeight="1" x14ac:dyDescent="0.45">
      <c r="A34" s="7" t="s">
        <v>676</v>
      </c>
      <c r="B34" s="7"/>
      <c r="C34" s="19" t="s">
        <v>677</v>
      </c>
      <c r="D34" s="19" t="s">
        <v>678</v>
      </c>
      <c r="E34" s="19" t="s">
        <v>679</v>
      </c>
      <c r="F34" s="19" t="s">
        <v>680</v>
      </c>
    </row>
    <row r="35" spans="1:12" ht="18.75" customHeight="1" x14ac:dyDescent="0.45">
      <c r="A35" s="10" t="s">
        <v>681</v>
      </c>
      <c r="B35" s="10"/>
      <c r="C35" s="70">
        <f>'01-DRAM-Model'!B48</f>
        <v>0.16</v>
      </c>
      <c r="D35" s="36">
        <f>'01-DRAM-Model'!M22</f>
        <v>-0.33966859445915887</v>
      </c>
      <c r="E35" s="36">
        <f>'02-NAND-Model'!I9</f>
        <v>-0.11978387313876704</v>
      </c>
      <c r="F35" s="37">
        <f t="shared" ref="F35:F41" si="0">(E35-D35)*100</f>
        <v>21.988472132039185</v>
      </c>
      <c r="G35" s="182"/>
      <c r="H35" s="182"/>
      <c r="I35" s="182"/>
      <c r="J35" s="182"/>
      <c r="K35" s="182"/>
      <c r="L35" s="182"/>
    </row>
    <row r="36" spans="1:12" ht="18.75" customHeight="1" x14ac:dyDescent="0.45">
      <c r="A36" s="10" t="s">
        <v>682</v>
      </c>
      <c r="B36" s="10"/>
      <c r="C36" s="70">
        <f>'01-DRAM-Model'!B49</f>
        <v>0.4</v>
      </c>
      <c r="D36" s="36">
        <f>'01-DRAM-Model'!M27</f>
        <v>-0.19509017286334895</v>
      </c>
      <c r="E36" s="36">
        <f>'02-NAND-Model'!I14</f>
        <v>5.6524525759805266E-2</v>
      </c>
      <c r="F36" s="37">
        <f t="shared" si="0"/>
        <v>25.161469862315421</v>
      </c>
      <c r="G36" s="182"/>
      <c r="H36" s="182"/>
      <c r="I36" s="182"/>
      <c r="J36" s="182"/>
      <c r="K36" s="182"/>
      <c r="L36" s="182"/>
    </row>
    <row r="37" spans="1:12" ht="18.75" customHeight="1" x14ac:dyDescent="0.45">
      <c r="A37" s="10" t="s">
        <v>683</v>
      </c>
      <c r="B37" s="10"/>
      <c r="C37" s="70">
        <f>'01-DRAM-Model'!B50</f>
        <v>0.27</v>
      </c>
      <c r="D37" s="36">
        <f>'01-DRAM-Model'!M32</f>
        <v>2.0952831578305409E-2</v>
      </c>
      <c r="E37" s="36">
        <f>'02-NAND-Model'!I19</f>
        <v>0.33720109393706621</v>
      </c>
      <c r="F37" s="37">
        <f t="shared" si="0"/>
        <v>31.624826235876078</v>
      </c>
      <c r="G37" s="182"/>
      <c r="H37" s="182"/>
      <c r="I37" s="182"/>
      <c r="J37" s="182"/>
      <c r="K37" s="182"/>
      <c r="L37" s="182"/>
    </row>
    <row r="38" spans="1:12" ht="18.75" customHeight="1" x14ac:dyDescent="0.45">
      <c r="A38" s="10" t="s">
        <v>684</v>
      </c>
      <c r="B38" s="10"/>
      <c r="C38" s="70">
        <f>'01-DRAM-Model'!B51</f>
        <v>0.17</v>
      </c>
      <c r="D38" s="36">
        <f>'01-DRAM-Model'!M37</f>
        <v>0.18997193377153598</v>
      </c>
      <c r="E38" s="36">
        <f>'02-NAND-Model'!I24</f>
        <v>0.63443163587348472</v>
      </c>
      <c r="F38" s="37">
        <f t="shared" si="0"/>
        <v>44.445970210194872</v>
      </c>
      <c r="G38" s="182"/>
      <c r="H38" s="182"/>
      <c r="I38" s="182"/>
      <c r="J38" s="182"/>
      <c r="K38" s="182"/>
      <c r="L38" s="182"/>
    </row>
    <row r="39" spans="1:12" ht="18.75" customHeight="1" x14ac:dyDescent="0.45">
      <c r="A39" s="10" t="s">
        <v>685</v>
      </c>
      <c r="B39" s="10"/>
      <c r="C39" s="70">
        <f>'01-DRAM-Model'!B52</f>
        <v>0</v>
      </c>
      <c r="D39" s="36">
        <f>'01-DRAM-Model'!M42</f>
        <v>0.77784142217135321</v>
      </c>
      <c r="E39" s="36">
        <f>'02-NAND-Model'!I24</f>
        <v>0.63443163587348472</v>
      </c>
      <c r="F39" s="37">
        <f t="shared" si="0"/>
        <v>-14.34097862978685</v>
      </c>
      <c r="G39" s="182"/>
      <c r="H39" s="182"/>
      <c r="I39" s="182"/>
      <c r="J39" s="182"/>
      <c r="K39" s="182"/>
      <c r="L39" s="182"/>
    </row>
    <row r="40" spans="1:12" ht="25.5" customHeight="1" x14ac:dyDescent="0.45">
      <c r="A40" s="194" t="s">
        <v>686</v>
      </c>
      <c r="B40" s="194"/>
      <c r="C40" s="123">
        <f>SUM(C35:C39)</f>
        <v>1</v>
      </c>
      <c r="D40" s="74">
        <f>SUMPRODUCT(C35:C39,D35:D39)</f>
        <v>-9.4430550991501438E-2</v>
      </c>
      <c r="E40" s="74">
        <f>SUMPRODUCT(C35:C39,E35:E39)</f>
        <v>0.20234206406321967</v>
      </c>
      <c r="F40" s="126">
        <f t="shared" si="0"/>
        <v>29.677261505472107</v>
      </c>
      <c r="G40" s="182"/>
      <c r="H40" s="182"/>
      <c r="I40" s="182"/>
      <c r="J40" s="182"/>
      <c r="K40" s="182"/>
      <c r="L40" s="182"/>
    </row>
    <row r="41" spans="1:12" ht="25.5" customHeight="1" x14ac:dyDescent="0.45">
      <c r="A41" s="194" t="s">
        <v>687</v>
      </c>
      <c r="B41" s="194"/>
      <c r="C41" s="29" t="s">
        <v>84</v>
      </c>
      <c r="D41" s="30">
        <f>'01-DRAM-Model'!G64</f>
        <v>-9.4430550991501438E-2</v>
      </c>
      <c r="E41" s="30">
        <f>'02-NAND-Model'!G43</f>
        <v>9.3843630806567851E-2</v>
      </c>
      <c r="F41" s="126">
        <f t="shared" si="0"/>
        <v>18.82741817980693</v>
      </c>
      <c r="G41" s="182"/>
      <c r="H41" s="182"/>
      <c r="I41" s="182"/>
      <c r="J41" s="182"/>
      <c r="K41" s="182"/>
      <c r="L41" s="182"/>
    </row>
    <row r="42" spans="1:12" ht="72.75" customHeight="1" x14ac:dyDescent="0.45">
      <c r="A42" s="195" t="s">
        <v>327</v>
      </c>
      <c r="B42" s="195"/>
      <c r="C42" s="196" t="str">
        <f>IF(AND(SIGN(F40)=SIGN(F41),ABS(F40)&gt;=ABS(F41)*0.8),"robust ✔","not robust ✘")</f>
        <v>robust ✔</v>
      </c>
      <c r="D42" s="196"/>
      <c r="E42" s="196"/>
      <c r="F42" s="196"/>
      <c r="G42" s="186" t="s">
        <v>688</v>
      </c>
      <c r="H42" s="186"/>
      <c r="I42" s="186"/>
      <c r="J42" s="186"/>
      <c r="K42" s="186"/>
      <c r="L42" s="186"/>
    </row>
    <row r="44" spans="1:12" ht="24" customHeight="1" x14ac:dyDescent="0.45">
      <c r="A44" s="12" t="s">
        <v>689</v>
      </c>
      <c r="B44" s="12"/>
      <c r="C44" s="12"/>
      <c r="D44" s="12"/>
      <c r="E44" s="12"/>
      <c r="F44" s="12"/>
      <c r="G44" s="12"/>
      <c r="H44" s="12"/>
      <c r="I44" s="12"/>
      <c r="J44" s="12"/>
      <c r="K44" s="12"/>
      <c r="L44" s="12"/>
    </row>
    <row r="45" spans="1:12" ht="27" customHeight="1" x14ac:dyDescent="0.45">
      <c r="A45" s="7" t="s">
        <v>27</v>
      </c>
      <c r="B45" s="7"/>
      <c r="C45" s="7"/>
      <c r="D45" s="19" t="s">
        <v>78</v>
      </c>
      <c r="E45" s="19" t="s">
        <v>79</v>
      </c>
      <c r="F45" s="19" t="s">
        <v>80</v>
      </c>
      <c r="G45" s="7" t="s">
        <v>310</v>
      </c>
      <c r="H45" s="7"/>
      <c r="I45" s="7"/>
      <c r="J45" s="7"/>
      <c r="K45" s="7"/>
      <c r="L45" s="7"/>
    </row>
    <row r="46" spans="1:12" ht="25.5" customHeight="1" x14ac:dyDescent="0.45">
      <c r="A46" s="1" t="s">
        <v>690</v>
      </c>
      <c r="B46" s="1"/>
      <c r="C46" s="1"/>
      <c r="D46" s="30">
        <f>'01-DRAM-Model'!D53</f>
        <v>-9.6010969195973961E-2</v>
      </c>
      <c r="E46" s="30">
        <f>'01-DRAM-Model'!E53</f>
        <v>-4.647754395731539E-2</v>
      </c>
      <c r="F46" s="30">
        <f>'01-DRAM-Model'!F53</f>
        <v>9.1620263391414464E-2</v>
      </c>
      <c r="G46" s="186" t="s">
        <v>312</v>
      </c>
      <c r="H46" s="186"/>
      <c r="I46" s="186"/>
      <c r="J46" s="186"/>
      <c r="K46" s="186"/>
      <c r="L46" s="186"/>
    </row>
    <row r="47" spans="1:12" ht="25.5" customHeight="1" x14ac:dyDescent="0.45">
      <c r="A47" s="1" t="s">
        <v>691</v>
      </c>
      <c r="B47" s="1"/>
      <c r="C47" s="1"/>
      <c r="D47" s="30">
        <f>'01-DRAM-Model'!E64</f>
        <v>-0.13951261391371647</v>
      </c>
      <c r="E47" s="30">
        <f>'01-DRAM-Model'!F64</f>
        <v>-0.16813457305789237</v>
      </c>
      <c r="F47" s="30">
        <f>'01-DRAM-Model'!G64</f>
        <v>-9.4430550991501438E-2</v>
      </c>
      <c r="G47" s="186" t="s">
        <v>692</v>
      </c>
      <c r="H47" s="186"/>
      <c r="I47" s="186"/>
      <c r="J47" s="186"/>
      <c r="K47" s="186"/>
      <c r="L47" s="186"/>
    </row>
    <row r="48" spans="1:12" ht="31.5" customHeight="1" x14ac:dyDescent="0.45">
      <c r="A48" s="1" t="s">
        <v>693</v>
      </c>
      <c r="B48" s="1"/>
      <c r="C48" s="1"/>
      <c r="D48" s="30">
        <f>'01-DRAM-Model'!G92</f>
        <v>-0.13951261391371647</v>
      </c>
      <c r="E48" s="30">
        <f>'01-DRAM-Model'!H92</f>
        <v>-0.16813457305789237</v>
      </c>
      <c r="F48" s="30">
        <f>'01-DRAM-Model'!I92</f>
        <v>-9.4430550991501438E-2</v>
      </c>
      <c r="G48" s="186" t="s">
        <v>694</v>
      </c>
      <c r="H48" s="186"/>
      <c r="I48" s="186"/>
      <c r="J48" s="186"/>
      <c r="K48" s="186"/>
      <c r="L48" s="186"/>
    </row>
    <row r="49" spans="1:12" ht="31.5" customHeight="1" x14ac:dyDescent="0.45">
      <c r="A49" s="1" t="s">
        <v>695</v>
      </c>
      <c r="B49" s="1"/>
      <c r="C49" s="1"/>
      <c r="D49" s="30">
        <f>'01-DRAM-Model'!G105</f>
        <v>-0.12940168058476045</v>
      </c>
      <c r="E49" s="30">
        <f>'01-DRAM-Model'!H105</f>
        <v>-0.20882474780376481</v>
      </c>
      <c r="F49" s="30">
        <f>'01-DRAM-Model'!I105</f>
        <v>-0.19422988098558347</v>
      </c>
      <c r="G49" s="186" t="s">
        <v>318</v>
      </c>
      <c r="H49" s="186"/>
      <c r="I49" s="186"/>
      <c r="J49" s="186"/>
      <c r="K49" s="186"/>
      <c r="L49" s="186"/>
    </row>
    <row r="50" spans="1:12" ht="25.5" customHeight="1" x14ac:dyDescent="0.45">
      <c r="A50" s="1" t="s">
        <v>696</v>
      </c>
      <c r="B50" s="1"/>
      <c r="C50" s="1"/>
      <c r="D50" s="30">
        <f t="shared" ref="D50:F52" si="1">D15</f>
        <v>-4.996569082091018E-2</v>
      </c>
      <c r="E50" s="30">
        <f t="shared" si="1"/>
        <v>-3.7525236865786127E-2</v>
      </c>
      <c r="F50" s="30">
        <f t="shared" si="1"/>
        <v>5.6031095119386309E-2</v>
      </c>
      <c r="G50" s="186" t="s">
        <v>697</v>
      </c>
      <c r="H50" s="186"/>
      <c r="I50" s="186"/>
      <c r="J50" s="186"/>
      <c r="K50" s="186"/>
      <c r="L50" s="186"/>
    </row>
    <row r="51" spans="1:12" ht="31.5" customHeight="1" x14ac:dyDescent="0.45">
      <c r="A51" s="1" t="s">
        <v>698</v>
      </c>
      <c r="B51" s="1"/>
      <c r="C51" s="1"/>
      <c r="D51" s="30">
        <f t="shared" si="1"/>
        <v>-4.065007221176653E-2</v>
      </c>
      <c r="E51" s="30">
        <f t="shared" si="1"/>
        <v>-8.7258463292041233E-2</v>
      </c>
      <c r="F51" s="30">
        <f t="shared" si="1"/>
        <v>-5.9506330905623961E-2</v>
      </c>
      <c r="G51" s="186" t="s">
        <v>699</v>
      </c>
      <c r="H51" s="186"/>
      <c r="I51" s="186"/>
      <c r="J51" s="186"/>
      <c r="K51" s="186"/>
      <c r="L51" s="186"/>
    </row>
    <row r="52" spans="1:12" ht="31.5" customHeight="1" x14ac:dyDescent="0.45">
      <c r="A52" s="1" t="s">
        <v>700</v>
      </c>
      <c r="B52" s="1"/>
      <c r="C52" s="1"/>
      <c r="D52" s="30">
        <f t="shared" si="1"/>
        <v>2.4989030804026091E-2</v>
      </c>
      <c r="E52" s="30">
        <f t="shared" si="1"/>
        <v>1.5189900457819705E-2</v>
      </c>
      <c r="F52" s="30">
        <f t="shared" si="1"/>
        <v>0.11275656179222499</v>
      </c>
      <c r="G52" s="186" t="s">
        <v>701</v>
      </c>
      <c r="H52" s="186"/>
      <c r="I52" s="186"/>
      <c r="J52" s="186"/>
      <c r="K52" s="186"/>
      <c r="L52" s="186"/>
    </row>
    <row r="53" spans="1:12" ht="45" customHeight="1" x14ac:dyDescent="0.45">
      <c r="A53" s="164" t="s">
        <v>702</v>
      </c>
      <c r="B53" s="164"/>
      <c r="C53" s="164"/>
      <c r="D53" s="33">
        <f>'06-Inventory-Burn-v4'!$C$35</f>
        <v>-9.6010969195973961E-2</v>
      </c>
      <c r="E53" s="33">
        <f>'06-Inventory-Burn-v4'!$D$35</f>
        <v>-6.1628024999635718E-2</v>
      </c>
      <c r="F53" s="33">
        <f>'06-Inventory-Burn-v4'!$E$35</f>
        <v>9.176731058434752E-2</v>
      </c>
      <c r="G53" s="197" t="s">
        <v>703</v>
      </c>
      <c r="H53" s="197"/>
      <c r="I53" s="197"/>
      <c r="J53" s="197"/>
      <c r="K53" s="197"/>
      <c r="L53" s="197"/>
    </row>
    <row r="55" spans="1:12" ht="45" customHeight="1" x14ac:dyDescent="0.45">
      <c r="A55" s="8" t="s">
        <v>704</v>
      </c>
      <c r="B55" s="8"/>
      <c r="C55" s="8"/>
      <c r="D55" s="8"/>
      <c r="E55" s="8"/>
      <c r="F55" s="8"/>
      <c r="G55" s="8"/>
      <c r="H55" s="8"/>
      <c r="I55" s="8"/>
      <c r="J55" s="8"/>
      <c r="K55" s="8"/>
      <c r="L55" s="8"/>
    </row>
  </sheetData>
  <mergeCells count="101">
    <mergeCell ref="A55:L55"/>
    <mergeCell ref="A49:C49"/>
    <mergeCell ref="G49:L49"/>
    <mergeCell ref="A50:C50"/>
    <mergeCell ref="G50:L50"/>
    <mergeCell ref="A51:C51"/>
    <mergeCell ref="G51:L51"/>
    <mergeCell ref="A52:C52"/>
    <mergeCell ref="G52:L52"/>
    <mergeCell ref="A53:C53"/>
    <mergeCell ref="G53:L53"/>
    <mergeCell ref="A44:L44"/>
    <mergeCell ref="A45:C45"/>
    <mergeCell ref="G45:L45"/>
    <mergeCell ref="A46:C46"/>
    <mergeCell ref="G46:L46"/>
    <mergeCell ref="A47:C47"/>
    <mergeCell ref="G47:L47"/>
    <mergeCell ref="A48:C48"/>
    <mergeCell ref="G48:L48"/>
    <mergeCell ref="A38:B38"/>
    <mergeCell ref="G38:L38"/>
    <mergeCell ref="A39:B39"/>
    <mergeCell ref="G39:L39"/>
    <mergeCell ref="A40:B40"/>
    <mergeCell ref="G40:L40"/>
    <mergeCell ref="A41:B41"/>
    <mergeCell ref="G41:L41"/>
    <mergeCell ref="A42:B42"/>
    <mergeCell ref="C42:F42"/>
    <mergeCell ref="G42:L42"/>
    <mergeCell ref="A32:L32"/>
    <mergeCell ref="A33:L33"/>
    <mergeCell ref="A34:B34"/>
    <mergeCell ref="A35:B35"/>
    <mergeCell ref="G35:L35"/>
    <mergeCell ref="A36:B36"/>
    <mergeCell ref="G36:L36"/>
    <mergeCell ref="A37:B37"/>
    <mergeCell ref="G37:L37"/>
    <mergeCell ref="A26:B26"/>
    <mergeCell ref="F26:L26"/>
    <mergeCell ref="A27:B27"/>
    <mergeCell ref="F27:L27"/>
    <mergeCell ref="A28:B28"/>
    <mergeCell ref="F28:L28"/>
    <mergeCell ref="A29:B29"/>
    <mergeCell ref="F29:L29"/>
    <mergeCell ref="A30:B30"/>
    <mergeCell ref="F30:L30"/>
    <mergeCell ref="A21:C21"/>
    <mergeCell ref="E21:L21"/>
    <mergeCell ref="A22:B22"/>
    <mergeCell ref="F22:L22"/>
    <mergeCell ref="A23:B23"/>
    <mergeCell ref="F23:L23"/>
    <mergeCell ref="A24:B24"/>
    <mergeCell ref="F24:L24"/>
    <mergeCell ref="A25:B25"/>
    <mergeCell ref="F25:L25"/>
    <mergeCell ref="A15:C15"/>
    <mergeCell ref="G15:L15"/>
    <mergeCell ref="A16:C16"/>
    <mergeCell ref="G16:L16"/>
    <mergeCell ref="A17:C17"/>
    <mergeCell ref="G17:L17"/>
    <mergeCell ref="A18:C18"/>
    <mergeCell ref="G18:L18"/>
    <mergeCell ref="A20:L20"/>
    <mergeCell ref="B10:C10"/>
    <mergeCell ref="D10:F10"/>
    <mergeCell ref="G10:I10"/>
    <mergeCell ref="J10:L10"/>
    <mergeCell ref="A12:L12"/>
    <mergeCell ref="A13:C13"/>
    <mergeCell ref="G13:L13"/>
    <mergeCell ref="A14:C14"/>
    <mergeCell ref="G14:L14"/>
    <mergeCell ref="B7:C7"/>
    <mergeCell ref="D7:F7"/>
    <mergeCell ref="G7:I7"/>
    <mergeCell ref="J7:L7"/>
    <mergeCell ref="B8:C8"/>
    <mergeCell ref="D8:F8"/>
    <mergeCell ref="G8:I8"/>
    <mergeCell ref="J8:L8"/>
    <mergeCell ref="B9:C9"/>
    <mergeCell ref="D9:F9"/>
    <mergeCell ref="G9:I9"/>
    <mergeCell ref="J9:L9"/>
    <mergeCell ref="A1:L1"/>
    <mergeCell ref="A2:L2"/>
    <mergeCell ref="A4:L4"/>
    <mergeCell ref="B5:C5"/>
    <mergeCell ref="D5:F5"/>
    <mergeCell ref="G5:I5"/>
    <mergeCell ref="J5:L5"/>
    <mergeCell ref="B6:C6"/>
    <mergeCell ref="D6:F6"/>
    <mergeCell ref="G6:I6"/>
    <mergeCell ref="J6:L6"/>
  </mergeCells>
  <phoneticPr fontId="59" type="noConversion"/>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B35C00"/>
  </sheetPr>
  <dimension ref="A1:L158"/>
  <sheetViews>
    <sheetView showGridLines="0" zoomScaleNormal="100" workbookViewId="0">
      <selection sqref="A1:L1"/>
    </sheetView>
  </sheetViews>
  <sheetFormatPr defaultColWidth="8.6640625" defaultRowHeight="14.25" x14ac:dyDescent="0.45"/>
  <cols>
    <col min="1" max="1" width="26" customWidth="1"/>
    <col min="2" max="4" width="12" customWidth="1"/>
    <col min="5" max="5" width="12.6640625" customWidth="1"/>
    <col min="6" max="6" width="11" customWidth="1"/>
    <col min="7" max="7" width="12.6640625" customWidth="1"/>
    <col min="8" max="9" width="12" customWidth="1"/>
    <col min="10" max="11" width="13" customWidth="1"/>
    <col min="12" max="12" width="39" customWidth="1"/>
  </cols>
  <sheetData>
    <row r="1" spans="1:12" ht="37.5" customHeight="1" x14ac:dyDescent="0.45">
      <c r="A1" s="14" t="s">
        <v>705</v>
      </c>
      <c r="B1" s="14"/>
      <c r="C1" s="14"/>
      <c r="D1" s="14"/>
      <c r="E1" s="14"/>
      <c r="F1" s="14"/>
      <c r="G1" s="14"/>
      <c r="H1" s="14"/>
      <c r="I1" s="14"/>
      <c r="J1" s="14"/>
      <c r="K1" s="14"/>
      <c r="L1" s="14"/>
    </row>
    <row r="2" spans="1:12" ht="19.5" customHeight="1" x14ac:dyDescent="0.45">
      <c r="A2" s="169" t="s">
        <v>706</v>
      </c>
      <c r="B2" s="169"/>
      <c r="C2" s="169"/>
      <c r="D2" s="169"/>
      <c r="E2" s="169"/>
      <c r="F2" s="169"/>
      <c r="G2" s="169"/>
      <c r="H2" s="169"/>
      <c r="I2" s="169"/>
      <c r="J2" s="169"/>
      <c r="K2" s="169"/>
      <c r="L2" s="169"/>
    </row>
    <row r="4" spans="1:12" ht="60" customHeight="1" x14ac:dyDescent="0.45">
      <c r="A4" s="165" t="s">
        <v>707</v>
      </c>
      <c r="B4" s="165"/>
      <c r="C4" s="165"/>
      <c r="D4" s="165"/>
      <c r="E4" s="165"/>
      <c r="F4" s="165"/>
      <c r="G4" s="165"/>
      <c r="H4" s="165"/>
      <c r="I4" s="165"/>
      <c r="J4" s="165"/>
      <c r="K4" s="165"/>
      <c r="L4" s="165"/>
    </row>
    <row r="6" spans="1:12" ht="24" customHeight="1" x14ac:dyDescent="0.45">
      <c r="A6" s="176" t="s">
        <v>708</v>
      </c>
      <c r="B6" s="176"/>
      <c r="C6" s="176"/>
      <c r="D6" s="176"/>
      <c r="E6" s="176"/>
      <c r="F6" s="176"/>
      <c r="G6" s="176"/>
      <c r="H6" s="176"/>
      <c r="I6" s="176"/>
      <c r="J6" s="176"/>
      <c r="K6" s="176"/>
      <c r="L6" s="176"/>
    </row>
    <row r="7" spans="1:12" ht="42" customHeight="1" x14ac:dyDescent="0.45">
      <c r="A7" s="177" t="s">
        <v>709</v>
      </c>
      <c r="B7" s="177"/>
      <c r="C7" s="177"/>
      <c r="D7" s="177"/>
      <c r="E7" s="177"/>
      <c r="F7" s="177"/>
      <c r="G7" s="177"/>
      <c r="H7" s="177"/>
      <c r="I7" s="177"/>
      <c r="J7" s="177"/>
      <c r="K7" s="177"/>
      <c r="L7" s="177"/>
    </row>
    <row r="8" spans="1:12" ht="31.5" customHeight="1" x14ac:dyDescent="0.45">
      <c r="A8" s="22" t="s">
        <v>174</v>
      </c>
      <c r="B8" s="22" t="s">
        <v>175</v>
      </c>
      <c r="C8" s="2" t="s">
        <v>331</v>
      </c>
      <c r="D8" s="2"/>
      <c r="E8" s="2"/>
      <c r="F8" s="2"/>
      <c r="G8" s="2"/>
      <c r="H8" s="22" t="s">
        <v>332</v>
      </c>
      <c r="I8" s="22" t="s">
        <v>333</v>
      </c>
      <c r="J8" s="2" t="s">
        <v>55</v>
      </c>
      <c r="K8" s="2"/>
      <c r="L8" s="2"/>
    </row>
    <row r="9" spans="1:12" ht="37.5" customHeight="1" x14ac:dyDescent="0.45">
      <c r="A9" s="127" t="s">
        <v>710</v>
      </c>
      <c r="B9" s="128">
        <f>H9/100</f>
        <v>2.57</v>
      </c>
      <c r="C9" s="178"/>
      <c r="D9" s="178"/>
      <c r="E9" s="178"/>
      <c r="F9" s="178"/>
      <c r="G9" s="178"/>
      <c r="H9" s="96">
        <v>257</v>
      </c>
      <c r="I9" s="97" t="s">
        <v>711</v>
      </c>
      <c r="J9" s="179" t="s">
        <v>712</v>
      </c>
      <c r="K9" s="179"/>
      <c r="L9" s="179"/>
    </row>
    <row r="10" spans="1:12" ht="37.5" customHeight="1" x14ac:dyDescent="0.45">
      <c r="A10" s="127" t="s">
        <v>713</v>
      </c>
      <c r="B10" s="95">
        <f>-H10/100</f>
        <v>-0.2</v>
      </c>
      <c r="C10" s="178"/>
      <c r="D10" s="178"/>
      <c r="E10" s="178"/>
      <c r="F10" s="178"/>
      <c r="G10" s="178"/>
      <c r="H10" s="96">
        <v>20</v>
      </c>
      <c r="I10" s="97" t="s">
        <v>714</v>
      </c>
      <c r="J10" s="179" t="s">
        <v>715</v>
      </c>
      <c r="K10" s="179"/>
      <c r="L10" s="179"/>
    </row>
    <row r="11" spans="1:12" ht="37.5" customHeight="1" x14ac:dyDescent="0.45">
      <c r="A11" s="127" t="s">
        <v>716</v>
      </c>
      <c r="B11" s="100">
        <f>-H11/1000</f>
        <v>-2.5000000000000001E-2</v>
      </c>
      <c r="C11" s="178"/>
      <c r="D11" s="178"/>
      <c r="E11" s="178"/>
      <c r="F11" s="178"/>
      <c r="G11" s="178"/>
      <c r="H11" s="96">
        <v>25</v>
      </c>
      <c r="I11" s="97" t="s">
        <v>717</v>
      </c>
      <c r="J11" s="179" t="s">
        <v>718</v>
      </c>
      <c r="K11" s="179"/>
      <c r="L11" s="179"/>
    </row>
    <row r="12" spans="1:12" ht="37.5" customHeight="1" x14ac:dyDescent="0.45">
      <c r="A12" s="127" t="s">
        <v>719</v>
      </c>
      <c r="B12" s="99">
        <f>H12</f>
        <v>1</v>
      </c>
      <c r="C12" s="178"/>
      <c r="D12" s="178"/>
      <c r="E12" s="178"/>
      <c r="F12" s="178"/>
      <c r="G12" s="178"/>
      <c r="H12" s="96">
        <v>1</v>
      </c>
      <c r="I12" s="97" t="s">
        <v>720</v>
      </c>
      <c r="J12" s="179" t="s">
        <v>721</v>
      </c>
      <c r="K12" s="179"/>
      <c r="L12" s="179"/>
    </row>
    <row r="13" spans="1:12" ht="37.5" customHeight="1" x14ac:dyDescent="0.45">
      <c r="A13" s="127" t="s">
        <v>722</v>
      </c>
      <c r="B13" s="100">
        <f>(H13-50)/1000</f>
        <v>0.04</v>
      </c>
      <c r="C13" s="178"/>
      <c r="D13" s="178"/>
      <c r="E13" s="178"/>
      <c r="F13" s="178"/>
      <c r="G13" s="178"/>
      <c r="H13" s="96">
        <v>90</v>
      </c>
      <c r="I13" s="97" t="s">
        <v>346</v>
      </c>
      <c r="J13" s="179" t="s">
        <v>723</v>
      </c>
      <c r="K13" s="179"/>
      <c r="L13" s="179"/>
    </row>
    <row r="14" spans="1:12" ht="37.5" customHeight="1" x14ac:dyDescent="0.45">
      <c r="A14" s="127" t="s">
        <v>724</v>
      </c>
      <c r="B14" s="100">
        <f>(H14-50)/1000</f>
        <v>-0.03</v>
      </c>
      <c r="C14" s="178"/>
      <c r="D14" s="178"/>
      <c r="E14" s="178"/>
      <c r="F14" s="178"/>
      <c r="G14" s="178"/>
      <c r="H14" s="96">
        <v>20</v>
      </c>
      <c r="I14" s="97" t="s">
        <v>346</v>
      </c>
      <c r="J14" s="179" t="s">
        <v>725</v>
      </c>
      <c r="K14" s="179"/>
      <c r="L14" s="179"/>
    </row>
    <row r="15" spans="1:12" ht="33.75" customHeight="1" x14ac:dyDescent="0.45">
      <c r="A15" s="102" t="s">
        <v>726</v>
      </c>
      <c r="B15" s="129">
        <f>B9/52</f>
        <v>4.9423076923076917E-2</v>
      </c>
      <c r="C15" s="198" t="str">
        <f>"2.57 weeks ÷ 52 = "&amp;TEXT(B15,"0.0%")&amp;" of annual supply. This is the single number behind v4.0: that share of 2026 shipments came out of inventory rather than out of production, so 2027 shipment growth starts from a base it cannot repeat."</f>
        <v>2.57 weeks ÷ 52 = 4.9% of annual supply. This is the single number behind v4.0: that share of 2026 shipments came out of inventory rather than out of production, so 2027 shipment growth starts from a base it cannot repeat.</v>
      </c>
      <c r="D15" s="198"/>
      <c r="E15" s="198"/>
      <c r="F15" s="198"/>
      <c r="G15" s="198"/>
      <c r="H15" s="198"/>
      <c r="I15" s="198"/>
      <c r="J15" s="198"/>
      <c r="K15" s="198"/>
      <c r="L15" s="198"/>
    </row>
    <row r="16" spans="1:12" ht="24" customHeight="1" x14ac:dyDescent="0.45">
      <c r="A16" s="3" t="s">
        <v>727</v>
      </c>
      <c r="B16" s="3"/>
      <c r="C16" s="3"/>
      <c r="D16" s="3"/>
      <c r="E16" s="3"/>
      <c r="F16" s="3"/>
      <c r="G16" s="3"/>
      <c r="H16" s="3"/>
      <c r="I16" s="3"/>
      <c r="J16" s="3"/>
      <c r="K16" s="3"/>
      <c r="L16" s="3"/>
    </row>
    <row r="17" spans="1:12" ht="45" customHeight="1" x14ac:dyDescent="0.45">
      <c r="A17" s="22" t="s">
        <v>200</v>
      </c>
      <c r="B17" s="22" t="s">
        <v>232</v>
      </c>
      <c r="C17" s="22" t="s">
        <v>728</v>
      </c>
      <c r="D17" s="22" t="s">
        <v>420</v>
      </c>
      <c r="E17" s="22" t="s">
        <v>729</v>
      </c>
      <c r="F17" s="22" t="s">
        <v>730</v>
      </c>
      <c r="G17" s="22" t="s">
        <v>731</v>
      </c>
      <c r="H17" s="22" t="s">
        <v>418</v>
      </c>
      <c r="I17" s="22" t="s">
        <v>419</v>
      </c>
      <c r="J17" s="22" t="s">
        <v>732</v>
      </c>
      <c r="K17" s="22" t="s">
        <v>733</v>
      </c>
      <c r="L17" s="22" t="s">
        <v>327</v>
      </c>
    </row>
    <row r="18" spans="1:12" ht="18" customHeight="1" x14ac:dyDescent="0.45">
      <c r="A18" s="25" t="s">
        <v>218</v>
      </c>
      <c r="B18" s="70">
        <f>'01-DRAM-Model'!B48</f>
        <v>0.16</v>
      </c>
      <c r="C18" s="36">
        <f>'01-DRAM-Model'!J21</f>
        <v>0.13538159626753266</v>
      </c>
      <c r="D18" s="36">
        <f>'01-DRAM-Model'!L21</f>
        <v>-0.19461840373246736</v>
      </c>
      <c r="E18" s="112">
        <f>IF($B$12=0,C18,IF($B$12=1,C18-$B$15,(1+C18)/(1+$B$15)-1))-H18</f>
        <v>-0.24404148065554426</v>
      </c>
      <c r="F18" s="34">
        <f t="shared" ref="F18:F23" si="0">(E18-D18)*100</f>
        <v>-4.9423076923076898</v>
      </c>
      <c r="G18" s="130">
        <f>K18-I18</f>
        <v>-0.20846197394846316</v>
      </c>
      <c r="H18" s="36">
        <f>'01-DRAM-Model'!K21+'01-DRAM-Model'!$B$149</f>
        <v>0.33</v>
      </c>
      <c r="I18" s="72">
        <f>H18+$B$11</f>
        <v>0.30499999999999999</v>
      </c>
      <c r="J18" s="72">
        <f>(1+'01-DRAM-Model'!C21+'01-DRAM-Model'!$B$146)*(1+'01-DRAM-Model'!D21+'01-DRAM-Model'!$B$147)*(((1-'01-DRAM-Model'!G21)+'01-DRAM-Model'!G21/('01-DRAM-Model'!$B$6+$B$10))/((1-'01-DRAM-Model'!G20)+'01-DRAM-Model'!G20/'01-DRAM-Model'!$B$6))-1</f>
        <v>0.14596110297461373</v>
      </c>
      <c r="K18" s="72">
        <f>IF($B$12=0,J18,IF($B$12=1,J18-$B$15,(1+J18)/(1+$B$15)-1))</f>
        <v>9.6538026051536815E-2</v>
      </c>
      <c r="L18" s="38" t="str">
        <f>IF(E18&lt;0,IF(D18&lt;0,"short before and after","★ flips to short"),IF(D18&lt;0,"flips to surplus","surplus before and after"))</f>
        <v>short before and after</v>
      </c>
    </row>
    <row r="19" spans="1:12" ht="18" customHeight="1" x14ac:dyDescent="0.45">
      <c r="A19" s="25" t="s">
        <v>222</v>
      </c>
      <c r="B19" s="70">
        <f>'01-DRAM-Model'!B49</f>
        <v>0.4</v>
      </c>
      <c r="C19" s="36">
        <f>'01-DRAM-Model'!J26</f>
        <v>0.17518990045781968</v>
      </c>
      <c r="D19" s="36">
        <f>'01-DRAM-Model'!L26</f>
        <v>-9.4810099542180337E-2</v>
      </c>
      <c r="E19" s="112">
        <f>IF($B$12=0,C19,IF($B$12=1,C19-$B$15,(1+C19)/(1+$B$15)-1))-H19</f>
        <v>-0.14423317646525724</v>
      </c>
      <c r="F19" s="34">
        <f t="shared" si="0"/>
        <v>-4.9423076923076898</v>
      </c>
      <c r="G19" s="130">
        <f>K19-I19</f>
        <v>-0.1098126766991028</v>
      </c>
      <c r="H19" s="36">
        <f>'01-DRAM-Model'!K26+'01-DRAM-Model'!$B$149</f>
        <v>0.27</v>
      </c>
      <c r="I19" s="72">
        <f>H19+$B$11</f>
        <v>0.24500000000000002</v>
      </c>
      <c r="J19" s="72">
        <f>(1+'01-DRAM-Model'!C26+'01-DRAM-Model'!$B$146)*(1+'01-DRAM-Model'!D26+'01-DRAM-Model'!$B$147)*(((1-'01-DRAM-Model'!G26)+'01-DRAM-Model'!G26/('01-DRAM-Model'!$B$6+$B$10))/((1-'01-DRAM-Model'!G25)+'01-DRAM-Model'!G25/'01-DRAM-Model'!$B$6))-1</f>
        <v>0.18461040022397412</v>
      </c>
      <c r="K19" s="72">
        <f>IF($B$12=0,J19,IF($B$12=1,J19-$B$15,(1+J19)/(1+$B$15)-1))</f>
        <v>0.13518732330089722</v>
      </c>
      <c r="L19" s="38" t="str">
        <f>IF(E19&lt;0,IF(D19&lt;0,"short before and after","★ flips to short"),IF(D19&lt;0,"flips to surplus","surplus before and after"))</f>
        <v>short before and after</v>
      </c>
    </row>
    <row r="20" spans="1:12" ht="18" customHeight="1" x14ac:dyDescent="0.45">
      <c r="A20" s="25" t="s">
        <v>224</v>
      </c>
      <c r="B20" s="70">
        <f>'01-DRAM-Model'!B50</f>
        <v>0.27</v>
      </c>
      <c r="C20" s="36">
        <f>'01-DRAM-Model'!J31</f>
        <v>0.23315445755094855</v>
      </c>
      <c r="D20" s="36">
        <f>'01-DRAM-Model'!L31</f>
        <v>2.3154457550948526E-2</v>
      </c>
      <c r="E20" s="112">
        <f>IF($B$12=0,C20,IF($B$12=1,C20-$B$15,(1+C20)/(1+$B$15)-1))-H20</f>
        <v>-2.6268619372128377E-2</v>
      </c>
      <c r="F20" s="34">
        <f t="shared" si="0"/>
        <v>-4.9423076923076898</v>
      </c>
      <c r="G20" s="130">
        <f>K20-I20</f>
        <v>7.8435731289520361E-3</v>
      </c>
      <c r="H20" s="36">
        <f>'01-DRAM-Model'!K31+'01-DRAM-Model'!$B$149</f>
        <v>0.21000000000000002</v>
      </c>
      <c r="I20" s="72">
        <f>H20+$B$11</f>
        <v>0.18500000000000003</v>
      </c>
      <c r="J20" s="72">
        <f>(1+'01-DRAM-Model'!C31+'01-DRAM-Model'!$B$146)*(1+'01-DRAM-Model'!D31+'01-DRAM-Model'!$B$147)*(((1-'01-DRAM-Model'!G31)+'01-DRAM-Model'!G31/('01-DRAM-Model'!$B$6+$B$10))/((1-'01-DRAM-Model'!G30)+'01-DRAM-Model'!G30/'01-DRAM-Model'!$B$6))-1</f>
        <v>0.24226665005202896</v>
      </c>
      <c r="K20" s="72">
        <f>IF($B$12=0,J20,IF($B$12=1,J20-$B$15,(1+J20)/(1+$B$15)-1))</f>
        <v>0.19284357312895206</v>
      </c>
      <c r="L20" s="38" t="str">
        <f>IF(E20&lt;0,IF(D20&lt;0,"short before and after","★ flips to short"),IF(D20&lt;0,"flips to surplus","surplus before and after"))</f>
        <v>★ flips to short</v>
      </c>
    </row>
    <row r="21" spans="1:12" ht="18" customHeight="1" x14ac:dyDescent="0.45">
      <c r="A21" s="25" t="s">
        <v>226</v>
      </c>
      <c r="B21" s="70">
        <f>'01-DRAM-Model'!B51</f>
        <v>0.17</v>
      </c>
      <c r="C21" s="36">
        <f>'01-DRAM-Model'!J36</f>
        <v>0.28608080539997305</v>
      </c>
      <c r="D21" s="36">
        <f>'01-DRAM-Model'!L36</f>
        <v>9.6080805399973046E-2</v>
      </c>
      <c r="E21" s="112">
        <f>IF($B$12=0,C21,IF($B$12=1,C21-$B$15,(1+C21)/(1+$B$15)-1))-H21</f>
        <v>4.6657728476896143E-2</v>
      </c>
      <c r="F21" s="34">
        <f t="shared" si="0"/>
        <v>-4.9423076923076898</v>
      </c>
      <c r="G21" s="130">
        <f>K21-I21</f>
        <v>7.9607039805543872E-2</v>
      </c>
      <c r="H21" s="36">
        <f>'01-DRAM-Model'!K36+'01-DRAM-Model'!$B$149</f>
        <v>0.19</v>
      </c>
      <c r="I21" s="72">
        <f>H21+$B$11</f>
        <v>0.16500000000000001</v>
      </c>
      <c r="J21" s="72">
        <f>(1+'01-DRAM-Model'!C36+'01-DRAM-Model'!$B$146)*(1+'01-DRAM-Model'!D36+'01-DRAM-Model'!$B$147)*(((1-'01-DRAM-Model'!G36)+'01-DRAM-Model'!G36/('01-DRAM-Model'!$B$6+$B$10))/((1-'01-DRAM-Model'!G35)+'01-DRAM-Model'!G35/'01-DRAM-Model'!$B$6))-1</f>
        <v>0.29403011672862078</v>
      </c>
      <c r="K21" s="72">
        <f>IF($B$12=0,J21,IF($B$12=1,J21-$B$15,(1+J21)/(1+$B$15)-1))</f>
        <v>0.24460703980554388</v>
      </c>
      <c r="L21" s="38" t="str">
        <f>IF(E21&lt;0,IF(D21&lt;0,"short before and after","★ flips to short"),IF(D21&lt;0,"flips to surplus","surplus before and after"))</f>
        <v>surplus before and after</v>
      </c>
    </row>
    <row r="22" spans="1:12" ht="18" customHeight="1" x14ac:dyDescent="0.45">
      <c r="A22" s="25" t="s">
        <v>228</v>
      </c>
      <c r="B22" s="70">
        <f>'01-DRAM-Model'!B52</f>
        <v>0</v>
      </c>
      <c r="C22" s="36">
        <f>'01-DRAM-Model'!J41</f>
        <v>0.34029297216994214</v>
      </c>
      <c r="D22" s="36">
        <f>'01-DRAM-Model'!L41</f>
        <v>0.21029297216994214</v>
      </c>
      <c r="E22" s="112">
        <f>IF($B$12=0,C22,IF($B$12=1,C22-$B$15,(1+C22)/(1+$B$15)-1))-H22</f>
        <v>0.16086989524686524</v>
      </c>
      <c r="F22" s="34">
        <f t="shared" si="0"/>
        <v>-4.9423076923076898</v>
      </c>
      <c r="G22" s="130">
        <f>K22-I22</f>
        <v>0.19261105806654197</v>
      </c>
      <c r="H22" s="36">
        <f>'01-DRAM-Model'!K41+'01-DRAM-Model'!$B$149</f>
        <v>0.13</v>
      </c>
      <c r="I22" s="72">
        <f>H22+$B$11</f>
        <v>0.10500000000000001</v>
      </c>
      <c r="J22" s="72">
        <f>(1+'01-DRAM-Model'!C41+'01-DRAM-Model'!$B$146)*(1+'01-DRAM-Model'!D41+'01-DRAM-Model'!$B$147)*(((1-'01-DRAM-Model'!G41)+'01-DRAM-Model'!G41/('01-DRAM-Model'!$B$6+$B$10))/((1-'01-DRAM-Model'!G40)+'01-DRAM-Model'!G40/'01-DRAM-Model'!$B$6))-1</f>
        <v>0.34703413498961888</v>
      </c>
      <c r="K22" s="72">
        <f>IF($B$12=0,J22,IF($B$12=1,J22-$B$15,(1+J22)/(1+$B$15)-1))</f>
        <v>0.29761105806654198</v>
      </c>
      <c r="L22" s="38" t="str">
        <f>IF(E22&lt;0,IF(D22&lt;0,"short before and after","★ flips to short"),IF(D22&lt;0,"flips to surplus","surplus before and after"))</f>
        <v>surplus before and after</v>
      </c>
    </row>
    <row r="23" spans="1:12" ht="24" customHeight="1" x14ac:dyDescent="0.45">
      <c r="A23" s="90" t="s">
        <v>235</v>
      </c>
      <c r="B23" s="70">
        <f>SUM(B18:B22)</f>
        <v>1</v>
      </c>
      <c r="C23" s="77">
        <f>SUMPRODUCT($B$18:$B$22,C18:C22)</f>
        <v>0.20332245604268465</v>
      </c>
      <c r="D23" s="77">
        <f>SUMPRODUCT($B$18:$B$22,D18:D22)</f>
        <v>-4.647754395731539E-2</v>
      </c>
      <c r="E23" s="91">
        <f>SUMPRODUCT($B$18:$B$22,E18:E22)</f>
        <v>-9.5900620880392307E-2</v>
      </c>
      <c r="F23" s="34">
        <f t="shared" si="0"/>
        <v>-4.9423076923076916</v>
      </c>
      <c r="G23" s="91">
        <f>SUMPRODUCT($B$18:$B$22,G18:G22)</f>
        <v>-6.1628024999635718E-2</v>
      </c>
      <c r="H23" s="77">
        <f>SUMPRODUCT($B$18:$B$22,H18:H22)</f>
        <v>0.24980000000000002</v>
      </c>
      <c r="I23" s="77">
        <f>SUMPRODUCT($B$18:$B$22,I18:I22)</f>
        <v>0.22480000000000003</v>
      </c>
      <c r="J23" s="77">
        <f>SUMPRODUCT($B$18:$B$22,J18:J22)</f>
        <v>0.21259505192344119</v>
      </c>
      <c r="K23" s="77">
        <f>SUMPRODUCT($B$18:$B$22,K18:K22)</f>
        <v>0.16317197500036432</v>
      </c>
      <c r="L23" s="42"/>
    </row>
    <row r="24" spans="1:12" ht="24" customHeight="1" x14ac:dyDescent="0.45">
      <c r="A24" s="90" t="s">
        <v>237</v>
      </c>
      <c r="B24" s="42"/>
      <c r="C24" s="42"/>
      <c r="D24" s="77">
        <f>INDEX(D18:D22,IFERROR(MATCH(0.5,'01-DRAM-Model'!$C$48:$C$52,1)+1,1))</f>
        <v>-9.4810099542180337E-2</v>
      </c>
      <c r="E24" s="91">
        <f>INDEX(E18:E22,IFERROR(MATCH(0.5,'01-DRAM-Model'!$C$48:$C$52,1)+1,1))</f>
        <v>-0.14423317646525724</v>
      </c>
      <c r="F24" s="42"/>
      <c r="G24" s="91">
        <f>INDEX(G18:G22,IFERROR(MATCH(0.5,'01-DRAM-Model'!$C$48:$C$52,1)+1,1))</f>
        <v>-0.1098126766991028</v>
      </c>
      <c r="H24" s="42"/>
      <c r="I24" s="42"/>
      <c r="J24" s="42"/>
      <c r="K24" s="42"/>
      <c r="L24" s="42"/>
    </row>
    <row r="25" spans="1:12" ht="31.5" customHeight="1" x14ac:dyDescent="0.45">
      <c r="A25" s="131" t="s">
        <v>734</v>
      </c>
      <c r="B25" s="42"/>
      <c r="C25" s="42"/>
      <c r="D25" s="132">
        <f>SUMPRODUCT((D18:D22&lt;0)*$B$18:$B$22)</f>
        <v>0.56000000000000005</v>
      </c>
      <c r="E25" s="106">
        <f>SUMPRODUCT((E18:E22&lt;0)*$B$18:$B$22)</f>
        <v>0.83000000000000007</v>
      </c>
      <c r="F25" s="42"/>
      <c r="G25" s="106">
        <f>SUMPRODUCT((G18:G22&lt;0)*$B$18:$B$22)</f>
        <v>0.56000000000000005</v>
      </c>
      <c r="H25" s="42"/>
      <c r="I25" s="42"/>
      <c r="J25" s="42"/>
      <c r="K25" s="42"/>
      <c r="L25" s="42"/>
    </row>
    <row r="26" spans="1:12" ht="60" customHeight="1" x14ac:dyDescent="0.45">
      <c r="A26" s="165" t="s">
        <v>735</v>
      </c>
      <c r="B26" s="165"/>
      <c r="C26" s="165"/>
      <c r="D26" s="165"/>
      <c r="E26" s="165"/>
      <c r="F26" s="165"/>
      <c r="G26" s="165"/>
      <c r="H26" s="165"/>
      <c r="I26" s="165"/>
      <c r="J26" s="165"/>
      <c r="K26" s="165"/>
      <c r="L26" s="165"/>
    </row>
    <row r="27" spans="1:12" ht="24" customHeight="1" x14ac:dyDescent="0.45">
      <c r="A27" s="3" t="s">
        <v>736</v>
      </c>
      <c r="B27" s="3"/>
      <c r="C27" s="3"/>
      <c r="D27" s="3"/>
      <c r="E27" s="3"/>
      <c r="F27" s="3"/>
      <c r="G27" s="3"/>
      <c r="H27" s="3"/>
      <c r="I27" s="3"/>
      <c r="J27" s="3"/>
      <c r="K27" s="3"/>
      <c r="L27" s="3"/>
    </row>
    <row r="28" spans="1:12" ht="31.5" customHeight="1" x14ac:dyDescent="0.45">
      <c r="A28" s="11" t="s">
        <v>737</v>
      </c>
      <c r="B28" s="11"/>
      <c r="C28" s="11"/>
      <c r="D28" s="11"/>
      <c r="E28" s="11"/>
      <c r="F28" s="11"/>
      <c r="G28" s="11"/>
      <c r="H28" s="11"/>
      <c r="I28" s="11"/>
      <c r="J28" s="11"/>
      <c r="K28" s="11"/>
      <c r="L28" s="11"/>
    </row>
    <row r="29" spans="1:12" ht="39.75" customHeight="1" x14ac:dyDescent="0.45">
      <c r="A29" s="22" t="s">
        <v>200</v>
      </c>
      <c r="B29" s="22" t="s">
        <v>232</v>
      </c>
      <c r="C29" s="22" t="s">
        <v>738</v>
      </c>
      <c r="D29" s="22" t="s">
        <v>739</v>
      </c>
      <c r="E29" s="22" t="s">
        <v>740</v>
      </c>
      <c r="F29" s="22" t="s">
        <v>741</v>
      </c>
      <c r="G29" s="22" t="s">
        <v>742</v>
      </c>
      <c r="H29" s="22" t="s">
        <v>743</v>
      </c>
      <c r="I29" s="22" t="s">
        <v>744</v>
      </c>
      <c r="J29" s="22" t="s">
        <v>745</v>
      </c>
      <c r="K29" s="2" t="s">
        <v>327</v>
      </c>
      <c r="L29" s="2"/>
    </row>
    <row r="30" spans="1:12" ht="18" customHeight="1" x14ac:dyDescent="0.45">
      <c r="A30" s="25" t="s">
        <v>218</v>
      </c>
      <c r="B30" s="70">
        <f>B18</f>
        <v>0.16</v>
      </c>
      <c r="C30" s="36">
        <f>'01-DRAM-Model'!L20</f>
        <v>-0.12501096919597393</v>
      </c>
      <c r="D30" s="112">
        <f>G18</f>
        <v>-0.20846197394846316</v>
      </c>
      <c r="E30" s="112">
        <f>I30-J30</f>
        <v>-0.1014961308241864</v>
      </c>
      <c r="F30" s="36">
        <f>'01-DRAM-Model'!M20</f>
        <v>-0.15874824530706555</v>
      </c>
      <c r="G30" s="112">
        <f>(1+F30)*(1+K18)/(1+I18)-1</f>
        <v>-0.29313062183648886</v>
      </c>
      <c r="H30" s="112">
        <f>(1+G30)*(1+I30)/(1+J30)-1</f>
        <v>-0.3487465186440043</v>
      </c>
      <c r="I30" s="133">
        <f>(1+'01-DRAM-Model'!C22+'01-DRAM-Model'!$B$146)*(1+'01-DRAM-Model'!D22+'01-DRAM-Model'!$B$147)*(((1-'01-DRAM-Model'!G22)+'01-DRAM-Model'!G22/('01-DRAM-Model'!$B$6+$B$10))/((1-'01-DRAM-Model'!G21)+'01-DRAM-Model'!G21/('01-DRAM-Model'!$B$6+$B$10)))-1</f>
        <v>0.18850386917581363</v>
      </c>
      <c r="J30" s="133">
        <f>'01-DRAM-Model'!K22+'01-DRAM-Model'!$B$149</f>
        <v>0.29000000000000004</v>
      </c>
      <c r="K30" s="183" t="str">
        <f>IF(D30&lt;0,"still short in 2027",IF(D30&lt;0.05,"close to balance in 2027","surplus in 2027"))</f>
        <v>still short in 2027</v>
      </c>
      <c r="L30" s="183"/>
    </row>
    <row r="31" spans="1:12" ht="18" customHeight="1" x14ac:dyDescent="0.45">
      <c r="A31" s="25" t="s">
        <v>222</v>
      </c>
      <c r="B31" s="70">
        <f>B19</f>
        <v>0.4</v>
      </c>
      <c r="C31" s="36">
        <f>'01-DRAM-Model'!L25</f>
        <v>-0.10501096919597397</v>
      </c>
      <c r="D31" s="112">
        <f>G19</f>
        <v>-0.1098126766991028</v>
      </c>
      <c r="E31" s="112">
        <f>I31-J31</f>
        <v>2.3503893279199772E-2</v>
      </c>
      <c r="F31" s="36">
        <f>'01-DRAM-Model'!M25</f>
        <v>-0.14570558244360921</v>
      </c>
      <c r="G31" s="112">
        <f>(1+F31)*(1+K19)/(1+I19)-1</f>
        <v>-0.22105687295041099</v>
      </c>
      <c r="H31" s="112">
        <f>(1+G31)*(1+I31)/(1+J31)-1</f>
        <v>-0.20641031604741922</v>
      </c>
      <c r="I31" s="133">
        <f>(1+'01-DRAM-Model'!C27+'01-DRAM-Model'!$B$146)*(1+'01-DRAM-Model'!D27+'01-DRAM-Model'!$B$147)*(((1-'01-DRAM-Model'!G27)+'01-DRAM-Model'!G27/('01-DRAM-Model'!$B$6+$B$10))/((1-'01-DRAM-Model'!G26)+'01-DRAM-Model'!G26/('01-DRAM-Model'!$B$6+$B$10)))-1</f>
        <v>0.27350389327919977</v>
      </c>
      <c r="J31" s="133">
        <f>'01-DRAM-Model'!K27+'01-DRAM-Model'!$B$149</f>
        <v>0.25</v>
      </c>
      <c r="K31" s="183" t="str">
        <f>IF(D31&lt;0,"still short in 2027",IF(D31&lt;0.05,"close to balance in 2027","surplus in 2027"))</f>
        <v>still short in 2027</v>
      </c>
      <c r="L31" s="183"/>
    </row>
    <row r="32" spans="1:12" ht="18" customHeight="1" x14ac:dyDescent="0.45">
      <c r="A32" s="25" t="s">
        <v>224</v>
      </c>
      <c r="B32" s="70">
        <f>B20</f>
        <v>0.27</v>
      </c>
      <c r="C32" s="36">
        <f>'01-DRAM-Model'!L30</f>
        <v>-8.5010969195973951E-2</v>
      </c>
      <c r="D32" s="112">
        <f>G20</f>
        <v>7.8435731289520361E-3</v>
      </c>
      <c r="E32" s="112">
        <f>I32-J32</f>
        <v>0.18292473919523061</v>
      </c>
      <c r="F32" s="36">
        <f>'01-DRAM-Model'!M30</f>
        <v>-0.13225212704902034</v>
      </c>
      <c r="G32" s="112">
        <f>(1+F32)*(1+K20)/(1+I20)-1</f>
        <v>-0.12650846131148141</v>
      </c>
      <c r="H32" s="112">
        <f>(1+G32)*(1+I32)/(1+J32)-1</f>
        <v>7.7631453303992348E-3</v>
      </c>
      <c r="I32" s="133">
        <f>(1+'01-DRAM-Model'!C32+'01-DRAM-Model'!$B$146)*(1+'01-DRAM-Model'!D32+'01-DRAM-Model'!$B$147)*(((1-'01-DRAM-Model'!G32)+'01-DRAM-Model'!G32/('01-DRAM-Model'!$B$6+$B$10))/((1-'01-DRAM-Model'!G31)+'01-DRAM-Model'!G31/('01-DRAM-Model'!$B$6+$B$10)))-1</f>
        <v>0.37292473919523061</v>
      </c>
      <c r="J32" s="133">
        <f>'01-DRAM-Model'!K32+'01-DRAM-Model'!$B$149</f>
        <v>0.19</v>
      </c>
      <c r="K32" s="183" t="str">
        <f>IF(D32&lt;0,"still short in 2027",IF(D32&lt;0.05,"close to balance in 2027","surplus in 2027"))</f>
        <v>close to balance in 2027</v>
      </c>
      <c r="L32" s="183"/>
    </row>
    <row r="33" spans="1:12" ht="18" customHeight="1" x14ac:dyDescent="0.45">
      <c r="A33" s="25" t="s">
        <v>226</v>
      </c>
      <c r="B33" s="70">
        <f>B21</f>
        <v>0.17</v>
      </c>
      <c r="C33" s="36">
        <f>'01-DRAM-Model'!L35</f>
        <v>-6.5010969195973933E-2</v>
      </c>
      <c r="D33" s="112">
        <f>G21</f>
        <v>7.9607039805543872E-2</v>
      </c>
      <c r="E33" s="112">
        <f>I33-J33</f>
        <v>0.28950267424603038</v>
      </c>
      <c r="F33" s="36">
        <f>'01-DRAM-Model'!M35</f>
        <v>-0.1183681610818047</v>
      </c>
      <c r="G33" s="112">
        <f>(1+F33)*(1+K21)/(1+I21)-1</f>
        <v>-5.8124297652967116E-2</v>
      </c>
      <c r="H33" s="112">
        <f>(1+G33)*(1+I33)/(1+J33)-1</f>
        <v>0.17493171485713899</v>
      </c>
      <c r="I33" s="133">
        <f>(1+'01-DRAM-Model'!C37+'01-DRAM-Model'!$B$146)*(1+'01-DRAM-Model'!D37+'01-DRAM-Model'!$B$147)*(((1-'01-DRAM-Model'!G37)+'01-DRAM-Model'!G37/('01-DRAM-Model'!$B$6+$B$10))/((1-'01-DRAM-Model'!G36)+'01-DRAM-Model'!G36/('01-DRAM-Model'!$B$6+$B$10)))-1</f>
        <v>0.45950267424603042</v>
      </c>
      <c r="J33" s="133">
        <f>'01-DRAM-Model'!K37+'01-DRAM-Model'!$B$149</f>
        <v>0.17</v>
      </c>
      <c r="K33" s="183" t="str">
        <f>IF(D33&lt;0,"still short in 2027",IF(D33&lt;0.05,"close to balance in 2027","surplus in 2027"))</f>
        <v>surplus in 2027</v>
      </c>
      <c r="L33" s="183"/>
    </row>
    <row r="34" spans="1:12" ht="18" customHeight="1" x14ac:dyDescent="0.45">
      <c r="A34" s="25" t="s">
        <v>228</v>
      </c>
      <c r="B34" s="70">
        <f>B22</f>
        <v>0</v>
      </c>
      <c r="C34" s="36">
        <f>'01-DRAM-Model'!L40</f>
        <v>-5.0109691959739355E-3</v>
      </c>
      <c r="D34" s="112">
        <f>G22</f>
        <v>0.19261105806654197</v>
      </c>
      <c r="E34" s="112">
        <f>I34-J34</f>
        <v>0.57316137421297553</v>
      </c>
      <c r="F34" s="36">
        <f>'01-DRAM-Model'!M40</f>
        <v>-7.3916135590130883E-2</v>
      </c>
      <c r="G34" s="112">
        <f>(1+F34)*(1+K22)/(1+I22)-1</f>
        <v>8.7508292448183145E-2</v>
      </c>
      <c r="H34" s="112">
        <f>(1+G34)*(1+I34)/(1+J34)-1</f>
        <v>0.75774242940259962</v>
      </c>
      <c r="I34" s="133">
        <f>(1+'01-DRAM-Model'!C42+'01-DRAM-Model'!$B$146)*(1+'01-DRAM-Model'!D42+'01-DRAM-Model'!$B$147)*(((1-'01-DRAM-Model'!G42)+'01-DRAM-Model'!G42/('01-DRAM-Model'!$B$6+$B$10))/((1-'01-DRAM-Model'!G41)+'01-DRAM-Model'!G41/('01-DRAM-Model'!$B$6+$B$10)))-1</f>
        <v>0.50316137421297547</v>
      </c>
      <c r="J34" s="133">
        <f>'01-DRAM-Model'!K42+'01-DRAM-Model'!$B$149</f>
        <v>-7.0000000000000007E-2</v>
      </c>
      <c r="K34" s="183" t="str">
        <f>IF(D34&lt;0,"still short in 2027",IF(D34&lt;0.05,"close to balance in 2027","surplus in 2027"))</f>
        <v>surplus in 2027</v>
      </c>
      <c r="L34" s="183"/>
    </row>
    <row r="35" spans="1:12" ht="24" customHeight="1" x14ac:dyDescent="0.45">
      <c r="A35" s="90" t="s">
        <v>235</v>
      </c>
      <c r="B35" s="70">
        <f>SUM(B30:B34)</f>
        <v>1</v>
      </c>
      <c r="C35" s="91">
        <f t="shared" ref="C35:H35" si="1">SUMPRODUCT($B$30:$B$34,C30:C34)</f>
        <v>-9.6010969195973961E-2</v>
      </c>
      <c r="D35" s="91">
        <f t="shared" si="1"/>
        <v>-6.1628024999635718E-2</v>
      </c>
      <c r="E35" s="91">
        <f t="shared" si="1"/>
        <v>9.176731058434752E-2</v>
      </c>
      <c r="F35" s="91">
        <f t="shared" si="1"/>
        <v>-0.13951261391371647</v>
      </c>
      <c r="G35" s="91">
        <f t="shared" si="1"/>
        <v>-0.17936206382910699</v>
      </c>
      <c r="H35" s="91">
        <f t="shared" si="1"/>
        <v>-0.10652912863708698</v>
      </c>
      <c r="I35" s="42"/>
      <c r="J35" s="42"/>
      <c r="K35" s="182"/>
      <c r="L35" s="182"/>
    </row>
    <row r="36" spans="1:12" ht="24" customHeight="1" x14ac:dyDescent="0.45">
      <c r="A36" s="90" t="s">
        <v>237</v>
      </c>
      <c r="B36" s="42"/>
      <c r="C36" s="77">
        <f>INDEX(C30:C34,IFERROR(MATCH(0.5,'01-DRAM-Model'!$C$48:$C$52,1)+1,1))</f>
        <v>-0.10501096919597397</v>
      </c>
      <c r="D36" s="77">
        <f>INDEX(D30:D34,IFERROR(MATCH(0.5,'01-DRAM-Model'!$C$48:$C$52,1)+1,1))</f>
        <v>-0.1098126766991028</v>
      </c>
      <c r="E36" s="77">
        <f>INDEX(E30:E34,IFERROR(MATCH(0.5,'01-DRAM-Model'!$C$48:$C$52,1)+1,1))</f>
        <v>2.3503893279199772E-2</v>
      </c>
      <c r="F36" s="77">
        <f>INDEX(F30:F34,IFERROR(MATCH(0.5,'01-DRAM-Model'!$C$48:$C$52,1)+1,1))</f>
        <v>-0.14570558244360921</v>
      </c>
      <c r="G36" s="77">
        <f>INDEX(G30:G34,IFERROR(MATCH(0.5,'01-DRAM-Model'!$C$48:$C$52,1)+1,1))</f>
        <v>-0.22105687295041099</v>
      </c>
      <c r="H36" s="77">
        <f>INDEX(H30:H34,IFERROR(MATCH(0.5,'01-DRAM-Model'!$C$48:$C$52,1)+1,1))</f>
        <v>-0.20641031604741922</v>
      </c>
      <c r="I36" s="42"/>
      <c r="J36" s="42"/>
      <c r="K36" s="182"/>
      <c r="L36" s="182"/>
    </row>
    <row r="37" spans="1:12" ht="30" customHeight="1" x14ac:dyDescent="0.45">
      <c r="A37" s="11" t="s">
        <v>746</v>
      </c>
      <c r="B37" s="11"/>
      <c r="C37" s="11"/>
      <c r="D37" s="11"/>
      <c r="E37" s="11"/>
      <c r="F37" s="11"/>
      <c r="G37" s="11"/>
      <c r="H37" s="11"/>
      <c r="I37" s="11"/>
      <c r="J37" s="11"/>
      <c r="K37" s="11"/>
      <c r="L37" s="11"/>
    </row>
    <row r="39" spans="1:12" ht="24" customHeight="1" x14ac:dyDescent="0.45">
      <c r="A39" s="3" t="s">
        <v>747</v>
      </c>
      <c r="B39" s="3"/>
      <c r="C39" s="3"/>
      <c r="D39" s="3"/>
      <c r="E39" s="3"/>
      <c r="F39" s="3"/>
      <c r="G39" s="3"/>
      <c r="H39" s="3"/>
      <c r="I39" s="3"/>
      <c r="J39" s="3"/>
      <c r="K39" s="3"/>
      <c r="L39" s="3"/>
    </row>
    <row r="40" spans="1:12" ht="31.5" customHeight="1" x14ac:dyDescent="0.45">
      <c r="A40" s="2" t="s">
        <v>573</v>
      </c>
      <c r="B40" s="2"/>
      <c r="C40" s="22" t="s">
        <v>748</v>
      </c>
      <c r="D40" s="22" t="s">
        <v>749</v>
      </c>
      <c r="E40" s="2" t="s">
        <v>55</v>
      </c>
      <c r="F40" s="2"/>
      <c r="G40" s="2"/>
      <c r="H40" s="2"/>
      <c r="I40" s="2"/>
      <c r="J40" s="2"/>
      <c r="K40" s="2"/>
      <c r="L40" s="2"/>
    </row>
    <row r="41" spans="1:12" ht="30" customHeight="1" x14ac:dyDescent="0.45">
      <c r="A41" s="185" t="s">
        <v>750</v>
      </c>
      <c r="B41" s="185"/>
      <c r="C41" s="124">
        <f>'01-DRAM-Model'!E53</f>
        <v>-4.647754395731539E-2</v>
      </c>
      <c r="D41" s="29" t="s">
        <v>84</v>
      </c>
      <c r="E41" s="186" t="s">
        <v>751</v>
      </c>
      <c r="F41" s="186"/>
      <c r="G41" s="186"/>
      <c r="H41" s="186"/>
      <c r="I41" s="186"/>
      <c r="J41" s="186"/>
      <c r="K41" s="186"/>
      <c r="L41" s="186"/>
    </row>
    <row r="42" spans="1:12" ht="42" customHeight="1" x14ac:dyDescent="0.45">
      <c r="A42" s="1" t="s">
        <v>752</v>
      </c>
      <c r="B42" s="1"/>
      <c r="C42" s="29" t="s">
        <v>84</v>
      </c>
      <c r="D42" s="134">
        <f>(J23-C23)*100</f>
        <v>0.92725958807565456</v>
      </c>
      <c r="E42" s="186" t="s">
        <v>753</v>
      </c>
      <c r="F42" s="186"/>
      <c r="G42" s="186"/>
      <c r="H42" s="186"/>
      <c r="I42" s="186"/>
      <c r="J42" s="186"/>
      <c r="K42" s="186"/>
      <c r="L42" s="186"/>
    </row>
    <row r="43" spans="1:12" ht="31.5" customHeight="1" x14ac:dyDescent="0.45">
      <c r="A43" s="1" t="s">
        <v>754</v>
      </c>
      <c r="B43" s="1"/>
      <c r="C43" s="29" t="s">
        <v>84</v>
      </c>
      <c r="D43" s="134">
        <f>(K23-J23)*100</f>
        <v>-4.9423076923076872</v>
      </c>
      <c r="E43" s="186" t="s">
        <v>755</v>
      </c>
      <c r="F43" s="186"/>
      <c r="G43" s="186"/>
      <c r="H43" s="186"/>
      <c r="I43" s="186"/>
      <c r="J43" s="186"/>
      <c r="K43" s="186"/>
      <c r="L43" s="186"/>
    </row>
    <row r="44" spans="1:12" ht="42" customHeight="1" x14ac:dyDescent="0.45">
      <c r="A44" s="1" t="s">
        <v>756</v>
      </c>
      <c r="B44" s="1"/>
      <c r="C44" s="29" t="s">
        <v>84</v>
      </c>
      <c r="D44" s="134">
        <f>(H23-I23)*100</f>
        <v>2.4999999999999996</v>
      </c>
      <c r="E44" s="186" t="s">
        <v>757</v>
      </c>
      <c r="F44" s="186"/>
      <c r="G44" s="186"/>
      <c r="H44" s="186"/>
      <c r="I44" s="186"/>
      <c r="J44" s="186"/>
      <c r="K44" s="186"/>
      <c r="L44" s="186"/>
    </row>
    <row r="45" spans="1:12" ht="30" customHeight="1" x14ac:dyDescent="0.45">
      <c r="A45" s="185" t="s">
        <v>758</v>
      </c>
      <c r="B45" s="185"/>
      <c r="C45" s="124">
        <f>G23</f>
        <v>-6.1628024999635718E-2</v>
      </c>
      <c r="D45" s="134">
        <f>(G23-'01-DRAM-Model'!E53)*100</f>
        <v>-1.5150481042320327</v>
      </c>
      <c r="E45" s="186" t="s">
        <v>759</v>
      </c>
      <c r="F45" s="186"/>
      <c r="G45" s="186"/>
      <c r="H45" s="186"/>
      <c r="I45" s="186"/>
      <c r="J45" s="186"/>
      <c r="K45" s="186"/>
      <c r="L45" s="186"/>
    </row>
    <row r="46" spans="1:12" ht="31.5" customHeight="1" x14ac:dyDescent="0.45">
      <c r="A46" s="185" t="s">
        <v>760</v>
      </c>
      <c r="B46" s="185"/>
      <c r="C46" s="124">
        <f>E23</f>
        <v>-9.5900620880392307E-2</v>
      </c>
      <c r="D46" s="134">
        <f>(E23-'01-DRAM-Model'!E53)*100</f>
        <v>-4.9423076923076916</v>
      </c>
      <c r="E46" s="186" t="s">
        <v>761</v>
      </c>
      <c r="F46" s="186"/>
      <c r="G46" s="186"/>
      <c r="H46" s="186"/>
      <c r="I46" s="186"/>
      <c r="J46" s="186"/>
      <c r="K46" s="186"/>
      <c r="L46" s="186"/>
    </row>
    <row r="47" spans="1:12" ht="45" customHeight="1" x14ac:dyDescent="0.45">
      <c r="A47" s="199" t="s">
        <v>762</v>
      </c>
      <c r="B47" s="199"/>
      <c r="C47" s="29" t="s">
        <v>84</v>
      </c>
      <c r="D47" s="135">
        <f>(E23-G23)*100</f>
        <v>-3.4272595880756587</v>
      </c>
      <c r="E47" s="197" t="s">
        <v>763</v>
      </c>
      <c r="F47" s="197"/>
      <c r="G47" s="197"/>
      <c r="H47" s="197"/>
      <c r="I47" s="197"/>
      <c r="J47" s="197"/>
      <c r="K47" s="197"/>
      <c r="L47" s="197"/>
    </row>
    <row r="48" spans="1:12" ht="24" customHeight="1" x14ac:dyDescent="0.45">
      <c r="A48" s="3" t="s">
        <v>764</v>
      </c>
      <c r="B48" s="3"/>
      <c r="C48" s="3"/>
      <c r="D48" s="3"/>
      <c r="E48" s="3"/>
      <c r="F48" s="3"/>
      <c r="G48" s="3"/>
      <c r="H48" s="3"/>
      <c r="I48" s="3"/>
      <c r="J48" s="3"/>
      <c r="K48" s="3"/>
      <c r="L48" s="3"/>
    </row>
    <row r="49" spans="1:12" ht="27" customHeight="1" x14ac:dyDescent="0.45">
      <c r="A49" s="22" t="s">
        <v>573</v>
      </c>
      <c r="B49" s="22" t="s">
        <v>491</v>
      </c>
      <c r="C49" s="2" t="s">
        <v>765</v>
      </c>
      <c r="D49" s="2"/>
      <c r="E49" s="2"/>
      <c r="F49" s="2"/>
      <c r="G49" s="2"/>
      <c r="H49" s="2"/>
      <c r="I49" s="2"/>
      <c r="J49" s="2"/>
      <c r="K49" s="2"/>
      <c r="L49" s="2"/>
    </row>
    <row r="50" spans="1:12" ht="31.5" customHeight="1" x14ac:dyDescent="0.45">
      <c r="A50" s="28" t="s">
        <v>766</v>
      </c>
      <c r="B50" s="136">
        <v>4</v>
      </c>
      <c r="C50" s="186" t="s">
        <v>767</v>
      </c>
      <c r="D50" s="186"/>
      <c r="E50" s="186"/>
      <c r="F50" s="186"/>
      <c r="G50" s="186"/>
      <c r="H50" s="186"/>
      <c r="I50" s="186"/>
      <c r="J50" s="186"/>
      <c r="K50" s="186"/>
      <c r="L50" s="186"/>
    </row>
    <row r="51" spans="1:12" ht="31.5" customHeight="1" x14ac:dyDescent="0.45">
      <c r="A51" s="32" t="s">
        <v>768</v>
      </c>
      <c r="B51" s="137">
        <f>'01-DRAM-Model'!$B$12</f>
        <v>1.43</v>
      </c>
      <c r="C51" s="186" t="s">
        <v>769</v>
      </c>
      <c r="D51" s="186"/>
      <c r="E51" s="186"/>
      <c r="F51" s="186"/>
      <c r="G51" s="186"/>
      <c r="H51" s="186"/>
      <c r="I51" s="186"/>
      <c r="J51" s="186"/>
      <c r="K51" s="186"/>
      <c r="L51" s="186"/>
    </row>
    <row r="52" spans="1:12" ht="31.5" customHeight="1" x14ac:dyDescent="0.45">
      <c r="A52" s="28" t="s">
        <v>770</v>
      </c>
      <c r="B52" s="138">
        <f>B50-B51</f>
        <v>2.5700000000000003</v>
      </c>
      <c r="C52" s="186" t="s">
        <v>771</v>
      </c>
      <c r="D52" s="186"/>
      <c r="E52" s="186"/>
      <c r="F52" s="186"/>
      <c r="G52" s="186"/>
      <c r="H52" s="186"/>
      <c r="I52" s="186"/>
      <c r="J52" s="186"/>
      <c r="K52" s="186"/>
      <c r="L52" s="186"/>
    </row>
    <row r="53" spans="1:12" ht="31.5" customHeight="1" x14ac:dyDescent="0.45">
      <c r="A53" s="32" t="s">
        <v>772</v>
      </c>
      <c r="B53" s="139">
        <f>B52/52</f>
        <v>4.9423076923076931E-2</v>
      </c>
      <c r="C53" s="186" t="s">
        <v>773</v>
      </c>
      <c r="D53" s="186"/>
      <c r="E53" s="186"/>
      <c r="F53" s="186"/>
      <c r="G53" s="186"/>
      <c r="H53" s="186"/>
      <c r="I53" s="186"/>
      <c r="J53" s="186"/>
      <c r="K53" s="186"/>
      <c r="L53" s="186"/>
    </row>
    <row r="54" spans="1:12" ht="31.5" customHeight="1" x14ac:dyDescent="0.45">
      <c r="A54" s="28" t="s">
        <v>774</v>
      </c>
      <c r="B54" s="138">
        <f>B9</f>
        <v>2.57</v>
      </c>
      <c r="C54" s="186" t="s">
        <v>775</v>
      </c>
      <c r="D54" s="186"/>
      <c r="E54" s="186"/>
      <c r="F54" s="186"/>
      <c r="G54" s="186"/>
      <c r="H54" s="186"/>
      <c r="I54" s="186"/>
      <c r="J54" s="186"/>
      <c r="K54" s="186"/>
      <c r="L54" s="186"/>
    </row>
    <row r="55" spans="1:12" ht="31.5" customHeight="1" x14ac:dyDescent="0.45">
      <c r="A55" s="28" t="s">
        <v>776</v>
      </c>
      <c r="B55" s="140">
        <f>IF($B$12=0,0,IF($B$12=1,-$B$15,(1/(1+$B$15)-1)))</f>
        <v>-4.9423076923076917E-2</v>
      </c>
      <c r="C55" s="186" t="s">
        <v>777</v>
      </c>
      <c r="D55" s="186"/>
      <c r="E55" s="186"/>
      <c r="F55" s="186"/>
      <c r="G55" s="186"/>
      <c r="H55" s="186"/>
      <c r="I55" s="186"/>
      <c r="J55" s="186"/>
      <c r="K55" s="186"/>
      <c r="L55" s="186"/>
    </row>
    <row r="56" spans="1:12" ht="39.75" customHeight="1" x14ac:dyDescent="0.45">
      <c r="A56" s="165" t="s">
        <v>778</v>
      </c>
      <c r="B56" s="165"/>
      <c r="C56" s="165"/>
      <c r="D56" s="165"/>
      <c r="E56" s="165"/>
      <c r="F56" s="165"/>
      <c r="G56" s="165"/>
      <c r="H56" s="165"/>
      <c r="I56" s="165"/>
      <c r="J56" s="165"/>
      <c r="K56" s="165"/>
      <c r="L56" s="165"/>
    </row>
    <row r="59" spans="1:12" ht="24" customHeight="1" x14ac:dyDescent="0.45">
      <c r="A59" s="12" t="s">
        <v>779</v>
      </c>
      <c r="B59" s="12"/>
      <c r="C59" s="12"/>
      <c r="D59" s="12"/>
      <c r="E59" s="12"/>
      <c r="F59" s="12"/>
      <c r="G59" s="12"/>
      <c r="H59" s="12"/>
      <c r="I59" s="12"/>
      <c r="J59" s="12"/>
      <c r="K59" s="12"/>
      <c r="L59" s="12"/>
    </row>
    <row r="60" spans="1:12" ht="27" customHeight="1" x14ac:dyDescent="0.45">
      <c r="A60" s="19" t="s">
        <v>120</v>
      </c>
      <c r="B60" s="7" t="s">
        <v>121</v>
      </c>
      <c r="C60" s="7"/>
      <c r="D60" s="7"/>
      <c r="E60" s="7" t="s">
        <v>122</v>
      </c>
      <c r="F60" s="7"/>
      <c r="G60" s="7"/>
      <c r="H60" s="7"/>
      <c r="I60" s="7" t="s">
        <v>597</v>
      </c>
      <c r="J60" s="7"/>
      <c r="K60" s="7"/>
      <c r="L60" s="7"/>
    </row>
    <row r="61" spans="1:12" ht="66" customHeight="1" x14ac:dyDescent="0.45">
      <c r="A61" s="39" t="s">
        <v>780</v>
      </c>
      <c r="B61" s="167" t="s">
        <v>781</v>
      </c>
      <c r="C61" s="167"/>
      <c r="D61" s="167"/>
      <c r="E61" s="168" t="s">
        <v>782</v>
      </c>
      <c r="F61" s="168"/>
      <c r="G61" s="168"/>
      <c r="H61" s="168"/>
      <c r="I61" s="168" t="s">
        <v>783</v>
      </c>
      <c r="J61" s="168"/>
      <c r="K61" s="168"/>
      <c r="L61" s="168"/>
    </row>
    <row r="62" spans="1:12" ht="66" customHeight="1" x14ac:dyDescent="0.45">
      <c r="A62" s="39" t="s">
        <v>784</v>
      </c>
      <c r="B62" s="167" t="s">
        <v>785</v>
      </c>
      <c r="C62" s="167"/>
      <c r="D62" s="167"/>
      <c r="E62" s="168" t="s">
        <v>786</v>
      </c>
      <c r="F62" s="168"/>
      <c r="G62" s="168"/>
      <c r="H62" s="168"/>
      <c r="I62" s="168" t="s">
        <v>787</v>
      </c>
      <c r="J62" s="168"/>
      <c r="K62" s="168"/>
      <c r="L62" s="168"/>
    </row>
    <row r="63" spans="1:12" ht="66" customHeight="1" x14ac:dyDescent="0.45">
      <c r="A63" s="39" t="s">
        <v>788</v>
      </c>
      <c r="B63" s="167" t="s">
        <v>789</v>
      </c>
      <c r="C63" s="167"/>
      <c r="D63" s="167"/>
      <c r="E63" s="168" t="s">
        <v>790</v>
      </c>
      <c r="F63" s="168"/>
      <c r="G63" s="168"/>
      <c r="H63" s="168"/>
      <c r="I63" s="168" t="s">
        <v>791</v>
      </c>
      <c r="J63" s="168"/>
      <c r="K63" s="168"/>
      <c r="L63" s="168"/>
    </row>
    <row r="64" spans="1:12" ht="66" customHeight="1" x14ac:dyDescent="0.45">
      <c r="A64" s="39" t="s">
        <v>792</v>
      </c>
      <c r="B64" s="167" t="s">
        <v>793</v>
      </c>
      <c r="C64" s="167"/>
      <c r="D64" s="167"/>
      <c r="E64" s="168" t="s">
        <v>794</v>
      </c>
      <c r="F64" s="168"/>
      <c r="G64" s="168"/>
      <c r="H64" s="168"/>
      <c r="I64" s="168" t="s">
        <v>795</v>
      </c>
      <c r="J64" s="168"/>
      <c r="K64" s="168"/>
      <c r="L64" s="168"/>
    </row>
    <row r="65" spans="1:12" ht="66" customHeight="1" x14ac:dyDescent="0.45">
      <c r="A65" s="39" t="s">
        <v>796</v>
      </c>
      <c r="B65" s="167" t="s">
        <v>797</v>
      </c>
      <c r="C65" s="167"/>
      <c r="D65" s="167"/>
      <c r="E65" s="168" t="s">
        <v>798</v>
      </c>
      <c r="F65" s="168"/>
      <c r="G65" s="168"/>
      <c r="H65" s="168"/>
      <c r="I65" s="168" t="s">
        <v>799</v>
      </c>
      <c r="J65" s="168"/>
      <c r="K65" s="168"/>
      <c r="L65" s="168"/>
    </row>
    <row r="66" spans="1:12" ht="48" customHeight="1" x14ac:dyDescent="0.45">
      <c r="A66" s="8" t="s">
        <v>800</v>
      </c>
      <c r="B66" s="8"/>
      <c r="C66" s="8"/>
      <c r="D66" s="8"/>
      <c r="E66" s="8"/>
      <c r="F66" s="8"/>
      <c r="G66" s="8"/>
      <c r="H66" s="8"/>
      <c r="I66" s="8"/>
      <c r="J66" s="8"/>
      <c r="K66" s="8"/>
      <c r="L66" s="8"/>
    </row>
    <row r="158" spans="1:12" ht="45" customHeight="1" x14ac:dyDescent="0.45">
      <c r="A158" s="11" t="s">
        <v>801</v>
      </c>
      <c r="B158" s="11"/>
      <c r="C158" s="11"/>
      <c r="D158" s="11"/>
      <c r="E158" s="11"/>
      <c r="F158" s="11"/>
      <c r="G158" s="11"/>
      <c r="H158" s="11"/>
      <c r="I158" s="11"/>
      <c r="J158" s="11"/>
      <c r="K158" s="11"/>
      <c r="L158" s="11"/>
    </row>
  </sheetData>
  <mergeCells count="80">
    <mergeCell ref="A66:L66"/>
    <mergeCell ref="A158:L158"/>
    <mergeCell ref="B64:D64"/>
    <mergeCell ref="E64:H64"/>
    <mergeCell ref="I64:L64"/>
    <mergeCell ref="B65:D65"/>
    <mergeCell ref="E65:H65"/>
    <mergeCell ref="I65:L65"/>
    <mergeCell ref="B62:D62"/>
    <mergeCell ref="E62:H62"/>
    <mergeCell ref="I62:L62"/>
    <mergeCell ref="B63:D63"/>
    <mergeCell ref="E63:H63"/>
    <mergeCell ref="I63:L63"/>
    <mergeCell ref="B60:D60"/>
    <mergeCell ref="E60:H60"/>
    <mergeCell ref="I60:L60"/>
    <mergeCell ref="B61:D61"/>
    <mergeCell ref="E61:H61"/>
    <mergeCell ref="I61:L61"/>
    <mergeCell ref="C53:L53"/>
    <mergeCell ref="C54:L54"/>
    <mergeCell ref="C55:L55"/>
    <mergeCell ref="A56:L56"/>
    <mergeCell ref="A59:L59"/>
    <mergeCell ref="A48:L48"/>
    <mergeCell ref="C49:L49"/>
    <mergeCell ref="C50:L50"/>
    <mergeCell ref="C51:L51"/>
    <mergeCell ref="C52:L52"/>
    <mergeCell ref="A45:B45"/>
    <mergeCell ref="E45:L45"/>
    <mergeCell ref="A46:B46"/>
    <mergeCell ref="E46:L46"/>
    <mergeCell ref="A47:B47"/>
    <mergeCell ref="E47:L47"/>
    <mergeCell ref="A42:B42"/>
    <mergeCell ref="E42:L42"/>
    <mergeCell ref="A43:B43"/>
    <mergeCell ref="E43:L43"/>
    <mergeCell ref="A44:B44"/>
    <mergeCell ref="E44:L44"/>
    <mergeCell ref="A37:L37"/>
    <mergeCell ref="A39:L39"/>
    <mergeCell ref="A40:B40"/>
    <mergeCell ref="E40:L40"/>
    <mergeCell ref="A41:B41"/>
    <mergeCell ref="E41:L41"/>
    <mergeCell ref="K32:L32"/>
    <mergeCell ref="K33:L33"/>
    <mergeCell ref="K34:L34"/>
    <mergeCell ref="K35:L35"/>
    <mergeCell ref="K36:L36"/>
    <mergeCell ref="A27:L27"/>
    <mergeCell ref="A28:L28"/>
    <mergeCell ref="K29:L29"/>
    <mergeCell ref="K30:L30"/>
    <mergeCell ref="K31:L31"/>
    <mergeCell ref="C14:G14"/>
    <mergeCell ref="J14:L14"/>
    <mergeCell ref="C15:L15"/>
    <mergeCell ref="A16:L16"/>
    <mergeCell ref="A26:L26"/>
    <mergeCell ref="C11:G11"/>
    <mergeCell ref="J11:L11"/>
    <mergeCell ref="C12:G12"/>
    <mergeCell ref="J12:L12"/>
    <mergeCell ref="C13:G13"/>
    <mergeCell ref="J13:L13"/>
    <mergeCell ref="C8:G8"/>
    <mergeCell ref="J8:L8"/>
    <mergeCell ref="C9:G9"/>
    <mergeCell ref="J9:L9"/>
    <mergeCell ref="C10:G10"/>
    <mergeCell ref="J10:L10"/>
    <mergeCell ref="A1:L1"/>
    <mergeCell ref="A2:L2"/>
    <mergeCell ref="A4:L4"/>
    <mergeCell ref="A6:L6"/>
    <mergeCell ref="A7:L7"/>
  </mergeCells>
  <phoneticPr fontId="59" type="noConversion"/>
  <pageMargins left="0.75" right="0.75" top="1" bottom="1" header="0.511811023622047" footer="0.511811023622047"/>
  <pageSetup paperSize="9" orientation="portrait" horizontalDpi="300" verticalDpi="300"/>
  <drawing r:id="rId1"/>
  <legacyDrawing r:id="rId2"/>
  <mc:AlternateContent xmlns:mc="http://schemas.openxmlformats.org/markup-compatibility/2006">
    <mc:Choice Requires="x14">
      <controls>
        <mc:AlternateContent xmlns:mc="http://schemas.openxmlformats.org/markup-compatibility/2006">
          <mc:Choice Requires="x14">
            <control shapeId="3073" r:id="rId3" name="Scroll Bar 1">
              <controlPr defaultSize="0" print="0" autoLine="0" autoPict="0" altText="">
                <anchor moveWithCells="1">
                  <from>
                    <xdr:col>2</xdr:col>
                    <xdr:colOff>19050</xdr:colOff>
                    <xdr:row>8</xdr:row>
                    <xdr:rowOff>23813</xdr:rowOff>
                  </from>
                  <to>
                    <xdr:col>7</xdr:col>
                    <xdr:colOff>0</xdr:colOff>
                    <xdr:row>9</xdr:row>
                    <xdr:rowOff>0</xdr:rowOff>
                  </to>
                </anchor>
              </controlPr>
            </control>
          </mc:Choice>
        </mc:AlternateContent>
        <mc:AlternateContent xmlns:mc="http://schemas.openxmlformats.org/markup-compatibility/2006">
          <mc:Choice Requires="x14">
            <control shapeId="3074" r:id="rId4" name="Scroll Bar 2">
              <controlPr defaultSize="0" print="0" autoLine="0" autoPict="0" altText="">
                <anchor moveWithCells="1">
                  <from>
                    <xdr:col>2</xdr:col>
                    <xdr:colOff>19050</xdr:colOff>
                    <xdr:row>9</xdr:row>
                    <xdr:rowOff>23813</xdr:rowOff>
                  </from>
                  <to>
                    <xdr:col>7</xdr:col>
                    <xdr:colOff>0</xdr:colOff>
                    <xdr:row>10</xdr:row>
                    <xdr:rowOff>0</xdr:rowOff>
                  </to>
                </anchor>
              </controlPr>
            </control>
          </mc:Choice>
        </mc:AlternateContent>
        <mc:AlternateContent xmlns:mc="http://schemas.openxmlformats.org/markup-compatibility/2006">
          <mc:Choice Requires="x14">
            <control shapeId="3075" r:id="rId5" name="Scroll Bar 3">
              <controlPr defaultSize="0" print="0" autoLine="0" autoPict="0" altText="">
                <anchor moveWithCells="1">
                  <from>
                    <xdr:col>2</xdr:col>
                    <xdr:colOff>19050</xdr:colOff>
                    <xdr:row>10</xdr:row>
                    <xdr:rowOff>23813</xdr:rowOff>
                  </from>
                  <to>
                    <xdr:col>7</xdr:col>
                    <xdr:colOff>0</xdr:colOff>
                    <xdr:row>11</xdr:row>
                    <xdr:rowOff>0</xdr:rowOff>
                  </to>
                </anchor>
              </controlPr>
            </control>
          </mc:Choice>
        </mc:AlternateContent>
        <mc:AlternateContent xmlns:mc="http://schemas.openxmlformats.org/markup-compatibility/2006">
          <mc:Choice Requires="x14">
            <control shapeId="3076" r:id="rId6" name="Scroll Bar 4">
              <controlPr defaultSize="0" print="0" autoLine="0" autoPict="0" altText="">
                <anchor moveWithCells="1">
                  <from>
                    <xdr:col>2</xdr:col>
                    <xdr:colOff>19050</xdr:colOff>
                    <xdr:row>11</xdr:row>
                    <xdr:rowOff>23813</xdr:rowOff>
                  </from>
                  <to>
                    <xdr:col>7</xdr:col>
                    <xdr:colOff>0</xdr:colOff>
                    <xdr:row>12</xdr:row>
                    <xdr:rowOff>0</xdr:rowOff>
                  </to>
                </anchor>
              </controlPr>
            </control>
          </mc:Choice>
        </mc:AlternateContent>
        <mc:AlternateContent xmlns:mc="http://schemas.openxmlformats.org/markup-compatibility/2006">
          <mc:Choice Requires="x14">
            <control shapeId="3077" r:id="rId7" name="Scroll Bar 5">
              <controlPr defaultSize="0" print="0" autoLine="0" autoPict="0" altText="">
                <anchor moveWithCells="1">
                  <from>
                    <xdr:col>2</xdr:col>
                    <xdr:colOff>19050</xdr:colOff>
                    <xdr:row>12</xdr:row>
                    <xdr:rowOff>23813</xdr:rowOff>
                  </from>
                  <to>
                    <xdr:col>7</xdr:col>
                    <xdr:colOff>0</xdr:colOff>
                    <xdr:row>13</xdr:row>
                    <xdr:rowOff>0</xdr:rowOff>
                  </to>
                </anchor>
              </controlPr>
            </control>
          </mc:Choice>
        </mc:AlternateContent>
        <mc:AlternateContent xmlns:mc="http://schemas.openxmlformats.org/markup-compatibility/2006">
          <mc:Choice Requires="x14">
            <control shapeId="3078" r:id="rId8" name="Scroll Bar 6">
              <controlPr defaultSize="0" print="0" autoLine="0" autoPict="0" altText="">
                <anchor moveWithCells="1">
                  <from>
                    <xdr:col>2</xdr:col>
                    <xdr:colOff>19050</xdr:colOff>
                    <xdr:row>13</xdr:row>
                    <xdr:rowOff>23813</xdr:rowOff>
                  </from>
                  <to>
                    <xdr:col>7</xdr:col>
                    <xdr:colOff>0</xdr:colOff>
                    <xdr:row>14</xdr:row>
                    <xdr:rowOff>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B35C00"/>
  </sheetPr>
  <dimension ref="A1:K81"/>
  <sheetViews>
    <sheetView showGridLines="0" topLeftCell="A11" zoomScale="79" zoomScaleNormal="100" workbookViewId="0">
      <selection activeCell="B31" sqref="B31"/>
    </sheetView>
  </sheetViews>
  <sheetFormatPr defaultColWidth="8.6640625" defaultRowHeight="14.25" x14ac:dyDescent="0.45"/>
  <cols>
    <col min="1" max="1" width="27" customWidth="1"/>
    <col min="2" max="2" width="13" customWidth="1"/>
    <col min="3" max="6" width="13.46484375" customWidth="1"/>
    <col min="7" max="7" width="13" customWidth="1"/>
    <col min="8" max="10" width="12" customWidth="1"/>
    <col min="11" max="11" width="24" customWidth="1"/>
  </cols>
  <sheetData>
    <row r="1" spans="1:11" ht="37.5" customHeight="1" x14ac:dyDescent="0.45">
      <c r="A1" s="14" t="s">
        <v>802</v>
      </c>
      <c r="B1" s="14"/>
      <c r="C1" s="14"/>
      <c r="D1" s="14"/>
      <c r="E1" s="14"/>
      <c r="F1" s="14"/>
      <c r="G1" s="14"/>
      <c r="H1" s="14"/>
      <c r="I1" s="14"/>
      <c r="J1" s="14"/>
      <c r="K1" s="14"/>
    </row>
    <row r="2" spans="1:11" ht="19.5" customHeight="1" x14ac:dyDescent="0.45">
      <c r="A2" s="169" t="s">
        <v>803</v>
      </c>
      <c r="B2" s="169"/>
      <c r="C2" s="169"/>
      <c r="D2" s="169"/>
      <c r="E2" s="169"/>
      <c r="F2" s="169"/>
      <c r="G2" s="169"/>
      <c r="H2" s="169"/>
      <c r="I2" s="169"/>
      <c r="J2" s="169"/>
      <c r="K2" s="169"/>
    </row>
    <row r="4" spans="1:11" ht="42" customHeight="1" x14ac:dyDescent="0.45">
      <c r="A4" s="165" t="s">
        <v>804</v>
      </c>
      <c r="B4" s="165"/>
      <c r="C4" s="165"/>
      <c r="D4" s="165"/>
      <c r="E4" s="165"/>
      <c r="F4" s="165"/>
      <c r="G4" s="165"/>
      <c r="H4" s="165"/>
      <c r="I4" s="165"/>
      <c r="J4" s="165"/>
      <c r="K4" s="165"/>
    </row>
    <row r="6" spans="1:11" ht="24" customHeight="1" x14ac:dyDescent="0.45">
      <c r="A6" s="12" t="s">
        <v>805</v>
      </c>
      <c r="B6" s="12"/>
      <c r="C6" s="12"/>
      <c r="D6" s="12"/>
      <c r="E6" s="12"/>
      <c r="F6" s="12"/>
      <c r="G6" s="12"/>
      <c r="H6" s="12"/>
      <c r="I6" s="12"/>
      <c r="J6" s="12"/>
      <c r="K6" s="12"/>
    </row>
    <row r="7" spans="1:11" ht="31.5" customHeight="1" x14ac:dyDescent="0.45">
      <c r="A7" s="19" t="s">
        <v>806</v>
      </c>
      <c r="B7" s="19" t="s">
        <v>807</v>
      </c>
      <c r="C7" s="19" t="s">
        <v>808</v>
      </c>
      <c r="D7" s="19" t="s">
        <v>809</v>
      </c>
      <c r="E7" s="7" t="s">
        <v>55</v>
      </c>
      <c r="F7" s="7"/>
      <c r="G7" s="7"/>
      <c r="H7" s="7"/>
      <c r="I7" s="7"/>
    </row>
    <row r="8" spans="1:11" ht="31.5" customHeight="1" x14ac:dyDescent="0.45">
      <c r="A8" s="141" t="s">
        <v>810</v>
      </c>
      <c r="B8" s="142" t="s">
        <v>811</v>
      </c>
      <c r="C8" s="143">
        <f>8/9</f>
        <v>0.88888888888888884</v>
      </c>
      <c r="D8" s="144">
        <f>(8/9)/(12/13)-1</f>
        <v>-3.703703703703709E-2</v>
      </c>
      <c r="E8" s="175" t="s">
        <v>812</v>
      </c>
      <c r="F8" s="175"/>
      <c r="G8" s="175"/>
      <c r="H8" s="175"/>
      <c r="I8" s="175"/>
    </row>
    <row r="9" spans="1:11" ht="31.5" customHeight="1" x14ac:dyDescent="0.45">
      <c r="A9" s="35" t="s">
        <v>813</v>
      </c>
      <c r="B9" s="142" t="s">
        <v>814</v>
      </c>
      <c r="C9" s="143">
        <f>12/13</f>
        <v>0.92307692307692313</v>
      </c>
      <c r="D9" s="144">
        <f>(12/13)/(12/13)-1</f>
        <v>0</v>
      </c>
      <c r="E9" s="175" t="s">
        <v>815</v>
      </c>
      <c r="F9" s="175"/>
      <c r="G9" s="175"/>
      <c r="H9" s="175"/>
      <c r="I9" s="175"/>
    </row>
    <row r="10" spans="1:11" ht="31.5" customHeight="1" x14ac:dyDescent="0.45">
      <c r="A10" s="35" t="s">
        <v>816</v>
      </c>
      <c r="B10" s="142" t="s">
        <v>817</v>
      </c>
      <c r="C10" s="143">
        <f>16/17</f>
        <v>0.94117647058823528</v>
      </c>
      <c r="D10" s="144">
        <f>(16/17)/(12/13)-1</f>
        <v>1.9607843137254832E-2</v>
      </c>
      <c r="E10" s="175" t="s">
        <v>818</v>
      </c>
      <c r="F10" s="175"/>
      <c r="G10" s="175"/>
      <c r="H10" s="175"/>
      <c r="I10" s="175"/>
    </row>
    <row r="11" spans="1:11" ht="31.5" customHeight="1" x14ac:dyDescent="0.45">
      <c r="A11" s="11" t="s">
        <v>819</v>
      </c>
      <c r="B11" s="11"/>
      <c r="C11" s="11"/>
      <c r="D11" s="11"/>
      <c r="E11" s="11"/>
      <c r="F11" s="11"/>
      <c r="G11" s="11"/>
      <c r="H11" s="11"/>
      <c r="I11" s="11"/>
      <c r="J11" s="11"/>
      <c r="K11" s="11"/>
    </row>
    <row r="13" spans="1:11" ht="24" customHeight="1" x14ac:dyDescent="0.45">
      <c r="A13" s="12" t="s">
        <v>820</v>
      </c>
      <c r="B13" s="12"/>
      <c r="C13" s="12"/>
      <c r="D13" s="12"/>
      <c r="E13" s="12"/>
      <c r="F13" s="12"/>
      <c r="G13" s="12"/>
      <c r="H13" s="12"/>
      <c r="I13" s="12"/>
      <c r="J13" s="12"/>
      <c r="K13" s="12"/>
    </row>
    <row r="14" spans="1:11" ht="31.5" customHeight="1" x14ac:dyDescent="0.45">
      <c r="A14" s="19" t="s">
        <v>821</v>
      </c>
      <c r="B14" s="19" t="s">
        <v>822</v>
      </c>
      <c r="C14" s="19" t="s">
        <v>823</v>
      </c>
      <c r="D14" s="19" t="s">
        <v>824</v>
      </c>
      <c r="E14" s="19" t="s">
        <v>825</v>
      </c>
      <c r="F14" s="19" t="s">
        <v>826</v>
      </c>
      <c r="G14" s="19" t="s">
        <v>827</v>
      </c>
    </row>
    <row r="15" spans="1:11" ht="21" customHeight="1" x14ac:dyDescent="0.45">
      <c r="A15" s="145">
        <v>0.995</v>
      </c>
      <c r="B15" s="146">
        <f>A15^8</f>
        <v>0.96069304357543694</v>
      </c>
      <c r="C15" s="146">
        <f>A15^12</f>
        <v>0.94162280691437594</v>
      </c>
      <c r="D15" s="147">
        <f>B15/C15-1</f>
        <v>2.0252522051321886E-2</v>
      </c>
      <c r="E15" s="148">
        <f>$D$8</f>
        <v>-3.703703703703709E-2</v>
      </c>
      <c r="F15" s="149">
        <f>(1+D15)*(1+E15)-1</f>
        <v>-1.753460839502341E-2</v>
      </c>
      <c r="G15" s="150">
        <f>3/(1+F15)</f>
        <v>3.0535426750240386</v>
      </c>
    </row>
    <row r="16" spans="1:11" ht="21" customHeight="1" x14ac:dyDescent="0.45">
      <c r="A16" s="145">
        <v>0.99</v>
      </c>
      <c r="B16" s="146">
        <f>A16^8</f>
        <v>0.92274469442791995</v>
      </c>
      <c r="C16" s="146">
        <f>A16^12</f>
        <v>0.88638487171612912</v>
      </c>
      <c r="D16" s="147">
        <f>B16/C16-1</f>
        <v>4.102035568521667E-2</v>
      </c>
      <c r="E16" s="148">
        <f>$D$8</f>
        <v>-3.703703703703709E-2</v>
      </c>
      <c r="F16" s="149">
        <f>(1+D16)*(1+E16)-1</f>
        <v>2.4640462153937559E-3</v>
      </c>
      <c r="G16" s="150">
        <f>3/(1+F16)</f>
        <v>2.9926260311538466</v>
      </c>
    </row>
    <row r="17" spans="1:11" ht="21" customHeight="1" x14ac:dyDescent="0.45">
      <c r="A17" s="151">
        <v>0.98</v>
      </c>
      <c r="B17" s="146">
        <f>A17^8</f>
        <v>0.85076302258178538</v>
      </c>
      <c r="C17" s="146">
        <f>A17^12</f>
        <v>0.78471672373479973</v>
      </c>
      <c r="D17" s="147">
        <f>B17/C17-1</f>
        <v>8.4165784733939875E-2</v>
      </c>
      <c r="E17" s="148">
        <f>$D$8</f>
        <v>-3.703703703703709E-2</v>
      </c>
      <c r="F17" s="152">
        <f>(1+D17)*(1+E17)-1</f>
        <v>4.4011496410460538E-2</v>
      </c>
      <c r="G17" s="150">
        <f>3/(1+F17)</f>
        <v>2.8735315753846149</v>
      </c>
    </row>
    <row r="18" spans="1:11" ht="21" customHeight="1" x14ac:dyDescent="0.45">
      <c r="A18" s="151">
        <v>0.97</v>
      </c>
      <c r="B18" s="146">
        <f>A18^8</f>
        <v>0.78374335943769602</v>
      </c>
      <c r="C18" s="146">
        <f>A18^12</f>
        <v>0.69384236099543783</v>
      </c>
      <c r="D18" s="147">
        <f>B18/C18-1</f>
        <v>0.12956977477316256</v>
      </c>
      <c r="E18" s="148">
        <f>$D$8</f>
        <v>-3.703703703703709E-2</v>
      </c>
      <c r="F18" s="152">
        <f>(1+D18)*(1+E18)-1</f>
        <v>8.7733857188971198E-2</v>
      </c>
      <c r="G18" s="150">
        <f>3/(1+F18)</f>
        <v>2.7580276003846151</v>
      </c>
    </row>
    <row r="19" spans="1:11" ht="21" customHeight="1" x14ac:dyDescent="0.45">
      <c r="A19" s="145">
        <v>0.95</v>
      </c>
      <c r="B19" s="146">
        <f>A19^8</f>
        <v>0.66342043128906247</v>
      </c>
      <c r="C19" s="146">
        <f>A19^12</f>
        <v>0.54036008766263688</v>
      </c>
      <c r="D19" s="147">
        <f>B19/C19-1</f>
        <v>0.22773766315482558</v>
      </c>
      <c r="E19" s="148">
        <f>$D$8</f>
        <v>-3.703703703703709E-2</v>
      </c>
      <c r="F19" s="149">
        <f>(1+D19)*(1+E19)-1</f>
        <v>0.1822658978527949</v>
      </c>
      <c r="G19" s="150">
        <f>3/(1+F19)</f>
        <v>2.5375002403846154</v>
      </c>
    </row>
    <row r="20" spans="1:11" ht="48" customHeight="1" x14ac:dyDescent="0.45">
      <c r="A20" s="165" t="s">
        <v>828</v>
      </c>
      <c r="B20" s="165"/>
      <c r="C20" s="165"/>
      <c r="D20" s="165"/>
      <c r="E20" s="165"/>
      <c r="F20" s="165"/>
      <c r="G20" s="165"/>
      <c r="H20" s="165"/>
      <c r="I20" s="165"/>
      <c r="J20" s="165"/>
      <c r="K20" s="165"/>
    </row>
    <row r="22" spans="1:11" ht="24" customHeight="1" x14ac:dyDescent="0.45">
      <c r="A22" s="176" t="s">
        <v>829</v>
      </c>
      <c r="B22" s="176"/>
      <c r="C22" s="176"/>
      <c r="D22" s="176"/>
      <c r="E22" s="176"/>
      <c r="F22" s="176"/>
      <c r="G22" s="176"/>
      <c r="H22" s="176"/>
      <c r="I22" s="176"/>
      <c r="J22" s="176"/>
      <c r="K22" s="176"/>
    </row>
    <row r="23" spans="1:11" ht="31.5" customHeight="1" x14ac:dyDescent="0.45">
      <c r="A23" s="177" t="s">
        <v>830</v>
      </c>
      <c r="B23" s="177"/>
      <c r="C23" s="177"/>
      <c r="D23" s="177"/>
      <c r="E23" s="177"/>
      <c r="F23" s="177"/>
      <c r="G23" s="177"/>
      <c r="H23" s="177"/>
      <c r="I23" s="177"/>
      <c r="J23" s="177"/>
      <c r="K23" s="177"/>
    </row>
    <row r="24" spans="1:11" ht="31.5" customHeight="1" x14ac:dyDescent="0.45">
      <c r="A24" s="22" t="s">
        <v>174</v>
      </c>
      <c r="B24" s="22" t="s">
        <v>175</v>
      </c>
      <c r="C24" s="2" t="s">
        <v>331</v>
      </c>
      <c r="D24" s="2"/>
      <c r="E24" s="2"/>
      <c r="F24" s="2"/>
      <c r="G24" s="2"/>
      <c r="H24" s="22" t="s">
        <v>332</v>
      </c>
      <c r="I24" s="22" t="s">
        <v>333</v>
      </c>
      <c r="J24" s="2" t="s">
        <v>55</v>
      </c>
      <c r="K24" s="2"/>
    </row>
    <row r="25" spans="1:11" ht="37.5" customHeight="1" x14ac:dyDescent="0.45">
      <c r="A25" s="127" t="s">
        <v>821</v>
      </c>
      <c r="B25" s="153">
        <f>H25/1000</f>
        <v>0.97499999999999998</v>
      </c>
      <c r="C25" s="178"/>
      <c r="D25" s="178"/>
      <c r="E25" s="178"/>
      <c r="F25" s="178"/>
      <c r="G25" s="178"/>
      <c r="H25" s="96">
        <v>975</v>
      </c>
      <c r="I25" s="97" t="s">
        <v>831</v>
      </c>
      <c r="J25" s="179" t="s">
        <v>832</v>
      </c>
      <c r="K25" s="179"/>
    </row>
    <row r="26" spans="1:11" ht="21" customHeight="1" x14ac:dyDescent="0.45">
      <c r="A26" s="23" t="s">
        <v>822</v>
      </c>
      <c r="B26" s="154">
        <f>B25^8</f>
        <v>0.81665180366226175</v>
      </c>
      <c r="C26" s="186" t="s">
        <v>833</v>
      </c>
      <c r="D26" s="186"/>
      <c r="E26" s="186"/>
      <c r="F26" s="186"/>
      <c r="G26" s="186"/>
      <c r="H26" s="186"/>
      <c r="I26" s="186"/>
      <c r="J26" s="186"/>
      <c r="K26" s="186"/>
    </row>
    <row r="27" spans="1:11" ht="21" customHeight="1" x14ac:dyDescent="0.45">
      <c r="A27" s="23" t="s">
        <v>823</v>
      </c>
      <c r="B27" s="154">
        <f>B25^12</f>
        <v>0.73799834582665091</v>
      </c>
      <c r="C27" s="186" t="s">
        <v>834</v>
      </c>
      <c r="D27" s="186"/>
      <c r="E27" s="186"/>
      <c r="F27" s="186"/>
      <c r="G27" s="186"/>
      <c r="H27" s="186"/>
      <c r="I27" s="186"/>
      <c r="J27" s="186"/>
      <c r="K27" s="186"/>
    </row>
    <row r="28" spans="1:11" ht="21" customHeight="1" x14ac:dyDescent="0.45">
      <c r="A28" s="23" t="s">
        <v>824</v>
      </c>
      <c r="B28" s="154">
        <f>B26/B27-1</f>
        <v>0.10657674001627893</v>
      </c>
      <c r="C28" s="186" t="s">
        <v>835</v>
      </c>
      <c r="D28" s="186"/>
      <c r="E28" s="186"/>
      <c r="F28" s="186"/>
      <c r="G28" s="186"/>
      <c r="H28" s="186"/>
      <c r="I28" s="186"/>
      <c r="J28" s="186"/>
      <c r="K28" s="186"/>
    </row>
    <row r="29" spans="1:11" ht="21" customHeight="1" x14ac:dyDescent="0.45">
      <c r="A29" s="23" t="s">
        <v>825</v>
      </c>
      <c r="B29" s="154">
        <f>$D$8</f>
        <v>-3.703703703703709E-2</v>
      </c>
      <c r="C29" s="186" t="s">
        <v>836</v>
      </c>
      <c r="D29" s="186"/>
      <c r="E29" s="186"/>
      <c r="F29" s="186"/>
      <c r="G29" s="186"/>
      <c r="H29" s="186"/>
      <c r="I29" s="186"/>
      <c r="J29" s="186"/>
      <c r="K29" s="186"/>
    </row>
    <row r="30" spans="1:11" ht="21" customHeight="1" x14ac:dyDescent="0.45">
      <c r="A30" s="25" t="s">
        <v>826</v>
      </c>
      <c r="B30" s="149">
        <f>(1+B28)*(1+B29)-1</f>
        <v>6.5592416311972324E-2</v>
      </c>
      <c r="C30" s="186" t="s">
        <v>837</v>
      </c>
      <c r="D30" s="186"/>
      <c r="E30" s="186"/>
      <c r="F30" s="186"/>
      <c r="G30" s="186"/>
      <c r="H30" s="186"/>
      <c r="I30" s="186"/>
      <c r="J30" s="186"/>
      <c r="K30" s="186"/>
    </row>
    <row r="31" spans="1:11" ht="21" customHeight="1" x14ac:dyDescent="0.45">
      <c r="A31" s="23" t="s">
        <v>838</v>
      </c>
      <c r="B31" s="155">
        <f>3/(1+B30)</f>
        <v>2.8153353515624997</v>
      </c>
      <c r="C31" s="186" t="s">
        <v>839</v>
      </c>
      <c r="D31" s="186"/>
      <c r="E31" s="186"/>
      <c r="F31" s="186"/>
      <c r="G31" s="186"/>
      <c r="H31" s="186"/>
      <c r="I31" s="186"/>
      <c r="J31" s="186"/>
      <c r="K31" s="186"/>
    </row>
    <row r="32" spans="1:11" ht="31.5" customHeight="1" x14ac:dyDescent="0.45">
      <c r="A32" s="32" t="s">
        <v>840</v>
      </c>
      <c r="B32" s="156">
        <f>B31-3</f>
        <v>-0.1846646484375003</v>
      </c>
      <c r="C32" s="186" t="s">
        <v>841</v>
      </c>
      <c r="D32" s="186"/>
      <c r="E32" s="186"/>
      <c r="F32" s="186"/>
      <c r="G32" s="186"/>
      <c r="H32" s="186"/>
      <c r="I32" s="186"/>
      <c r="J32" s="186"/>
      <c r="K32" s="186"/>
    </row>
    <row r="34" spans="1:11" ht="24" customHeight="1" x14ac:dyDescent="0.45">
      <c r="A34" s="12" t="s">
        <v>842</v>
      </c>
      <c r="B34" s="12"/>
      <c r="C34" s="12"/>
      <c r="D34" s="12"/>
      <c r="E34" s="12"/>
      <c r="F34" s="12"/>
      <c r="G34" s="12"/>
      <c r="H34" s="12"/>
      <c r="I34" s="12"/>
      <c r="J34" s="12"/>
      <c r="K34" s="12"/>
    </row>
    <row r="35" spans="1:11" ht="39.75" customHeight="1" x14ac:dyDescent="0.45">
      <c r="A35" s="19" t="s">
        <v>843</v>
      </c>
      <c r="B35" s="19" t="s">
        <v>844</v>
      </c>
      <c r="C35" s="19" t="s">
        <v>845</v>
      </c>
      <c r="D35" s="19" t="s">
        <v>846</v>
      </c>
      <c r="E35" s="19" t="s">
        <v>847</v>
      </c>
      <c r="F35" s="7" t="s">
        <v>55</v>
      </c>
      <c r="G35" s="7"/>
      <c r="H35" s="7"/>
      <c r="I35" s="7"/>
      <c r="J35" s="7"/>
      <c r="K35" s="7"/>
    </row>
    <row r="36" spans="1:11" ht="21" customHeight="1" x14ac:dyDescent="0.45">
      <c r="A36" s="35" t="s">
        <v>848</v>
      </c>
      <c r="B36" s="157">
        <f>(1-0.22)+0.22/3</f>
        <v>0.85333333333333339</v>
      </c>
      <c r="C36" s="157">
        <f>(1-0.3)+0.3/3</f>
        <v>0.79999999999999993</v>
      </c>
      <c r="D36" s="158">
        <f>C36/B36-1</f>
        <v>-6.2500000000000111E-2</v>
      </c>
      <c r="E36" s="159">
        <f>(D36-$D$36)*100</f>
        <v>0</v>
      </c>
      <c r="F36" s="175" t="s">
        <v>849</v>
      </c>
      <c r="G36" s="175"/>
      <c r="H36" s="175"/>
      <c r="I36" s="175"/>
      <c r="J36" s="175"/>
      <c r="K36" s="175"/>
    </row>
    <row r="37" spans="1:11" ht="21" customHeight="1" x14ac:dyDescent="0.45">
      <c r="A37" s="35" t="s">
        <v>850</v>
      </c>
      <c r="B37" s="157">
        <f>(1-0.22)+0.22/3</f>
        <v>0.85333333333333339</v>
      </c>
      <c r="C37" s="157">
        <f>(1-0.3)+0.3/2.9</f>
        <v>0.80344827586206891</v>
      </c>
      <c r="D37" s="158">
        <f>C37/B37-1</f>
        <v>-5.8459051724138011E-2</v>
      </c>
      <c r="E37" s="159">
        <f>(D37-$D$36)*100</f>
        <v>0.40409482758620996</v>
      </c>
      <c r="F37" s="175" t="s">
        <v>851</v>
      </c>
      <c r="G37" s="175"/>
      <c r="H37" s="175"/>
      <c r="I37" s="175"/>
      <c r="J37" s="175"/>
      <c r="K37" s="175"/>
    </row>
    <row r="38" spans="1:11" ht="21" customHeight="1" x14ac:dyDescent="0.45">
      <c r="A38" s="141" t="s">
        <v>852</v>
      </c>
      <c r="B38" s="157">
        <f>(1-0.22)+0.22/3</f>
        <v>0.85333333333333339</v>
      </c>
      <c r="C38" s="157">
        <f>(1-0.3)+0.3/2.8</f>
        <v>0.80714285714285716</v>
      </c>
      <c r="D38" s="152">
        <f>C38/B38-1</f>
        <v>-5.4129464285714302E-2</v>
      </c>
      <c r="E38" s="159">
        <f>(D38-$D$36)*100</f>
        <v>0.83705357142858094</v>
      </c>
      <c r="F38" s="175" t="s">
        <v>853</v>
      </c>
      <c r="G38" s="175"/>
      <c r="H38" s="175"/>
      <c r="I38" s="175"/>
      <c r="J38" s="175"/>
      <c r="K38" s="175"/>
    </row>
    <row r="39" spans="1:11" ht="21" customHeight="1" x14ac:dyDescent="0.45">
      <c r="A39" s="35" t="s">
        <v>854</v>
      </c>
      <c r="B39" s="157">
        <f>(1-0.22)+0.22/3</f>
        <v>0.85333333333333339</v>
      </c>
      <c r="C39" s="157">
        <f>(1-0.3)+0.3/2.7</f>
        <v>0.81111111111111112</v>
      </c>
      <c r="D39" s="158">
        <f>C39/B39-1</f>
        <v>-4.9479166666666741E-2</v>
      </c>
      <c r="E39" s="159">
        <f>(D39-$D$36)*100</f>
        <v>1.302083333333337</v>
      </c>
      <c r="F39" s="175" t="s">
        <v>855</v>
      </c>
      <c r="G39" s="175"/>
      <c r="H39" s="175"/>
      <c r="I39" s="175"/>
      <c r="J39" s="175"/>
      <c r="K39" s="175"/>
    </row>
    <row r="40" spans="1:11" ht="48" customHeight="1" x14ac:dyDescent="0.45">
      <c r="A40" s="8" t="s">
        <v>856</v>
      </c>
      <c r="B40" s="8"/>
      <c r="C40" s="8"/>
      <c r="D40" s="8"/>
      <c r="E40" s="8"/>
      <c r="F40" s="8"/>
      <c r="G40" s="8"/>
      <c r="H40" s="8"/>
      <c r="I40" s="8"/>
      <c r="J40" s="8"/>
      <c r="K40" s="8"/>
    </row>
    <row r="42" spans="1:11" ht="24" customHeight="1" x14ac:dyDescent="0.45">
      <c r="A42" s="12" t="s">
        <v>857</v>
      </c>
      <c r="B42" s="12"/>
      <c r="C42" s="12"/>
      <c r="D42" s="12"/>
      <c r="E42" s="12"/>
      <c r="F42" s="12"/>
      <c r="G42" s="12"/>
      <c r="H42" s="12"/>
      <c r="I42" s="12"/>
      <c r="J42" s="12"/>
      <c r="K42" s="12"/>
    </row>
    <row r="43" spans="1:11" ht="27" customHeight="1" x14ac:dyDescent="0.45">
      <c r="A43" s="19" t="s">
        <v>858</v>
      </c>
      <c r="B43" s="19" t="s">
        <v>523</v>
      </c>
      <c r="C43" s="7" t="s">
        <v>859</v>
      </c>
      <c r="D43" s="7"/>
      <c r="E43" s="7"/>
      <c r="F43" s="7"/>
      <c r="G43" s="7"/>
      <c r="H43" s="7"/>
      <c r="I43" s="7"/>
      <c r="J43" s="7"/>
      <c r="K43" s="7"/>
    </row>
    <row r="44" spans="1:11" ht="48" customHeight="1" x14ac:dyDescent="0.45">
      <c r="A44" s="119" t="s">
        <v>860</v>
      </c>
      <c r="B44" s="160" t="s">
        <v>861</v>
      </c>
      <c r="C44" s="200" t="s">
        <v>862</v>
      </c>
      <c r="D44" s="200"/>
      <c r="E44" s="200"/>
      <c r="F44" s="200"/>
      <c r="G44" s="200"/>
      <c r="H44" s="200"/>
      <c r="I44" s="200"/>
      <c r="J44" s="200"/>
      <c r="K44" s="200"/>
    </row>
    <row r="45" spans="1:11" ht="48" customHeight="1" x14ac:dyDescent="0.45">
      <c r="A45" s="119" t="s">
        <v>863</v>
      </c>
      <c r="B45" s="161" t="s">
        <v>864</v>
      </c>
      <c r="C45" s="200" t="s">
        <v>865</v>
      </c>
      <c r="D45" s="200"/>
      <c r="E45" s="200"/>
      <c r="F45" s="200"/>
      <c r="G45" s="200"/>
      <c r="H45" s="200"/>
      <c r="I45" s="200"/>
      <c r="J45" s="200"/>
      <c r="K45" s="200"/>
    </row>
    <row r="46" spans="1:11" ht="48" customHeight="1" x14ac:dyDescent="0.45">
      <c r="A46" s="119" t="s">
        <v>866</v>
      </c>
      <c r="B46" s="160" t="s">
        <v>867</v>
      </c>
      <c r="C46" s="200" t="s">
        <v>868</v>
      </c>
      <c r="D46" s="200"/>
      <c r="E46" s="200"/>
      <c r="F46" s="200"/>
      <c r="G46" s="200"/>
      <c r="H46" s="200"/>
      <c r="I46" s="200"/>
      <c r="J46" s="200"/>
      <c r="K46" s="200"/>
    </row>
    <row r="47" spans="1:11" ht="48" customHeight="1" x14ac:dyDescent="0.45">
      <c r="A47" s="119" t="s">
        <v>869</v>
      </c>
      <c r="B47" s="161" t="s">
        <v>84</v>
      </c>
      <c r="C47" s="200" t="s">
        <v>870</v>
      </c>
      <c r="D47" s="200"/>
      <c r="E47" s="200"/>
      <c r="F47" s="200"/>
      <c r="G47" s="200"/>
      <c r="H47" s="200"/>
      <c r="I47" s="200"/>
      <c r="J47" s="200"/>
      <c r="K47" s="200"/>
    </row>
    <row r="48" spans="1:11" ht="33" customHeight="1" x14ac:dyDescent="0.45">
      <c r="A48" s="165" t="s">
        <v>871</v>
      </c>
      <c r="B48" s="165"/>
      <c r="C48" s="165"/>
      <c r="D48" s="165"/>
      <c r="E48" s="165"/>
      <c r="F48" s="165"/>
      <c r="G48" s="165"/>
      <c r="H48" s="165"/>
      <c r="I48" s="165"/>
      <c r="J48" s="165"/>
      <c r="K48" s="165"/>
    </row>
    <row r="81" spans="1:11" ht="45" customHeight="1" x14ac:dyDescent="0.45">
      <c r="A81" s="11" t="s">
        <v>872</v>
      </c>
      <c r="B81" s="11"/>
      <c r="C81" s="11"/>
      <c r="D81" s="11"/>
      <c r="E81" s="11"/>
      <c r="F81" s="11"/>
      <c r="G81" s="11"/>
      <c r="H81" s="11"/>
      <c r="I81" s="11"/>
      <c r="J81" s="11"/>
      <c r="K81" s="11"/>
    </row>
  </sheetData>
  <mergeCells count="39">
    <mergeCell ref="C46:K46"/>
    <mergeCell ref="C47:K47"/>
    <mergeCell ref="A48:K48"/>
    <mergeCell ref="A81:K81"/>
    <mergeCell ref="A40:K40"/>
    <mergeCell ref="A42:K42"/>
    <mergeCell ref="C43:K43"/>
    <mergeCell ref="C44:K44"/>
    <mergeCell ref="C45:K45"/>
    <mergeCell ref="F35:K35"/>
    <mergeCell ref="F36:K36"/>
    <mergeCell ref="F37:K37"/>
    <mergeCell ref="F38:K38"/>
    <mergeCell ref="F39:K39"/>
    <mergeCell ref="C29:K29"/>
    <mergeCell ref="C30:K30"/>
    <mergeCell ref="C31:K31"/>
    <mergeCell ref="C32:K32"/>
    <mergeCell ref="A34:K34"/>
    <mergeCell ref="C25:G25"/>
    <mergeCell ref="J25:K25"/>
    <mergeCell ref="C26:K26"/>
    <mergeCell ref="C27:K27"/>
    <mergeCell ref="C28:K28"/>
    <mergeCell ref="A20:K20"/>
    <mergeCell ref="A22:K22"/>
    <mergeCell ref="A23:K23"/>
    <mergeCell ref="C24:G24"/>
    <mergeCell ref="J24:K24"/>
    <mergeCell ref="E8:I8"/>
    <mergeCell ref="E9:I9"/>
    <mergeCell ref="E10:I10"/>
    <mergeCell ref="A11:K11"/>
    <mergeCell ref="A13:K13"/>
    <mergeCell ref="A1:K1"/>
    <mergeCell ref="A2:K2"/>
    <mergeCell ref="A4:K4"/>
    <mergeCell ref="A6:K6"/>
    <mergeCell ref="E7:I7"/>
  </mergeCells>
  <phoneticPr fontId="59" type="noConversion"/>
  <pageMargins left="0.75" right="0.75" top="1" bottom="1" header="0.511811023622047" footer="0.511811023622047"/>
  <pageSetup paperSize="9" orientation="portrait" horizontalDpi="300" verticalDpi="300"/>
  <drawing r:id="rId1"/>
  <legacyDrawing r:id="rId2"/>
  <mc:AlternateContent xmlns:mc="http://schemas.openxmlformats.org/markup-compatibility/2006">
    <mc:Choice Requires="x14">
      <controls>
        <mc:AlternateContent xmlns:mc="http://schemas.openxmlformats.org/markup-compatibility/2006">
          <mc:Choice Requires="x14">
            <control shapeId="4097" r:id="rId3" name="Scroll Bar 1">
              <controlPr defaultSize="0" print="0" autoLine="0" autoPict="0" altText="">
                <anchor moveWithCells="1">
                  <from>
                    <xdr:col>2</xdr:col>
                    <xdr:colOff>19050</xdr:colOff>
                    <xdr:row>24</xdr:row>
                    <xdr:rowOff>23813</xdr:rowOff>
                  </from>
                  <to>
                    <xdr:col>7</xdr:col>
                    <xdr:colOff>0</xdr:colOff>
                    <xdr:row>25</xdr:row>
                    <xdr:rowOff>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B35C00"/>
  </sheetPr>
  <dimension ref="A1:L44"/>
  <sheetViews>
    <sheetView showGridLines="0" topLeftCell="A8" zoomScale="73" zoomScaleNormal="100" workbookViewId="0">
      <selection sqref="A1:L1"/>
    </sheetView>
  </sheetViews>
  <sheetFormatPr defaultColWidth="8.6640625" defaultRowHeight="14.25" x14ac:dyDescent="0.45"/>
  <cols>
    <col min="1" max="1" width="8" customWidth="1"/>
    <col min="2" max="2" width="30" customWidth="1"/>
    <col min="3" max="3" width="20" customWidth="1"/>
    <col min="4" max="4" width="14" customWidth="1"/>
  </cols>
  <sheetData>
    <row r="1" spans="1:12" ht="37.5" customHeight="1" x14ac:dyDescent="0.45">
      <c r="A1" s="14" t="s">
        <v>873</v>
      </c>
      <c r="B1" s="14"/>
      <c r="C1" s="14"/>
      <c r="D1" s="14"/>
      <c r="E1" s="14"/>
      <c r="F1" s="14"/>
      <c r="G1" s="14"/>
      <c r="H1" s="14"/>
      <c r="I1" s="14"/>
      <c r="J1" s="14"/>
      <c r="K1" s="14"/>
      <c r="L1" s="14"/>
    </row>
    <row r="2" spans="1:12" ht="19.5" customHeight="1" x14ac:dyDescent="0.45">
      <c r="A2" s="169" t="s">
        <v>874</v>
      </c>
      <c r="B2" s="169"/>
      <c r="C2" s="169"/>
      <c r="D2" s="169"/>
      <c r="E2" s="169"/>
      <c r="F2" s="169"/>
      <c r="G2" s="169"/>
      <c r="H2" s="169"/>
      <c r="I2" s="169"/>
      <c r="J2" s="169"/>
      <c r="K2" s="169"/>
      <c r="L2" s="169"/>
    </row>
    <row r="4" spans="1:12" ht="24" customHeight="1" x14ac:dyDescent="0.45">
      <c r="A4" s="3" t="s">
        <v>875</v>
      </c>
      <c r="B4" s="3"/>
      <c r="C4" s="3"/>
      <c r="D4" s="3"/>
      <c r="E4" s="3"/>
      <c r="F4" s="3"/>
      <c r="G4" s="3"/>
      <c r="H4" s="3"/>
      <c r="I4" s="3"/>
      <c r="J4" s="3"/>
      <c r="K4" s="3"/>
      <c r="L4" s="3"/>
    </row>
    <row r="5" spans="1:12" ht="27" customHeight="1" x14ac:dyDescent="0.45">
      <c r="A5" s="22" t="s">
        <v>876</v>
      </c>
      <c r="B5" s="22" t="s">
        <v>877</v>
      </c>
      <c r="C5" s="22" t="s">
        <v>878</v>
      </c>
      <c r="D5" s="22" t="s">
        <v>879</v>
      </c>
      <c r="E5" s="2" t="s">
        <v>880</v>
      </c>
      <c r="F5" s="2"/>
      <c r="G5" s="2"/>
      <c r="H5" s="2"/>
      <c r="I5" s="2"/>
      <c r="J5" s="2"/>
      <c r="K5" s="2"/>
      <c r="L5" s="2"/>
    </row>
    <row r="6" spans="1:12" ht="59.25" customHeight="1" x14ac:dyDescent="0.45">
      <c r="A6" s="122" t="s">
        <v>881</v>
      </c>
      <c r="B6" s="119" t="s">
        <v>882</v>
      </c>
      <c r="C6" s="28" t="s">
        <v>883</v>
      </c>
      <c r="D6" s="16" t="s">
        <v>884</v>
      </c>
      <c r="E6" s="200" t="s">
        <v>885</v>
      </c>
      <c r="F6" s="200"/>
      <c r="G6" s="200"/>
      <c r="H6" s="200"/>
      <c r="I6" s="200"/>
      <c r="J6" s="200"/>
      <c r="K6" s="200"/>
      <c r="L6" s="200"/>
    </row>
    <row r="7" spans="1:12" ht="48" customHeight="1" x14ac:dyDescent="0.45">
      <c r="A7" s="122" t="s">
        <v>886</v>
      </c>
      <c r="B7" s="119" t="s">
        <v>887</v>
      </c>
      <c r="C7" s="28" t="s">
        <v>888</v>
      </c>
      <c r="D7" s="16" t="s">
        <v>889</v>
      </c>
      <c r="E7" s="200" t="s">
        <v>890</v>
      </c>
      <c r="F7" s="200"/>
      <c r="G7" s="200"/>
      <c r="H7" s="200"/>
      <c r="I7" s="200"/>
      <c r="J7" s="200"/>
      <c r="K7" s="200"/>
      <c r="L7" s="200"/>
    </row>
    <row r="8" spans="1:12" ht="48" customHeight="1" x14ac:dyDescent="0.45">
      <c r="A8" s="122" t="s">
        <v>891</v>
      </c>
      <c r="B8" s="119" t="s">
        <v>892</v>
      </c>
      <c r="C8" s="28" t="s">
        <v>893</v>
      </c>
      <c r="D8" s="16" t="s">
        <v>889</v>
      </c>
      <c r="E8" s="200" t="s">
        <v>894</v>
      </c>
      <c r="F8" s="200"/>
      <c r="G8" s="200"/>
      <c r="H8" s="200"/>
      <c r="I8" s="200"/>
      <c r="J8" s="200"/>
      <c r="K8" s="200"/>
      <c r="L8" s="200"/>
    </row>
    <row r="9" spans="1:12" ht="48" customHeight="1" x14ac:dyDescent="0.45">
      <c r="A9" s="122" t="s">
        <v>895</v>
      </c>
      <c r="B9" s="119" t="s">
        <v>896</v>
      </c>
      <c r="C9" s="28" t="s">
        <v>897</v>
      </c>
      <c r="D9" s="16" t="s">
        <v>898</v>
      </c>
      <c r="E9" s="200" t="s">
        <v>899</v>
      </c>
      <c r="F9" s="200"/>
      <c r="G9" s="200"/>
      <c r="H9" s="200"/>
      <c r="I9" s="200"/>
      <c r="J9" s="200"/>
      <c r="K9" s="200"/>
      <c r="L9" s="200"/>
    </row>
    <row r="10" spans="1:12" ht="48" customHeight="1" x14ac:dyDescent="0.45">
      <c r="A10" s="122" t="s">
        <v>900</v>
      </c>
      <c r="B10" s="119" t="s">
        <v>901</v>
      </c>
      <c r="C10" s="28" t="s">
        <v>902</v>
      </c>
      <c r="D10" s="16" t="s">
        <v>889</v>
      </c>
      <c r="E10" s="200" t="s">
        <v>903</v>
      </c>
      <c r="F10" s="200"/>
      <c r="G10" s="200"/>
      <c r="H10" s="200"/>
      <c r="I10" s="200"/>
      <c r="J10" s="200"/>
      <c r="K10" s="200"/>
      <c r="L10" s="200"/>
    </row>
    <row r="11" spans="1:12" ht="48" customHeight="1" x14ac:dyDescent="0.45">
      <c r="A11" s="122" t="s">
        <v>904</v>
      </c>
      <c r="B11" s="119" t="s">
        <v>905</v>
      </c>
      <c r="C11" s="28" t="s">
        <v>906</v>
      </c>
      <c r="D11" s="162" t="s">
        <v>907</v>
      </c>
      <c r="E11" s="200" t="s">
        <v>908</v>
      </c>
      <c r="F11" s="200"/>
      <c r="G11" s="200"/>
      <c r="H11" s="200"/>
      <c r="I11" s="200"/>
      <c r="J11" s="200"/>
      <c r="K11" s="200"/>
      <c r="L11" s="200"/>
    </row>
    <row r="12" spans="1:12" ht="48" customHeight="1" x14ac:dyDescent="0.45">
      <c r="A12" s="122" t="s">
        <v>909</v>
      </c>
      <c r="B12" s="119" t="s">
        <v>910</v>
      </c>
      <c r="C12" s="28" t="s">
        <v>911</v>
      </c>
      <c r="D12" s="162" t="s">
        <v>907</v>
      </c>
      <c r="E12" s="200" t="s">
        <v>912</v>
      </c>
      <c r="F12" s="200"/>
      <c r="G12" s="200"/>
      <c r="H12" s="200"/>
      <c r="I12" s="200"/>
      <c r="J12" s="200"/>
      <c r="K12" s="200"/>
      <c r="L12" s="200"/>
    </row>
    <row r="13" spans="1:12" ht="48" customHeight="1" x14ac:dyDescent="0.45">
      <c r="A13" s="122" t="s">
        <v>913</v>
      </c>
      <c r="B13" s="119" t="s">
        <v>914</v>
      </c>
      <c r="C13" s="28" t="s">
        <v>915</v>
      </c>
      <c r="D13" s="16" t="s">
        <v>889</v>
      </c>
      <c r="E13" s="200" t="s">
        <v>916</v>
      </c>
      <c r="F13" s="200"/>
      <c r="G13" s="200"/>
      <c r="H13" s="200"/>
      <c r="I13" s="200"/>
      <c r="J13" s="200"/>
      <c r="K13" s="200"/>
      <c r="L13" s="200"/>
    </row>
    <row r="15" spans="1:12" ht="24" customHeight="1" x14ac:dyDescent="0.45">
      <c r="A15" s="12" t="s">
        <v>917</v>
      </c>
      <c r="B15" s="12"/>
      <c r="C15" s="12"/>
      <c r="D15" s="12"/>
      <c r="E15" s="12"/>
      <c r="F15" s="12"/>
      <c r="G15" s="12"/>
      <c r="H15" s="12"/>
      <c r="I15" s="12"/>
      <c r="J15" s="12"/>
      <c r="K15" s="12"/>
      <c r="L15" s="12"/>
    </row>
    <row r="16" spans="1:12" ht="27" customHeight="1" x14ac:dyDescent="0.45">
      <c r="A16" s="19" t="s">
        <v>594</v>
      </c>
      <c r="B16" s="19" t="s">
        <v>877</v>
      </c>
      <c r="C16" s="19" t="s">
        <v>878</v>
      </c>
      <c r="D16" s="19" t="s">
        <v>918</v>
      </c>
      <c r="E16" s="7" t="s">
        <v>919</v>
      </c>
      <c r="F16" s="7"/>
      <c r="G16" s="7"/>
      <c r="H16" s="7"/>
      <c r="I16" s="7"/>
      <c r="J16" s="7"/>
      <c r="K16" s="7"/>
      <c r="L16" s="7"/>
    </row>
    <row r="17" spans="1:12" ht="33" customHeight="1" x14ac:dyDescent="0.45">
      <c r="A17" s="35" t="s">
        <v>920</v>
      </c>
      <c r="B17" s="28" t="s">
        <v>921</v>
      </c>
      <c r="C17" s="28" t="s">
        <v>922</v>
      </c>
      <c r="D17" s="163" t="s">
        <v>923</v>
      </c>
      <c r="E17" s="200" t="s">
        <v>924</v>
      </c>
      <c r="F17" s="200"/>
      <c r="G17" s="200"/>
      <c r="H17" s="200"/>
      <c r="I17" s="200"/>
      <c r="J17" s="200"/>
      <c r="K17" s="200"/>
      <c r="L17" s="200"/>
    </row>
    <row r="18" spans="1:12" ht="33" customHeight="1" x14ac:dyDescent="0.45">
      <c r="A18" s="35" t="s">
        <v>925</v>
      </c>
      <c r="B18" s="28" t="s">
        <v>926</v>
      </c>
      <c r="C18" s="28" t="s">
        <v>927</v>
      </c>
      <c r="D18" s="163" t="s">
        <v>923</v>
      </c>
      <c r="E18" s="200" t="s">
        <v>928</v>
      </c>
      <c r="F18" s="200"/>
      <c r="G18" s="200"/>
      <c r="H18" s="200"/>
      <c r="I18" s="200"/>
      <c r="J18" s="200"/>
      <c r="K18" s="200"/>
      <c r="L18" s="200"/>
    </row>
    <row r="19" spans="1:12" ht="45" customHeight="1" x14ac:dyDescent="0.45">
      <c r="A19" s="35" t="s">
        <v>929</v>
      </c>
      <c r="B19" s="28" t="s">
        <v>930</v>
      </c>
      <c r="C19" s="28" t="s">
        <v>931</v>
      </c>
      <c r="D19" s="163" t="s">
        <v>923</v>
      </c>
      <c r="E19" s="200" t="s">
        <v>932</v>
      </c>
      <c r="F19" s="200"/>
      <c r="G19" s="200"/>
      <c r="H19" s="200"/>
      <c r="I19" s="200"/>
      <c r="J19" s="200"/>
      <c r="K19" s="200"/>
      <c r="L19" s="200"/>
    </row>
    <row r="20" spans="1:12" ht="33" customHeight="1" x14ac:dyDescent="0.45">
      <c r="A20" s="35" t="s">
        <v>933</v>
      </c>
      <c r="B20" s="28" t="s">
        <v>934</v>
      </c>
      <c r="C20" s="28" t="s">
        <v>935</v>
      </c>
      <c r="D20" s="163" t="s">
        <v>936</v>
      </c>
      <c r="E20" s="200" t="s">
        <v>937</v>
      </c>
      <c r="F20" s="200"/>
      <c r="G20" s="200"/>
      <c r="H20" s="200"/>
      <c r="I20" s="200"/>
      <c r="J20" s="200"/>
      <c r="K20" s="200"/>
      <c r="L20" s="200"/>
    </row>
    <row r="21" spans="1:12" ht="59.25" customHeight="1" x14ac:dyDescent="0.45">
      <c r="A21" s="35" t="s">
        <v>938</v>
      </c>
      <c r="B21" s="28" t="s">
        <v>939</v>
      </c>
      <c r="C21" s="28" t="s">
        <v>940</v>
      </c>
      <c r="D21" s="163" t="s">
        <v>936</v>
      </c>
      <c r="E21" s="200" t="s">
        <v>941</v>
      </c>
      <c r="F21" s="200"/>
      <c r="G21" s="200"/>
      <c r="H21" s="200"/>
      <c r="I21" s="200"/>
      <c r="J21" s="200"/>
      <c r="K21" s="200"/>
      <c r="L21" s="200"/>
    </row>
    <row r="22" spans="1:12" ht="45" customHeight="1" x14ac:dyDescent="0.45">
      <c r="A22" s="35" t="s">
        <v>942</v>
      </c>
      <c r="B22" s="28" t="s">
        <v>943</v>
      </c>
      <c r="C22" s="28" t="s">
        <v>944</v>
      </c>
      <c r="D22" s="163" t="s">
        <v>936</v>
      </c>
      <c r="E22" s="200" t="s">
        <v>945</v>
      </c>
      <c r="F22" s="200"/>
      <c r="G22" s="200"/>
      <c r="H22" s="200"/>
      <c r="I22" s="200"/>
      <c r="J22" s="200"/>
      <c r="K22" s="200"/>
      <c r="L22" s="200"/>
    </row>
    <row r="23" spans="1:12" ht="33" customHeight="1" x14ac:dyDescent="0.45">
      <c r="A23" s="35" t="s">
        <v>946</v>
      </c>
      <c r="B23" s="28" t="s">
        <v>947</v>
      </c>
      <c r="C23" s="28" t="s">
        <v>948</v>
      </c>
      <c r="D23" s="163" t="s">
        <v>949</v>
      </c>
      <c r="E23" s="200" t="s">
        <v>950</v>
      </c>
      <c r="F23" s="200"/>
      <c r="G23" s="200"/>
      <c r="H23" s="200"/>
      <c r="I23" s="200"/>
      <c r="J23" s="200"/>
      <c r="K23" s="200"/>
      <c r="L23" s="200"/>
    </row>
    <row r="24" spans="1:12" ht="33" customHeight="1" x14ac:dyDescent="0.45">
      <c r="A24" s="35" t="s">
        <v>951</v>
      </c>
      <c r="B24" s="28" t="s">
        <v>952</v>
      </c>
      <c r="C24" s="28" t="s">
        <v>953</v>
      </c>
      <c r="D24" s="163" t="s">
        <v>949</v>
      </c>
      <c r="E24" s="200" t="s">
        <v>954</v>
      </c>
      <c r="F24" s="200"/>
      <c r="G24" s="200"/>
      <c r="H24" s="200"/>
      <c r="I24" s="200"/>
      <c r="J24" s="200"/>
      <c r="K24" s="200"/>
      <c r="L24" s="200"/>
    </row>
    <row r="26" spans="1:12" ht="24" customHeight="1" x14ac:dyDescent="0.45">
      <c r="A26" s="3" t="s">
        <v>955</v>
      </c>
      <c r="B26" s="3"/>
      <c r="C26" s="3"/>
      <c r="D26" s="3"/>
      <c r="E26" s="3"/>
      <c r="F26" s="3"/>
      <c r="G26" s="3"/>
      <c r="H26" s="3"/>
      <c r="I26" s="3"/>
      <c r="J26" s="3"/>
      <c r="K26" s="3"/>
      <c r="L26" s="3"/>
    </row>
    <row r="27" spans="1:12" ht="31.5" customHeight="1" x14ac:dyDescent="0.45">
      <c r="A27" s="165" t="s">
        <v>956</v>
      </c>
      <c r="B27" s="165"/>
      <c r="C27" s="165"/>
      <c r="D27" s="165"/>
      <c r="E27" s="165"/>
      <c r="F27" s="165"/>
      <c r="G27" s="165"/>
      <c r="H27" s="165"/>
      <c r="I27" s="165"/>
      <c r="J27" s="165"/>
      <c r="K27" s="165"/>
      <c r="L27" s="165"/>
    </row>
    <row r="28" spans="1:12" ht="45" customHeight="1" x14ac:dyDescent="0.45">
      <c r="A28" s="11" t="s">
        <v>957</v>
      </c>
      <c r="B28" s="11"/>
      <c r="C28" s="11"/>
      <c r="D28" s="11"/>
      <c r="E28" s="11"/>
      <c r="F28" s="11"/>
      <c r="G28" s="11"/>
      <c r="H28" s="11"/>
      <c r="I28" s="11"/>
      <c r="J28" s="11"/>
      <c r="K28" s="11"/>
      <c r="L28" s="11"/>
    </row>
    <row r="29" spans="1:12" ht="31.5" customHeight="1" x14ac:dyDescent="0.45">
      <c r="A29" s="166" t="s">
        <v>958</v>
      </c>
      <c r="B29" s="166"/>
      <c r="C29" s="166"/>
      <c r="D29" s="166"/>
      <c r="E29" s="166"/>
      <c r="F29" s="166"/>
      <c r="G29" s="166"/>
      <c r="H29" s="166"/>
      <c r="I29" s="166"/>
      <c r="J29" s="166"/>
      <c r="K29" s="166"/>
      <c r="L29" s="166"/>
    </row>
    <row r="30" spans="1:12" ht="19.5" customHeight="1" x14ac:dyDescent="0.45">
      <c r="A30" s="8" t="s">
        <v>959</v>
      </c>
      <c r="B30" s="8"/>
      <c r="C30" s="8"/>
      <c r="D30" s="8"/>
      <c r="E30" s="8"/>
      <c r="F30" s="8"/>
      <c r="G30" s="8"/>
      <c r="H30" s="8"/>
      <c r="I30" s="8"/>
      <c r="J30" s="8"/>
      <c r="K30" s="8"/>
      <c r="L30" s="8"/>
    </row>
    <row r="32" spans="1:12" ht="24" customHeight="1" x14ac:dyDescent="0.45">
      <c r="A32" s="12" t="s">
        <v>960</v>
      </c>
      <c r="B32" s="12"/>
      <c r="C32" s="12"/>
      <c r="D32" s="12"/>
      <c r="E32" s="12"/>
      <c r="F32" s="12"/>
      <c r="G32" s="12"/>
      <c r="H32" s="12"/>
      <c r="I32" s="12"/>
      <c r="J32" s="12"/>
      <c r="K32" s="12"/>
      <c r="L32" s="12"/>
    </row>
    <row r="33" spans="1:12" ht="27" customHeight="1" x14ac:dyDescent="0.45">
      <c r="A33" s="19" t="s">
        <v>961</v>
      </c>
      <c r="B33" s="7" t="s">
        <v>962</v>
      </c>
      <c r="C33" s="7"/>
      <c r="D33" s="7"/>
      <c r="E33" s="7"/>
      <c r="F33" s="7" t="s">
        <v>523</v>
      </c>
      <c r="G33" s="7"/>
      <c r="H33" s="7"/>
      <c r="I33" s="7"/>
      <c r="J33" s="7"/>
      <c r="K33" s="7"/>
      <c r="L33" s="7"/>
    </row>
    <row r="34" spans="1:12" ht="87" customHeight="1" x14ac:dyDescent="0.45">
      <c r="A34" s="119" t="s">
        <v>963</v>
      </c>
      <c r="B34" s="200" t="s">
        <v>964</v>
      </c>
      <c r="C34" s="200"/>
      <c r="D34" s="200"/>
      <c r="E34" s="200"/>
      <c r="F34" s="201" t="s">
        <v>965</v>
      </c>
      <c r="G34" s="201"/>
      <c r="H34" s="201"/>
      <c r="I34" s="201"/>
      <c r="J34" s="201"/>
      <c r="K34" s="201"/>
      <c r="L34" s="201"/>
    </row>
    <row r="35" spans="1:12" ht="39.75" customHeight="1" x14ac:dyDescent="0.45">
      <c r="A35" s="119" t="s">
        <v>966</v>
      </c>
      <c r="B35" s="200" t="s">
        <v>967</v>
      </c>
      <c r="C35" s="200"/>
      <c r="D35" s="200"/>
      <c r="E35" s="200"/>
      <c r="F35" s="201" t="s">
        <v>968</v>
      </c>
      <c r="G35" s="201"/>
      <c r="H35" s="201"/>
      <c r="I35" s="201"/>
      <c r="J35" s="201"/>
      <c r="K35" s="201"/>
      <c r="L35" s="201"/>
    </row>
    <row r="36" spans="1:12" ht="59.25" customHeight="1" x14ac:dyDescent="0.45">
      <c r="A36" s="119" t="s">
        <v>969</v>
      </c>
      <c r="B36" s="200" t="s">
        <v>970</v>
      </c>
      <c r="C36" s="200"/>
      <c r="D36" s="200"/>
      <c r="E36" s="200"/>
      <c r="F36" s="201" t="s">
        <v>968</v>
      </c>
      <c r="G36" s="201"/>
      <c r="H36" s="201"/>
      <c r="I36" s="201"/>
      <c r="J36" s="201"/>
      <c r="K36" s="201"/>
      <c r="L36" s="201"/>
    </row>
    <row r="37" spans="1:12" ht="59.25" customHeight="1" x14ac:dyDescent="0.45">
      <c r="A37" s="119" t="s">
        <v>971</v>
      </c>
      <c r="B37" s="200" t="s">
        <v>972</v>
      </c>
      <c r="C37" s="200"/>
      <c r="D37" s="200"/>
      <c r="E37" s="200"/>
      <c r="F37" s="202" t="s">
        <v>973</v>
      </c>
      <c r="G37" s="202"/>
      <c r="H37" s="202"/>
      <c r="I37" s="202"/>
      <c r="J37" s="202"/>
      <c r="K37" s="202"/>
      <c r="L37" s="202"/>
    </row>
    <row r="38" spans="1:12" ht="87" customHeight="1" x14ac:dyDescent="0.45">
      <c r="A38" s="119" t="s">
        <v>974</v>
      </c>
      <c r="B38" s="200" t="s">
        <v>975</v>
      </c>
      <c r="C38" s="200"/>
      <c r="D38" s="200"/>
      <c r="E38" s="200"/>
      <c r="F38" s="201" t="s">
        <v>976</v>
      </c>
      <c r="G38" s="201"/>
      <c r="H38" s="201"/>
      <c r="I38" s="201"/>
      <c r="J38" s="201"/>
      <c r="K38" s="201"/>
      <c r="L38" s="201"/>
    </row>
    <row r="40" spans="1:12" ht="24" customHeight="1" x14ac:dyDescent="0.45">
      <c r="A40" s="12" t="s">
        <v>977</v>
      </c>
      <c r="B40" s="12"/>
      <c r="C40" s="12"/>
      <c r="D40" s="12"/>
      <c r="E40" s="12"/>
      <c r="F40" s="12"/>
      <c r="G40" s="12"/>
      <c r="H40" s="12"/>
      <c r="I40" s="12"/>
      <c r="J40" s="12"/>
      <c r="K40" s="12"/>
      <c r="L40" s="12"/>
    </row>
    <row r="41" spans="1:12" ht="45" customHeight="1" x14ac:dyDescent="0.45">
      <c r="A41" s="8" t="s">
        <v>978</v>
      </c>
      <c r="B41" s="8"/>
      <c r="C41" s="8"/>
      <c r="D41" s="8"/>
      <c r="E41" s="8"/>
      <c r="F41" s="8"/>
      <c r="G41" s="8"/>
      <c r="H41" s="8"/>
      <c r="I41" s="8"/>
      <c r="J41" s="8"/>
      <c r="K41" s="8"/>
      <c r="L41" s="8"/>
    </row>
    <row r="42" spans="1:12" ht="45" customHeight="1" x14ac:dyDescent="0.45">
      <c r="A42" s="8" t="s">
        <v>979</v>
      </c>
      <c r="B42" s="8"/>
      <c r="C42" s="8"/>
      <c r="D42" s="8"/>
      <c r="E42" s="8"/>
      <c r="F42" s="8"/>
      <c r="G42" s="8"/>
      <c r="H42" s="8"/>
      <c r="I42" s="8"/>
      <c r="J42" s="8"/>
      <c r="K42" s="8"/>
      <c r="L42" s="8"/>
    </row>
    <row r="43" spans="1:12" ht="45" customHeight="1" x14ac:dyDescent="0.45">
      <c r="A43" s="165" t="s">
        <v>980</v>
      </c>
      <c r="B43" s="165"/>
      <c r="C43" s="165"/>
      <c r="D43" s="165"/>
      <c r="E43" s="165"/>
      <c r="F43" s="165"/>
      <c r="G43" s="165"/>
      <c r="H43" s="165"/>
      <c r="I43" s="165"/>
      <c r="J43" s="165"/>
      <c r="K43" s="165"/>
      <c r="L43" s="165"/>
    </row>
    <row r="44" spans="1:12" ht="45" customHeight="1" x14ac:dyDescent="0.45">
      <c r="A44" s="166" t="s">
        <v>981</v>
      </c>
      <c r="B44" s="166"/>
      <c r="C44" s="166"/>
      <c r="D44" s="166"/>
      <c r="E44" s="166"/>
      <c r="F44" s="166"/>
      <c r="G44" s="166"/>
      <c r="H44" s="166"/>
      <c r="I44" s="166"/>
      <c r="J44" s="166"/>
      <c r="K44" s="166"/>
      <c r="L44" s="166"/>
    </row>
  </sheetData>
  <mergeCells count="45">
    <mergeCell ref="A41:L41"/>
    <mergeCell ref="A42:L42"/>
    <mergeCell ref="A43:L43"/>
    <mergeCell ref="A44:L44"/>
    <mergeCell ref="B37:E37"/>
    <mergeCell ref="F37:L37"/>
    <mergeCell ref="B38:E38"/>
    <mergeCell ref="F38:L38"/>
    <mergeCell ref="A40:L40"/>
    <mergeCell ref="B34:E34"/>
    <mergeCell ref="F34:L34"/>
    <mergeCell ref="B35:E35"/>
    <mergeCell ref="F35:L35"/>
    <mergeCell ref="B36:E36"/>
    <mergeCell ref="F36:L36"/>
    <mergeCell ref="A29:L29"/>
    <mergeCell ref="A30:L30"/>
    <mergeCell ref="A32:L32"/>
    <mergeCell ref="B33:E33"/>
    <mergeCell ref="F33:L33"/>
    <mergeCell ref="E23:L23"/>
    <mergeCell ref="E24:L24"/>
    <mergeCell ref="A26:L26"/>
    <mergeCell ref="A27:L27"/>
    <mergeCell ref="A28:L28"/>
    <mergeCell ref="E18:L18"/>
    <mergeCell ref="E19:L19"/>
    <mergeCell ref="E20:L20"/>
    <mergeCell ref="E21:L21"/>
    <mergeCell ref="E22:L22"/>
    <mergeCell ref="E12:L12"/>
    <mergeCell ref="E13:L13"/>
    <mergeCell ref="A15:L15"/>
    <mergeCell ref="E16:L16"/>
    <mergeCell ref="E17:L17"/>
    <mergeCell ref="E7:L7"/>
    <mergeCell ref="E8:L8"/>
    <mergeCell ref="E9:L9"/>
    <mergeCell ref="E10:L10"/>
    <mergeCell ref="E11:L11"/>
    <mergeCell ref="A1:L1"/>
    <mergeCell ref="A2:L2"/>
    <mergeCell ref="A4:L4"/>
    <mergeCell ref="E5:L5"/>
    <mergeCell ref="E6:L6"/>
  </mergeCells>
  <phoneticPr fontId="59" type="noConversion"/>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工作表</vt:lpstr>
      </vt:variant>
      <vt:variant>
        <vt:i4>9</vt:i4>
      </vt:variant>
    </vt:vector>
  </HeadingPairs>
  <TitlesOfParts>
    <vt:vector size="9" baseType="lpstr">
      <vt:lpstr>00-Overview</vt:lpstr>
      <vt:lpstr>01-DRAM-Model</vt:lpstr>
      <vt:lpstr>02-NAND-Model</vt:lpstr>
      <vt:lpstr>03-Demand-BottomUp</vt:lpstr>
      <vt:lpstr>04-NVDA-Calibration</vt:lpstr>
      <vt:lpstr>05-Audit-v3</vt:lpstr>
      <vt:lpstr>06-Inventory-Burn-v4</vt:lpstr>
      <vt:lpstr>07-HBM-8High-Math-v4</vt:lpstr>
      <vt:lpstr>08-Tracking-List-v4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The Arithmetic of the Gap v4.0 - Memory Supply-Demand Model (Inventory-Exhaustion Edition)</dc:title>
  <dc:subject>DRAM / NAND / HBM supply-demand model, five scenarios x three years, slider-driven</dc:subject>
  <dc:creator>Oscar (Baichuan Zhang)</dc:creator>
  <cp:keywords>DRAM;NAND;HBM;memory;supply-demand;equity research</cp:keywords>
  <dc:description>Computable workbook accompanying The Arithmetic of the Gap v4.0. Data cut-off 2026-09-08. Sheets 00-05 are the v3.0 model in English; sheets 06-08 add the v4.0 inventory-exhaustion corrections. Research and study only; not investment advice.</dc:description>
  <cp:lastModifiedBy>baichuan zhang</cp:lastModifiedBy>
  <dcterms:modified xsi:type="dcterms:W3CDTF">2026-09-10T03:39:39Z</dcterms:modified>
</cp:coreProperties>
</file>