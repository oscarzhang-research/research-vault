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ctrlProps/ctrlProp29.xml" ContentType="application/vnd.ms-excel.controlproperties+xml"/>
  <Override PartName="/xl/charts/chart1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worksheets/sheet12.xml" ContentType="application/vnd.openxmlformats-officedocument.spreadsheetml.worksheet+xml"/>
  <Override PartName="/xl/drawings/drawing7.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Investment\知识库\01_投资决策与前瞻\模型\"/>
    </mc:Choice>
  </mc:AlternateContent>
  <xr:revisionPtr revIDLastSave="0" documentId="13_ncr:1_{0785A16F-B89F-4A8C-9A1D-6678A6220B06}" xr6:coauthVersionLast="47" xr6:coauthVersionMax="47" xr10:uidLastSave="{00000000-0000-0000-0000-000000000000}"/>
  <bookViews>
    <workbookView xWindow="-98" yWindow="-98" windowWidth="21795" windowHeight="12975" tabRatio="500" firstSheet="0" activeTab="0" xr2:uid="{00000000-000D-0000-FFFF-FFFF00000000}"/>
  </bookViews>
  <sheets>
    <sheet name="00-Overview" sheetId="1" r:id="rId1"/>
    <sheet name="01-DRAM-Model" sheetId="2" r:id="rId2"/>
    <sheet name="02-NAND-Model" sheetId="3" r:id="rId3"/>
    <sheet name="03-Demand-BottomUp" sheetId="4" r:id="rId4"/>
    <sheet name="04-NVDA-Calibration" sheetId="5" r:id="rId5"/>
    <sheet name="05-Audit-v3" sheetId="6" r:id="rId6"/>
    <sheet name="06-Inventory-Burn-v4" sheetId="7" r:id="rId7"/>
    <sheet name="07-HBM-8High-Math-v4" sheetId="8" r:id="rId8"/>
    <sheet name="08-Tracking-List-v4" sheetId="9" r:id="rId9"/>
    <sheet name="09-v4.1-Corrections" sheetId="10" r:id="rId14"/>
    <sheet name="10-Changelog" sheetId="11" r:id="rId15"/>
    <sheet name="11-v4.2-Recalibration" sheetId="12" r:id="rId16"/>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<sst xmlns="http://schemas.openxmlformats.org/spreadsheetml/2006/main" count="2296" uniqueCount="1947">
  <si>
    <t>The Arithmetic of the Gap  ·  Memory Supply–Demand Model</t>
  </si>
  <si>
    <t>v4.0 Inventory-Exhaustion Edition  |  DRAM / NAND / HBM  |  flow basis (growth gap) + stock basis (horizontal adequacy)  |  data cut-off 2026-09-08  |  everything new in v4.0 is marked in amber</t>
  </si>
  <si>
    <t>How to use this workbook — read this first</t>
  </si>
  <si>
    <t>This workbook is the computable version of The Arithmetic of the Gap. Every number is a live formula. Sheets 01 and 02 each carry a PARAMETER CONSOLE at the bottom: drag a slider and the whole sheet and every chart recalculates. Sheet 06 carries a second console holding the three v4.0 corrections. This is a framework whose parameters you can replace and recompute — not a forecast.</t>
  </si>
  <si>
    <t>Blue text</t>
  </si>
  <si>
    <t>Editable input cell (slider link cells can also be typed into directly)</t>
  </si>
  <si>
    <t>Black text</t>
  </si>
  <si>
    <t>Formula output — do not overwrite</t>
  </si>
  <si>
    <t>Green text</t>
  </si>
  <si>
    <t>Cross-sheet reference</t>
  </si>
  <si>
    <t>Yellow fill</t>
  </si>
  <si>
    <t>Key assumption / current console value — the model is most sensitive to these</t>
  </si>
  <si>
    <t>Pink fill</t>
  </si>
  <si>
    <t>Model defect or basis risk found in the audit</t>
  </si>
  <si>
    <t>Amber fill</t>
  </si>
  <si>
    <t>Added or revised in v4.0 (2026-09-08) — new relative to the v3.0 workbook</t>
  </si>
  <si>
    <t>01   The two bit-supply formulas: everything starts here</t>
  </si>
  <si>
    <t>DRAM</t>
  </si>
  <si>
    <t>Effective bits = wafer starts × net good die per wafer × bits per die × yield × (1 − HBM wafer penalty)</t>
  </si>
  <si>
    <t>Growth form (used by this model): bit growth = (1 + wafer capacity growth) × (1 + node bit uplift) × (1 − HBM crowd-out) − 1</t>
  </si>
  <si>
    <t>NAND</t>
  </si>
  <si>
    <t>Effective bits = wafer starts × die per wafer × layer count × bits per cell × yield</t>
  </si>
  <si>
    <t>Growth form (used by this model): bit growth = (1 + wafer capacity growth) × (1 + layer uplift) × (1 + QLC mix uplift) − 1</t>
  </si>
  <si>
    <t>★ The whole difference sits in this line: NAND has two levers that need no new fab (layer stacking 232 → 400+ = +72%, TLC → QLC = +33%, 2.29× in theory when compounded); DRAM has none. That is the source of every conclusion below — the same demand meeting two different supply elasticities must produce two price paths.</t>
  </si>
  <si>
    <t>02   Four layers of 'gap': which one this model computes</t>
  </si>
  <si>
    <t>In the market the words 'memory gap' point to at least four different things whose values differ by up to 20×. Mixing them up is the root of most misreadings.</t>
  </si>
  <si>
    <t>Layer</t>
  </si>
  <si>
    <t>Basis</t>
  </si>
  <si>
    <t>Definition</t>
  </si>
  <si>
    <t>2026 value</t>
  </si>
  <si>
    <t>How this model uses it</t>
  </si>
  <si>
    <t>①</t>
  </si>
  <si>
    <t>LATENT</t>
  </si>
  <si>
    <t>What customers want but cannot buy (quota method). Micron: able to supply only 50%–2/3 of key-customer demand; buyers receive 60–70% of what they request. Known distortion: customers know they will be cut, so they systematically over-request.</t>
  </si>
  <si>
    <t>−30% ~ −40%</t>
  </si>
  <si>
    <t>Upper-bound reference, not used</t>
  </si>
  <si>
    <t>②</t>
  </si>
  <si>
    <t>STOCK</t>
  </si>
  <si>
    <t>Cumulative horizontal gap under an unconstrained-demand assumption. The v2.0 basis. Narrower than ① (over-requests removed), wider than ③ (demand destruction not removed).</t>
  </si>
  <si>
    <t>−13.6% (med. −14.6%)</t>
  </si>
  <si>
    <t>★ Primary basis through v4.0; in v4.1 the level headline is anchored externally (sheet 09 [C])</t>
  </si>
  <si>
    <t>③</t>
  </si>
  <si>
    <t>CLEARED</t>
  </si>
  <si>
    <t>The residual gap actually transacted after prices have risen and part of demand has been priced out. TrendForce's published 'sufficiency ratio' is this one.</t>
  </si>
  <si>
    <t>−1% ~ −2%</t>
  </si>
  <si>
    <t>External benchmark</t>
  </si>
  <si>
    <t>④</t>
  </si>
  <si>
    <t>FLOW</t>
  </si>
  <si>
    <t>The annual rate of change of the gap — the first derivative of ②. The v1.0 basis. It tells you whether the gap is widening or narrowing, not how big it is.</t>
  </si>
  <si>
    <t>−9.1%</t>
  </si>
  <si>
    <t>★ Secondary basis of this model</t>
  </si>
  <si>
    <t>Chain of logic: ① latent −(30~40)%  →  [strip customer over-requests]  →  ② stock −(15~16)%  →  [strip the consumer-electronics demand priced out: handsets −15~20%, notebooks −14.8%]  →  ③ cleared −(1~2)%.  ④ is not on this chain — it is the first derivative of ②.</t>
  </si>
  <si>
    <t>03   Inventory: the only physical anchor of the stock basis   ▲ rewritten in v4.0</t>
  </si>
  <si>
    <t>Point in time</t>
  </si>
  <si>
    <t>Inventory weeks</t>
  </si>
  <si>
    <t>Note</t>
  </si>
  <si>
    <t>Implication</t>
  </si>
  <si>
    <t>Early 2023</t>
  </si>
  <si>
    <t>Peak of the glut — the legacy of 2020–22 double-ordering and the pandemic demand reversal.</t>
  </si>
  <si>
    <t>End 2025 Q3</t>
  </si>
  <si>
    <t>Matched the 2018 super-cycle low; SK hynix and Micron roughly 2 weeks each.</t>
  </si>
  <si>
    <t>Three-year drawdown of 27.7 weeks = 53% of one full year of demand</t>
  </si>
  <si>
    <t>Nov 2025 (SK hynix DRAM)</t>
  </si>
  <si>
    <t>Korean press. Added in v4.0 — fills the gap between the 3.3-week and the sub-10-day readings.</t>
  </si>
  <si>
    <t>July 2026</t>
  </si>
  <si>
    <t>Had recovered slightly off the bottom (3–5 week range, midpoint taken).</t>
  </si>
  <si>
    <t>2026 Q3</t>
  </si>
  <si>
    <t>★ &lt; 10 days. KB Securities, 2026-09-07, head of research Kim Dong-won. This is the single reading that changes the v4.0 conclusion.</t>
  </si>
  <si>
    <t>2026 shipments contained roughly 4.9% of bits released from inventory — a source that is now exhausted</t>
  </si>
  <si>
    <t>Industry 'healthy'</t>
  </si>
  <si>
    <t>30–45 days = 4.3–6.4 weeks (supply-chain benchmark cited by KB). Added in v4.0.</t>
  </si>
  <si>
    <t>'Normal' used by the model</t>
  </si>
  <si>
    <t>Industry long-run mean. ★ The single most fragile parameter in this model.</t>
  </si>
  <si>
    <t>Feeds only the reference start point (01 row 13). Gap in use: 01 row 14 slider; restock: typed in 01!B111.</t>
  </si>
  <si>
    <t>★★ v4.0: for three years the market ran short without running out because it was eating inventory — from 31 weeks down to under 1.5. The buffer is now gone, and the last leg of that drawdown (≈2.57 weeks between July 2026 and Q3 2026) means about 4.9% of 2026 shipments were released from stock rather than produced. From 2027 shipments can only come from production. That single accounting fact, not any new demand datapoint, is what moves the model.</t>
  </si>
  <si>
    <t>04   Headline results (every figure links live to sheets 01 / 02 / 06)</t>
  </si>
  <si>
    <t>Product</t>
  </si>
  <si>
    <t>2025 start</t>
  </si>
  <si>
    <t>2026</t>
  </si>
  <si>
    <t>2027</t>
  </si>
  <si>
    <t>2028</t>
  </si>
  <si>
    <t>Trough year</t>
  </si>
  <si>
    <t>Filled within three years?</t>
  </si>
  <si>
    <t>④ Flow: supply − demand growth</t>
  </si>
  <si>
    <t>—</t>
  </si>
  <si>
    <t>Gap stops widening when the growth gap turns positive</t>
  </si>
  <si>
    <t>② Stock: horizontal adequacy</t>
  </si>
  <si>
    <t>Weighted only breaks even / base case does not fill</t>
  </si>
  <si>
    <t>Growth gap turns positive in 2027</t>
  </si>
  <si>
    <t>Fills in 2027 and turns to surplus</t>
  </si>
  <si>
    <t>05   v4.0 headline: the 2027 DRAM picture before and after the three corrections</t>
  </si>
  <si>
    <t>Metric</t>
  </si>
  <si>
    <t>v3.0 (2026-08-27)</t>
  </si>
  <si>
    <t>v4.0 headline
(inventory only)</t>
  </si>
  <si>
    <t>v4.0 all three
corrections</t>
  </si>
  <si>
    <t>Change vs v3.0</t>
  </si>
  <si>
    <t>What moved it</t>
  </si>
  <si>
    <t>2027 probability-weighted growth gap</t>
  </si>
  <si>
    <t>Inventory exhaustion removes ≈5pp from 2027 shipment growth; 8-high HBM4 gives back ≈+1pp; the second de-spec caps demand by ≈2.5pp</t>
  </si>
  <si>
    <t>Probability 2027 is still short</t>
  </si>
  <si>
    <t>Under the inventory-only correction three of five scenarios are short (78%); once all three corrections are applied S3 sits on the boundary again</t>
  </si>
  <si>
    <t>S3 'relief' scenario, 2027 growth gap</t>
  </si>
  <si>
    <t>★ The scenario that flips: from 'turns to surplus' to 'still short' on the inventory correction alone</t>
  </si>
  <si>
    <t>⚠ Internal inconsistency inside v4.0 itself, carried here on purpose: section 4.2 of the report quotes −2.3% → −7.3% (correction #2 only), while section 4.1 nets all three corrections to roughly −1.7pp. Both cannot be the headline. This workbook computes each correction separately so you can see the two answers side by side — the honest statement is that the inventory correction alone gives −7.3% and 78%, and the fully corrected figure is materially shallower. See sheet 06 block [C].</t>
  </si>
  <si>
    <t>06   The most important conclusion: DRAM and NAND part company in 2027</t>
  </si>
  <si>
    <t>Year</t>
  </si>
  <si>
    <t>DRAM flow</t>
  </si>
  <si>
    <t>NAND flow</t>
  </si>
  <si>
    <t>Flow divergence</t>
  </si>
  <si>
    <t>DRAM stock</t>
  </si>
  <si>
    <t>NAND stock</t>
  </si>
  <si>
    <t>Stock divergence</t>
  </si>
  <si>
    <t>Median divergence</t>
  </si>
  <si>
    <t>Robustness</t>
  </si>
  <si>
    <t>Both short in the same direction, DRAM tighter</t>
  </si>
  <si>
    <t>★ The decisive year for the divergence</t>
  </si>
  <si>
    <t>Divergence widens further</t>
  </si>
  <si>
    <t>★ Robustness check (added in this workbook; neither report did it): v2.0 warned only on the DRAM side that the mean is dragged up by extreme scenarios and the median should be read instead. Swap both sides to the probability median and the divergence does not disappear — it widens. So 'DRAM and NAND should be priced separately' is robust to the probability weights; it does not rest on the two low-probability tail scenarios.</t>
  </si>
  <si>
    <t>07   Model audit: my review findings on the two reports (added by this workbook)</t>
  </si>
  <si>
    <t>Arithmetic: the 15 DRAM scenario-years, 12 NAND scenario-years, the HBM penalty formula, the single-variable sensitivity table and every stock recursion have been recomputed cell by cell; all differences are within rounding. The implementation is correct. What follows is at the level of logic and basis.</t>
  </si>
  <si>
    <t>Grade</t>
  </si>
  <si>
    <t>Issue</t>
  </si>
  <si>
    <t>Why it is a problem</t>
  </si>
  <si>
    <t>Effect on the conclusion</t>
  </si>
  <si>
    <t>A</t>
  </si>
  <si>
    <t>The 'model validation' in section 04 contradicts itself</t>
  </si>
  <si>
    <t>v2.0 section 01 explicitly defines ② stock ≠ ③ cleared, the difference being exactly demand destruction, so the two are not comparable. Section 04 nevertheless uses TrendForce's −4~−5% (③ basis) to 'validate' the model's −4.1% (② basis) and calls it a close match. The same basis logic is used to explain a 14pp discrepancy on DRAM and to claim agreement on NAND.</t>
  </si>
  <si>
    <t>'The model has been validated' should be withdrawn. One free parameter (NAND start −2.0%, no derivation) fitted to one target value is not a validation. → That start value is flagged as an editable input with a note in block [A] of sheet 02.</t>
  </si>
  <si>
    <t>Dimensional mismatch in the start-point calibration</t>
  </si>
  <si>
    <t>The recursion (1+gap_t−1)×(1+supply)÷(1+demand)−1 is mathematically identical to 'this year's supply ÷ this year's demand − 1' — a flow ratio. But the start point is calibrated with an inventory stock (4.7 weeks ÷ 52). Stock and flow ratio are different dimensions. It only looks like accumulation because the ratio of two exponential curves falls monotonically when supply growth stays below demand growth.</t>
  </si>
  <si>
    <t>The output is still readable but must be relabelled: it is 'the share of unconstrained demand this year's supply can meet', not 'how much has been owed cumulatively'. → Block [H] of sheet 01 computes the true additive accumulation alongside it.</t>
  </si>
  <si>
    <t>Restock 7.7% and start point −9.0% are double-counted</t>
  </si>
  <si>
    <t>Start −9.0% = (8 − 3.3)/52, whose physical meaning is precisely 'to get back to normal you must refill 4.7 weeks'. Section 05 then adds (8 − 4)/52 = 7.7% again as incremental demand. Both point at the same inventory hole; the overlap is about 85%.</t>
  </si>
  <si>
    <t>The claim that 'S2's 2028 worsens from −19.4% to −24.2%' should be withdrawn. → Block [I] of sheet 01 sets the three conventions side by side; the double count is 4.69pp by 2028 (01!D116).</t>
  </si>
  <si>
    <t>HBM wafer-share basis mismatch (quantifiable)</t>
  </si>
  <si>
    <t>TrendForce's 18%/22%/30% is explicitly 'HBM wafers of the top three suppliers as a share of their own total DRAM wafers'. The model applied it to a global four-supplier basis that includes CXMT. CXMT makes no HBM and holds 17.1% of global wafers by end-2026. The global-basis figures should be 15.4%/18.2%/24.6%.</t>
  </si>
  <si>
    <t>The HBM drag is overstated: 2026 −3.0pp should be −2.1pp, 2027 −6.3pp should be −4.8pp (at the v2.0 penalty of 3.0×). → Columns O–T of the main grid compute the corrected result in parallel; block [G] gives the weighted comparison. At today's weights it lifts the weighted 2028 level by about 2pp.</t>
  </si>
  <si>
    <t>B</t>
  </si>
  <si>
    <t>The implicit assumption that unmet demand accumulates does not hold</t>
  </si>
  <si>
    <t>The stock basis implies that the bits you failed to buy queue up to be repaid. But consumer-electronics demand priced out does not queue — once handsets and notebooks are de-specced those bits are gone for good. The only thing that genuinely queues is inventory refill, and that is exactly what the start point already double-counts.</t>
  </si>
  <si>
    <t>'The base case still owes −19.4% in 2028' should be read as 'in 2028 supply still meets only 80.6% of unconstrained demand', not as 'the market is still 19.4% short of goods'.</t>
  </si>
  <si>
    <t>The NAND supply formula omits the yield term and treats layers × QLC as fully independent</t>
  </si>
  <si>
    <t>The DRAM formula at least states that yield is folded into the node term; the NAND formula does not mention it at all. And 400-layer QLC yields materially worse than 400-layer TLC — when layers and QLC advance together, yield is an unambiguously negative term. The model multiplies (1+layers)(1+QLC), implying independence and constant yield.</t>
  </si>
  <si>
    <t>NAND supply growth is systematically overstated — and that is exactly the core driver of the divergence conclusion. The loosest assumption is the one the conclusion leans on hardest.</t>
  </si>
  <si>
    <t>The node uplift is applied indiscriminately to CXMT's added wafers</t>
  </si>
  <si>
    <t>In 2026 CXMT adds 85 thousand wafers per month, 45% of the four-supplier total of 190. But CXMT makes mature-node commodity DRAM, not 1c. The model applies +13% node bit uplift uniformly to every wafer. In addition, line conversion itself consumes wafer capacity (downtime plus added process steps), so (1+wafer) and (1+node) should not be multiplied as fully independent.</t>
  </si>
  <si>
    <t>Opposite in direction to the item above: it overstates DRAM supply by roughly 1–3pp per year. The two errors partly offset, but both should be modelled explicitly rather than left to cancel.</t>
  </si>
  <si>
    <t>C</t>
  </si>
  <si>
    <t>The NAND scenarios' wafer growth contradicts the report's own capacity table</t>
  </si>
  <si>
    <t>v1.0 section 03 states that the three Korean and US NAND makers hold capacity 'stable at 670–700k wafers per month through 2026–27', yet scenario N4 assigns +16% wafer growth in 2028 and N3 assigns +12%. If capacity really is stable, wafer growth should be close to 0–4%.</t>
  </si>
  <si>
    <t>N3/N4 2028 supply growth is too high and the NAND surplus is exaggerated. Those two scenarios carry 32% probability combined.</t>
  </si>
  <si>
    <t>Section 8.2 contradicts itself numerically</t>
  </si>
  <si>
    <t>Within one section it first says that SK hynix, with the highest HBM share (50–62%), is most affected, then says 2Q26 share has become 'Samsung 26%→39%, SK hynix 39%→26%'. If SK hynix has already fallen to 26%, the premise of the first sentence fails.</t>
  </si>
  <si>
    <t>It does not affect the model but it does affect the competitive inference in 8.2; one of the two must go. Separately, a 13pp single-quarter share swap is anomalous and the source deserves independent checking.</t>
  </si>
  <si>
    <t>2026 is treated as a pure forecast year</t>
  </si>
  <si>
    <t>With data through 2026-09-28, 1Q26/2Q26 contract prices and shipments are already fact and most of the full-year supply growth is locked. The model still treats 2026 as one of three forecast years.</t>
  </si>
  <si>
    <t>It should be split into 'realised + remainder forecast'. Sheets 01 and 02 mark 2026 as a half-actual year pending that split.</t>
  </si>
  <si>
    <t>Demand growth is the largest single driver yet was never derived</t>
  </si>
  <si>
    <t>The sensitivity table shows demand growth has 1:1 elasticity (among the highest of the four variables); DRAM's 28% for 2026 and 26% for 2027 determine every conclusion, yet both reports say only that the figure is 'inferred from public information'.</t>
  </si>
  <si>
    <t>This was the biggest hole. Sheet 03 now decomposes it bottom-up across AI servers, conventional servers, handsets, PCs and other, and cross-checks it against two independent external anchors.</t>
  </si>
  <si>
    <t>Grades: A = affects the direction of the conclusion, should be formally corrected in the next version; B = affects the magnitude; C = internal consistency or wording. All of the above are logic and basis issues — no arithmetic error was found in either report. Five further findings were added in v3.0 (sheet 05) and three more in v4.0 (sheet 06).</t>
  </si>
  <si>
    <t>08   Sources, basis and important disclosures</t>
  </si>
  <si>
    <t>Supply and capacity: SemiAnalysis, 'China's CXMT Is Set to Challenge DRAM Incumbents' (2026-06-24) — four-supplier end-2026 capacity and three-year additions | 'Memory Mania' (2026-02-06) — Samsung 1c carries ~70% more bits per wafer than 1a; DRAM density roughly 2× per decade</t>
  </si>
  <si>
    <t>HBM and gap benchmarks: TrendForce, 'Tight DRAM Supply Gives Suppliers Greater Pricing Power in HBM' (2026-06-02) — HBM wafer share 18/22/30% and HBM revenue per wafer overtaken by DDR5 64GB RDIMM | 'Diverging Memory Market Outlook in 2027' (2026-07-30) — DRAM sufficiency −1~−2% | TrendForce (2026-07-21) — NAND −4~−5% | 'Memory Prices Soar; DRAM and NAND to Account for 68% of Major CSP CapEx in 2027' (2026-08-25)</t>
  </si>
  <si>
    <t>Inventory: UncoverAlpha (3.3 weeks end-2025Q3, 31 weeks early 2023) | Luminix, 'DRAM Cycle Mid-2026 Update' (3–5 weeks in July 2026) | ★ KB Securities research note, 2026-09-07, head of research Kim Dong-won — supplier inventory below 10 days in 2026 Q3, plus four quantifications reproduced on sheet 04 | quota: Micron FY26 Q2 call, Korean press 60–70%</t>
  </si>
  <si>
    <t>v4.0 primary sources: DigiTimes (2026-08-26/27, NVIDIA's request for a higher 8-high HBM4 mix on the Vera Rubin platform; 2026-09-07, inventory below 10 days) | Seoul Economic Daily, TechTimes, technetbooks (all 2026-09-07) | BiggO Finance (≈2026-09-02, Samsung 8-high HBM4E for NVHBM / Rubin Ultra) | TrendForce (2026-01, 16-high requirement; 2026 Q2 DRAM revenue $154.73bn) | Hankyung (2026-03)</t>
  </si>
  <si>
    <t>Other: NVIDIA FY2027 Q2 8-K, CFO commentary and Form 10-Q (through 2026-07-26) | Sandisk FY2026 Q4 presentation (NBM pricing with floor and ceiling) | Ben Bajarin, 'Memory's $200B Inflection' (2026-06-23) — wafer starts +6~8% | IDC (2026 DRAM bits +16%, NAND +17%) | Isaiah Research | Gartner memflation | StorageSwiss, XenoSpectrum, MemoryXRef</t>
  </si>
  <si>
    <t>★ Built by the author, no external basis: every scenario assumption (wafer growth, node uplift, layers, QLC, demand growth) and every scenario probability (DRAM 15/38/25/15/7%, NAND 22/40/26/12%) is a subjective assignment. Only the HBM wafer share, 2026 wafer growth, the TrendForce gap basis and — new in v4.0 — the 3× HBM wafer penalty, now independently confirmed by KB Securities, have third-party support.</t>
  </si>
  <si>
    <t>★ Known simplifications: HBM and conventional DRAM are not modelled separately (CXMT affects only the latter); price transmission sits entirely outside the model and has been structurally changed by long-term-agreement ceilings; supply has no reaction function; the yield term is folded into the node term for DRAM and missing for NAND; Nanya, Winbond, YMTC, Kioxia, Sandisk and Western Digital are absent from the capacity table, which understates total supply; advanced packaging (CoWoS) is outside the model boundary and v4.0 argues part of the bottleneck has moved there.</t>
  </si>
  <si>
    <t>This workbook is for research and study only. It is not investment advice and not an offer to buy or sell any security. Memory is a high-volatility sector and a change in any single assumption can move the conclusion materially. Treat it as a tool whose parameters you can replace and recompute, not as a forecast.</t>
  </si>
  <si>
    <t>If you work at a regulated institution, confirm the applicable personal-account reporting and pre-clearance requirements before trading.</t>
  </si>
  <si>
    <t>01 · DRAM supply–demand model</t>
  </si>
  <si>
    <t>Five scenarios × three years  |  flow basis (growth gap) + stock basis (horizontal adequacy)  |  ▼ every parameter is driven by the [K] PARAMETER CONSOLE at the bottom of this sheet  |  amber rows are v4.0 additions</t>
  </si>
  <si>
    <t>[A] Global assumptions (values come from console [K] below — drag a slider to change them)</t>
  </si>
  <si>
    <t>Parameter</t>
  </si>
  <si>
    <t>Current value</t>
  </si>
  <si>
    <t>Unit</t>
  </si>
  <si>
    <t>HBM wafer penalty · 2025–2026 (×)</t>
  </si>
  <si>
    <t>×</t>
  </si>
  <si>
    <t>TrendForce and Micron both use 3:1. ★ v4.0: KB Securities independently states that HBM4 consumes three times the wafer capacity of conventional DRAM — the first third-party confirmation of what had been a self-built assumption.</t>
  </si>
  <si>
    <t>8-high HBM4 penalty relief from 2027 (×)</t>
  </si>
  <si>
    <t>▲ NEW in v4.0. NVIDIA has asked Samsung and SK hynix for a higher 8-high mix on Vera Rubin, and for HBM4E to drop from 12/16-high to 8-high for Rubin Ultra. Net of base-die dilution (−3.7%) and stacking-yield gain (+4~13%), the effective wafer penalty falls by roughly 0.2×. Full arithmetic on sheet 07.</t>
  </si>
  <si>
    <t>HBM wafer penalty · 2027–2028 (×)</t>
  </si>
  <si>
    <t>▲ NEW in v4.0. Used by the v4.0 blocks only — the main grid below deliberately stays on the 3.0× v3.0 basis so that the v3.0 results remain reproducible. 8-high ships from 2027, so 2026 keeps the 12-high penalty.</t>
  </si>
  <si>
    <t>HBM basis correction switch</t>
  </si>
  <si>
    <t>0/1</t>
  </si>
  <si>
    <t>★ Audit finding (A, item 4): TrendForce's 18/22/30% is a top-three-supplier basis; the model applied it to a global basis that includes CXMT. Set to 1 to enable the CXMT dilution correction.</t>
  </si>
  <si>
    <t>'Normal' inventory (weeks)</t>
  </si>
  <si>
    <t>weeks</t>
  </si>
  <si>
    <t>Industry long-run mean. Feeds the reference start point in row 13 only; the start gap in use is the console slider (row 14) and restock is typed in B111.</t>
  </si>
  <si>
    <t>Healthy finished-goods inventory (weeks)</t>
  </si>
  <si>
    <t>▲ NEW in v4.0. 30–45 days = 4.3–6.4 weeks, the supply-chain benchmark quoted by KB Securities; 5.35 is the midpoint. Shown for reference — on this basis the start gap would be −7.5% rather than −8.8% (row 13, 6-week normal).</t>
  </si>
  <si>
    <t>Latest supplier inventory (weeks)</t>
  </si>
  <si>
    <t>▲ REVISED in v4.0: was 3.3 weeks end-2025Q3 (TrendForce via Astute Group; also UncoverAlpha). KB Securities puts Samsung and SK hynix below 10 days in 2026 Q3 = 1.43 weeks.</t>
  </si>
  <si>
    <t>Inventory-implied start point (reference)</t>
  </si>
  <si>
    <t>%</t>
  </si>
  <si>
    <t>Formula: −(normal − actual) ÷ 52. With the v4.0 reading this is −12.6% against the 8-week normal, or −7.5% against the 4.3–6.4 week industry benchmark in row 11. Reference only — the model uses the row below.</t>
  </si>
  <si>
    <t>2025 start gap (value used)</t>
  </si>
  <si>
    <t>Driven by the console slider. ★ Audit finding (A, item 2): this is a stock (inventory weeks) being fed into a recursion that is a flow ratio — a dimensional mismatch. See sheet 00 section 07 and block [H] below.</t>
  </si>
  <si>
    <t>[B] Main model: five scenarios × three years (blue on the left = raw inputs; pink on the right = HBM basis-corrected comparison)</t>
  </si>
  <si>
    <t>Scenario</t>
  </si>
  <si>
    <t>Wafer capacity
growth</t>
  </si>
  <si>
    <t>Node bit
uplift</t>
  </si>
  <si>
    <t>HBM wafer share
(top-3 basis)</t>
  </si>
  <si>
    <t>CXMT
wafer share</t>
  </si>
  <si>
    <t>HBM share
(adopted basis)</t>
  </si>
  <si>
    <t>HBM-equivalent
bit capacity</t>
  </si>
  <si>
    <t>HBM marginal
drag</t>
  </si>
  <si>
    <t>Supply bit
growth</t>
  </si>
  <si>
    <t>Demand growth
(unconstrained)</t>
  </si>
  <si>
    <t>④ Growth gap
(flow basis)</t>
  </si>
  <si>
    <t>② Horizontal adequacy
(stock basis)</t>
  </si>
  <si>
    <t>Corrected
HBM share</t>
  </si>
  <si>
    <t>Corrected equiv.
bit capacity</t>
  </si>
  <si>
    <t>Corrected
HBM drag</t>
  </si>
  <si>
    <t>Corrected supply
bit growth</t>
  </si>
  <si>
    <t>Corrected growth gap
(flow)</t>
  </si>
  <si>
    <t>Corrected horizontal gap
(stock)</t>
  </si>
  <si>
    <t>S1 Extreme tightness</t>
  </si>
  <si>
    <t>2025 (start)</t>
  </si>
  <si>
    <t>2026A</t>
  </si>
  <si>
    <t xml:space="preserve">   S1 Extreme tightness (probability set in console [K]): AI capex keeps being revised up; HBM wafer share pushes to 40%; Rubin Ultra delivers 384GB per GPU; the consumer end is already on the floor and stops deteriorating. Never turns positive in three years.</t>
  </si>
  <si>
    <t>S2 Base case</t>
  </si>
  <si>
    <t xml:space="preserve">   S2 Base case (probability set in console [K]): aligned to TrendForce — 2026 sufficiency −1~−2%, the 2027 gap widens further, new capacity starts landing in 2028. The flow basis turns positive in 2028.</t>
  </si>
  <si>
    <t>S3 Relief</t>
  </si>
  <si>
    <t xml:space="preserve">   S3 Relief (probability set in console [K]): the core assumption is that HBM economics reverse — revenue per wafer has already been overtaken by DDR5 64GB RDIMM, wafers flow back to conventional DRAM and the HBM share falls. Combined with new fabs ramping on schedule in 2H27. ⚠ v3.0 flagged this assumption as weakened by the 2026-08-25 forecast of +70~140% HBM contract prices; v4.0 flags it again — this is the scenario the inventory correction flips. ▲ v4.1: with the effective release it no longer flips.</t>
  </si>
  <si>
    <t>S4 Surplus</t>
  </si>
  <si>
    <t xml:space="preserve">   S4 Surplus (probability set in console [K]): AI capex peaks in 2027; hyperscalers repeat the 2019 sudden stop; CXMT runs full; HBM gives way to DDR5.</t>
  </si>
  <si>
    <t>S5 Collapse</t>
  </si>
  <si>
    <t xml:space="preserve">   S5 Collapse (probability set in console [K]): a technical breakthrough sharply cuts memory per unit of compute (KV-cache compression, more aggressive quantisation), or the external financing chain behind AI capex breaks; inventory repeats the 31 weeks of 2023.</t>
  </si>
  <si>
    <t>The 'A' in 2026A marks a half-actual year: with data through 2026-09-08 more than two thirds of the year is behind us and 1Q/2Q contract prices and shipments are fact — audit finding C, item 3, says a formal version should split it into realised plus remaining forecast. | Columns O–T are unaffected by the switch and always show the HBM basis-corrected result for side-by-side reading. | The grid stays on the v3.0 3.0× penalty on purpose; the v4.0 8-high relief is applied in block [M] and on sheet 06.</t>
  </si>
  <si>
    <t>[C] Summary 1 · ④ flow basis: supply−demand growth gap (supply bit growth − demand bit growth)</t>
  </si>
  <si>
    <t>Probability</t>
  </si>
  <si>
    <t>Cumulative prob.</t>
  </si>
  <si>
    <t>Year the gap turns positive</t>
  </si>
  <si>
    <t>Probability weighted (mean)</t>
  </si>
  <si>
    <t>must = 100%</t>
  </si>
  <si>
    <t>Probability median</t>
  </si>
  <si>
    <t>★ How to read it: negative = supply shortage = upward pressure on price. This is the v1.0 basis; it measures how much the gap widens or narrows each year (the first derivative of the gap), not how big the gap is. A positive number in 2028 only means the gap has stopped widening and has started to be filled — it does not mean surplus. The median row sorts the scenarios from tight to loose and takes the one where cumulative probability passes 50%.</t>
  </si>
  <si>
    <t>[D] Summary 2 · ② stock basis: horizontal adequacy (this year's supply ÷ this year's unconstrained demand − 1)</t>
  </si>
  <si>
    <t>★★ The distribution is heavily right-skewed and the mean is misleading. Rank the five scenarios from deepest to shallowest gap; cumulative probability crosses 50% inside S2 — so the median is 'the most likely case', while the weighted mean is pulled up hard by S5 (7% probability by default). Read the median row when deciding, not the weighted row.</t>
  </si>
  <si>
    <t>★ Audit note: the recursion in this block is mathematically identical to 'this year's supply ÷ this year's demand − 1' — a flow ratio, not a stock accumulation. It deteriorates year after year because the ratio of two exponential curves falls monotonically whenever supply growth stays below demand growth. The correct reading is 'this year's supply meets only X% of unconstrained demand', not 'X% has been owed cumulatively'. See block [H].</t>
  </si>
  <si>
    <t>[E] S2 base case: three-factor decomposition of supply bit growth (exact multiplicative split; the three terms sum to supply growth)</t>
  </si>
  <si>
    <t>Wafer capacity contribution</t>
  </si>
  <si>
    <t>Node migration contribution</t>
  </si>
  <si>
    <t>HBM drag</t>
  </si>
  <si>
    <t>Total = supply bit growth</t>
  </si>
  <si>
    <t>Cross-check: external forecasts</t>
  </si>
  <si>
    <t>IDC +16% / Micron 'low-to-mid 20s' — the model sits between the two</t>
  </si>
  <si>
    <t>TrendForce: new capacity only ramps in 2H27, real contribution arrives in 2028</t>
  </si>
  <si>
    <t>46% of the three-year capacity addition lands in this single year</t>
  </si>
  <si>
    <t>How to read it: the three terms are an exact multiplicative split (wafer contribution = C; node contribution = (1+C)×D; HBM contribution = (1+C)×(1+D)×I) and always sum to supply growth. The node contribution therefore comes out slightly higher than the node uplift you typed in, because it acts on an already-enlarged wafer base. That is compounding, not an error.</t>
  </si>
  <si>
    <t>[F] Single-variable sensitivity for 2027 (on the S2 base case, flow-basis growth gap)</t>
  </si>
  <si>
    <t>Variable</t>
  </si>
  <si>
    <t>−4pp</t>
  </si>
  <si>
    <t>−2pp</t>
  </si>
  <si>
    <t>Base</t>
  </si>
  <si>
    <t>+2pp</t>
  </si>
  <si>
    <t>+4pp</t>
  </si>
  <si>
    <t>Effect per 1pp</t>
  </si>
  <si>
    <t>Move needed to turn positive on its own</t>
  </si>
  <si>
    <t>Feasibility</t>
  </si>
  <si>
    <t>Wafer capacity growth</t>
  </si>
  <si>
    <t>+8.9pp → 18.9%: physically impossible, the fabs cannot be built. Samsung P5 mass-produces in 2H28, Micron ID1 has first wafers mid-2027, the New York fab only broke ground in Jan 2026.</t>
  </si>
  <si>
    <t>Node bit uplift</t>
  </si>
  <si>
    <t>+9.0pp: equally impossible. DRAM density has risen only about 2× in a decade — this is a physics wall.</t>
  </si>
  <si>
    <t>HBM wafer share</t>
  </si>
  <si>
    <t>Needs to fall 10.6pp, to roughly 14% (about 17% on TrendForce's top-three basis): possible in direction but far too large in size. Even if the HBM economics reversal holds, a fall back to 26% is already an aggressive assumption. ★ v4.0 makes this less likely, not more: 8-high lowers the wafer penalty but NVIDIA's stated reason is availability, not economics.</t>
  </si>
  <si>
    <t>Demand growth</t>
  </si>
  <si>
    <t>★ Needs to fall to roughly 17.5% (−9.5pp from 27%): this is the only realistic path. Which is why hyperscaler capex guidance carries more information than any fab expansion announcement.</t>
  </si>
  <si>
    <t>★ The key result of this table: the four variables have almost identical unit elasticity (about 1pp for 1pp), but their feasible ranges are completely different. All three supply-side routes are physically blocked — whether 2027 moves from shortage to surplus depends almost entirely on the demand side.</t>
  </si>
  <si>
    <t>[G] Audit correction 1 · HBM wafer-share basis mismatch (A, item 4): the five scenarios after correction</t>
  </si>
  <si>
    <t>This block is unaffected by the switch and always shows the corrected result, for direct comparison with blocks [C] and [D] above. Correction logic: TrendForce's 18/22/30% is a top-three-supplier basis, so the global basis = top-three share × (1 − CXMT wafer share). The figures are taken from columns O–T of the main grid.</t>
  </si>
  <si>
    <t>Corrected gap
2026</t>
  </si>
  <si>
    <t>Corrected gap
2027</t>
  </si>
  <si>
    <t>Corrected gap
2028</t>
  </si>
  <si>
    <t>Corrected horiz. gap
2026</t>
  </si>
  <si>
    <t>Corrected horiz. gap
2027</t>
  </si>
  <si>
    <t>Corrected horiz. gap
2028</t>
  </si>
  <si>
    <t>Corrected · probability weighted</t>
  </si>
  <si>
    <t>Report basis · probability weighted</t>
  </si>
  <si>
    <t>Difference from the correction</t>
  </si>
  <si>
    <t>★ Conclusion: at the current settings the correction revises DRAM supply up by about 1.1pp (2026) and 1.7pp (2027); on the stock basis it moves the 2028 probability-weighted level from −6.8% to −4.9%. A formal version should default the console switch to 1 and state the basis in the text.</t>
  </si>
  <si>
    <t>[H] Audit correction 2 · flow ratio vs true stock accumulation (A, item 2): how far apart the two conventions are</t>
  </si>
  <si>
    <t>The v2.0 recursion (1+gap_t−1)×(1+supply)÷(1+demand)−1 is mathematically identical to 'this year's supply ÷ this year's demand − 1' — a flow ratio. A genuine stock accumulation would be additive: arrears_t = arrears_t−1 ÷ (1 + demand growth_t) + this year's unmet volume. The table below computes both side by side.</t>
  </si>
  <si>
    <t>Unmet this year
2026</t>
  </si>
  <si>
    <t>Unmet this year
2027</t>
  </si>
  <si>
    <t>Unmet this year
2028</t>
  </si>
  <si>
    <t>Cumulative arrears
2026</t>
  </si>
  <si>
    <t>Cumulative arrears
2027</t>
  </si>
  <si>
    <t>Cumulative arrears
2028</t>
  </si>
  <si>
    <t>Additive accumulation · weighted</t>
  </si>
  <si>
    <t>Multiplicative recursion · weighted (in use)</t>
  </si>
  <si>
    <t>Gap between the two conventions</t>
  </si>
  <si>
    <t>★ How to read this table: additive accumulation gives much deeper numbers than the multiplicative recursion because it assumes the bits you failed to buy queue up to be repaid. But consumer electronics demand priced out does not queue — once handsets and notebooks are de-specced those bits are gone permanently. So additive accumulation is an upper bound, the multiplicative recursion (= this year's flow ratio) is a lower bound, and the true 'stock arrears' sits between them and closer to the lower bound. The key point is to stop calling the multiplicative result 'cumulative arrears' — it is not.</t>
  </si>
  <si>
    <t>[I] Audit correction 3 · restock demand double-counted against the start point (A, item 3): three conventions compared (S2 base case)</t>
  </si>
  <si>
    <t>Restock amortised per year</t>
  </si>
  <si>
    <t>Editable: 7.7% = refill in one year, 2.6% = spread over three years, 0 = no restock. Affects conventions B and C only.</t>
  </si>
  <si>
    <t>Convention</t>
  </si>
  <si>
    <t>What this convention is doing</t>
  </si>
  <si>
    <t>A Start-point method (used by this model)</t>
  </si>
  <si>
    <t>The start point already contains 'you must refill the missing weeks', so nothing is added to demand growth.</t>
  </si>
  <si>
    <t>B Demand method (start at zero + add-on)</t>
  </si>
  <si>
    <t>Start point set to zero, restock instead treated as extra demand each year. Two ways of writing the same account — the answers should be close.</t>
  </si>
  <si>
    <t>C Report method (start point + add-on)</t>
  </si>
  <si>
    <t>★ What v2.0 section 05 did: counted once in the start point and again in demand. That is the double count.</t>
  </si>
  <si>
    <t>Size of the double count (C − A)</t>
  </si>
  <si>
    <t>v2.0 section 05 said 'the base case's 2028 worsens from −19.4% to −24.2%, 4.8 points more owed' — those 4.8pp are the double count.</t>
  </si>
  <si>
    <t>★ The right approach: pick A or B, never add them. The two should give similar answers (the residual difference comes from the partial refill that already happened and from the amortisation schedule). v2.0's observation that 'restock is an increment everyone has missed' is itself correct — what the market missed, not what this model missed; the model already captured it through the start point and should not count it twice.</t>
  </si>
  <si>
    <t>[J] The four bases side by side, probability weighted (data source for chart 5)</t>
  </si>
  <si>
    <t>The question this number answers</t>
  </si>
  <si>
    <t>v1.0 flow: supply−demand growth gap</t>
  </si>
  <si>
    <t>Is the gap widening or narrowing this year? (first derivative)</t>
  </si>
  <si>
    <t>v2.0 stock: multiplicative recursion</t>
  </si>
  <si>
    <t>What percentage of unconstrained demand can this year's supply meet?</t>
  </si>
  <si>
    <t>After the HBM basis correction</t>
  </si>
  <si>
    <t>Same as above, but the HBM wafer share is put on a global basis (CXMT dilution removed)</t>
  </si>
  <si>
    <t>True stock: additive accumulation</t>
  </si>
  <si>
    <t>If the unbought bits queued up to be repaid, how much is owed in total? (upper bound)</t>
  </si>
  <si>
    <t>★ All four numbers are correct, but they answer four different questions. Mixing them is the common root of both the v1.0 and the v2.0 mistakes. For an investment judgement: read row 1 for direction (the rate of change of price, which is what share prices follow), rows 2 and 3 for how tight things are, and row 4 only as an upper bound. Sheet 05 extends this to seven bases and sheet 06 adds the v4.0 shipment basis as the eighth.</t>
  </si>
  <si>
    <t>[M] v4.0 · inventory exhaustion applied to 2027 (engine and console on sheet 06)</t>
  </si>
  <si>
    <t>v4.0 correction 2: roughly 4.9% of 2026 shipments were released from inventory rather than produced. Because that release sits in the 2026 base and cannot repeat, 2027 SHIPMENT growth is below 2027 PRODUCTION growth by about the same amount. The grid above models production; this block converts it to shipments. All levers live in the console on sheet 06.</t>
  </si>
  <si>
    <t>2027 gap · v3.0
(production basis)</t>
  </si>
  <si>
    <t>2027 gap · v4.0
(inventory correction)</t>
  </si>
  <si>
    <t>Change (pp)</t>
  </si>
  <si>
    <t>2027 stock · v3.0</t>
  </si>
  <si>
    <t>2027 stock · v4.0
(all three)</t>
  </si>
  <si>
    <t>Verdict</t>
  </si>
  <si>
    <t>★★ This is the single most important line in v4.0: the probability that DRAM is still short in 2027 rises from 53% to 78%. What moved it was not a new demand datapoint but a supply-side accounting fact — about 4.9% of 2026 shipments came out of inventory, and that source is gone. S3, the relief scenario carrying 25% probability, is the one that flips from 'turns to surplus' to 'still short'. ⚠ Read this together with block [C] of sheet 06: the 78% figure applies the inventory correction alone; once the 8-high relief and the de-spec demand ceiling are applied too, S3 returns to the boundary and the honest answer is closer to 53–78% than to 78%.</t>
  </si>
  <si>
    <t>[K] PARAMETER CONSOLE · drag a slider and every table above and every chart below recalculates</t>
  </si>
  <si>
    <t>How to use: put the mouse on the grey scroll bar in the middle and drag left or right, or click the arrows at either end to nudge one step at a time. The yellow cell on the left is the converted current value; the blue cell on the right is the slider's raw integer — you can type into it directly with exactly the same effect. If your build of Excel does not render the sliders (Excel for the web and some mobile builds), just edit the blue cells.</t>
  </si>
  <si>
    <t>◀  drag to adjust  ▶</t>
  </si>
  <si>
    <t>Slider link cell</t>
  </si>
  <si>
    <t>Adjustable range</t>
  </si>
  <si>
    <t>HBM wafer penalty</t>
  </si>
  <si>
    <t>2.5 – 4.0×</t>
  </si>
  <si>
    <t>TrendForce and Micron both use 3:1 (1 bit of HBM displaces 3 bits of DDR5); some houses use 4×. ▲ v4.0 widened the range down to 2.5× so the 8-high effect (≈2.8×) can be dialled in, and KB Securities has now independently confirmed the 3× figure. Each step is 0.1×.</t>
  </si>
  <si>
    <t>2025 start horizontal gap</t>
  </si>
  <si>
    <t>0 ~ −30.0%</t>
  </si>
  <si>
    <t>Inventory method = (normal 8 weeks − actual 1.43 weeks) ÷ 52 = −12.6%. ▲ v4.0 default moved from −9.0% to −12.6% on the KB reading. ★ Still the most fragile single parameter: if 'normal' is really 6 weeks the start becomes −8.8% and every later year's gap narrows by about 4pp.</t>
  </si>
  <si>
    <t>0 or 1</t>
  </si>
  <si>
    <t>★ Audit finding: 18/22/30% is a top-three-supplier basis but was applied to a global basis including CXMT. Drag to 1 to enable the correction (global = top three × (1 − CXMT share)).</t>
  </si>
  <si>
    <t>Wafer capacity growth · global shift</t>
  </si>
  <si>
    <t>−5.0 ~ +10.0pp</t>
  </si>
  <si>
    <t>Applied to all scenarios across 2026–2028 at once. Use it to stress-test fabs coming online early or late. Each step is 0.1pp.</t>
  </si>
  <si>
    <t>Node bit uplift · global shift</t>
  </si>
  <si>
    <t>−5.0 ~ +5.0pp</t>
  </si>
  <si>
    <t>1c / 1-gamma ramping faster or slower than plan. Note that DRAM density has risen only about 2× in a decade, so the headroom upward is physically limited.</t>
  </si>
  <si>
    <t>HBM wafer share · global shift</t>
  </si>
  <si>
    <t>−10.0 ~ +10.0pp</t>
  </si>
  <si>
    <t>The most underrated variable this cycle and the one most likely to reverse. If HBM revenue per wafer stays below DDR5 RDIMM the share falls back — pull negative to simulate that.</t>
  </si>
  <si>
    <t>Demand growth · global shift</t>
  </si>
  <si>
    <t>−10.0 ~ +15.0pp</t>
  </si>
  <si>
    <t>★ Elasticity is roughly 1:1 and this is the only realistic path to a positive 2027. The big four cloud vendors' capex guidance maps directly onto this cell.</t>
  </si>
  <si>
    <t>Scenario probabilities (1% per step) · the five must sum to 100%</t>
  </si>
  <si>
    <t>S1 Extreme tightness · probability</t>
  </si>
  <si>
    <t>0 – 100%</t>
  </si>
  <si>
    <t>AI capex keeps being revised up; HBM wafer share pushes to 40%; Rubin Ultra delivers 384GB per GPU. ⚠ v4.0: the 8-high request weakens the 384GB assumption.</t>
  </si>
  <si>
    <t>S2 Base case · probability</t>
  </si>
  <si>
    <t>Aligned to TrendForce: 2026 sufficiency −1~−2%, the 2027 gap widens further, new capacity lands in 2028.</t>
  </si>
  <si>
    <t>S3 Relief · probability</t>
  </si>
  <si>
    <t>Core assumption is a reversal in HBM economics — revenue per wafer overtaken by DDR5 64GB RDIMM, wafers flow back. ★ This is the scenario the v4.0 inventory correction flips to 'still short'.</t>
  </si>
  <si>
    <t>S4 Surplus · probability</t>
  </si>
  <si>
    <t>AI capex peaks in 2027; hyperscalers repeat the 2019 sudden stop; CXMT runs full; HBM gives way to DDR5.</t>
  </si>
  <si>
    <t>S5 Collapse · probability</t>
  </si>
  <si>
    <t>A technical breakthrough sharply cuts memory per unit of compute (KV-cache compression, aggressive quantisation), or the external financing chain behind AI capex breaks.</t>
  </si>
  <si>
    <t>Cumulative probability  total</t>
  </si>
  <si>
    <t>[L] Live readout · probability-weighted results (updates as you drag)</t>
  </si>
  <si>
    <t>Median scenario 2027</t>
  </si>
  <si>
    <t>Median scenario 2028</t>
  </si>
  <si>
    <t>④ Flow: supply−demand growth gap</t>
  </si>
  <si>
    <t>④ Flow · v4.0 fully corrected</t>
  </si>
  <si>
    <t>② Stock · v4.0 fully corrected</t>
  </si>
  <si>
    <t>P(2027 still short): v3.0 / inv-only / all three</t>
  </si>
  <si>
    <t xml:space="preserve">Chart notes | Chart 1: the black heavy line is the probability weighting. Below the zero axis is shortage (upward pressure on price), above it surplus. | Chart 2: note it is more pessimistic than chart 1 and its trough is one year later — the most typical divergence between flow and stock. | Chart 3: red is the HBM drag; in 2027 it is almost two thirds of that year's entire wafer capacity growth. | Chart 4: the longer the bar the more leverage that variable has, but read it with the feasibility column on the right — a large elasticity does not mean the variable can actually move. | Chart 5: the distance between the four lines is what the word 'basis' is worth in money. | Chart 6 (v4.0): the same 2027 growth gap before and after the inventory correction, scenario by scenario — S3 crossing the zero axis is the whole story. </t>
  </si>
  <si>
    <t>02 · NAND supply–demand model</t>
  </si>
  <si>
    <t>Four scenarios × three years  |  the key difference from DRAM: layer stacking and QLC are two bit levers that need no new wafer fab  |  ▼ every parameter is driven by the [G] PARAMETER CONSOLE at the bottom  |  amber rows are v4.0 additions</t>
  </si>
  <si>
    <t>[A] Main model: four scenarios × three years</t>
  </si>
  <si>
    <t>Layer stacking
bit uplift</t>
  </si>
  <si>
    <t>QLC mix
bit uplift</t>
  </si>
  <si>
    <t>Cross-check: same-year
DRAM supply growth</t>
  </si>
  <si>
    <t>Supply elasticity
multiple</t>
  </si>
  <si>
    <t>N1 Stays tight</t>
  </si>
  <si>
    <t xml:space="preserve">   N1 Stays tight (probability set in console [G]): enterprise SSD demand keeps beating expectations, AI data staging and model checkpointing demand explodes; layer progression runs behind plan.</t>
  </si>
  <si>
    <t>N2 Base case</t>
  </si>
  <si>
    <t xml:space="preserve">   N2 Base case (probability set in console [G]): aligned to TrendForce — 2026 gap −4~−5%, turns positive in 2H27 and starts pressing prices down. SK hynix 321-layer at ~50% of its Korean capacity, Samsung 400+ layer in production, Kioxia BiCS9. ⚠ v4.0: KB Securities contradicts this outright — see block [F].</t>
  </si>
  <si>
    <t>N3 Turns to surplus</t>
  </si>
  <si>
    <t xml:space="preserve">   N3 Turns to surplus (probability set in console [G]): Kioxia/Sandisk's +41% capex converts into capacity; YMTC's third Wuhan fab ramps; the PC replacement cycle ends while mobile demand stays weak; enterprise SSD competition intensifies and caps prices.</t>
  </si>
  <si>
    <t>N4 Large surplus</t>
  </si>
  <si>
    <t xml:space="preserve">   N4 Large surplus (probability set in console [G]): layers and QLC both advance faster than expected while consumer electronics demand stays priced out. This is the risk specific to NAND — supply can keep growing quickly while demand weakens, because adding output needs no new fab.</t>
  </si>
  <si>
    <t>★ The two right-hand columns are new in this workbook: NAND supply growth ÷ same-year DRAM supply growth. They turn the qualitative sentence 'the supply elasticities differ by an order of magnitude' into a number you can track. Note that wafer growth is 0% in 2026 across all four scenarios — NAND's bit growth that year comes entirely from layers and QLC, with not one new wafer.</t>
  </si>
  <si>
    <t>[B] Summary 1 · ④ flow basis: supply−demand growth gap</t>
  </si>
  <si>
    <t>[C] Summary 2 · ② stock basis: horizontal adequacy</t>
  </si>
  <si>
    <t>When the gap is filled</t>
  </si>
  <si>
    <t>★★ Symmetric treatment added by this workbook: v2.0 warned only on the DRAM side that the mean is dragged up by extreme scenarios and the median should be read instead. The NAND skew is worse (N4's 2028 at +105% carries only 12% probability yet pulls the weighted mean from +20.9% to +35.0%). Use the median row.</t>
  </si>
  <si>
    <t>[D] DRAM × NAND divergence: the most important conclusion in this model</t>
  </si>
  <si>
    <t>DRAM
growth gap</t>
  </si>
  <si>
    <t>NAND
growth gap</t>
  </si>
  <si>
    <t>Flow-basis
divergence</t>
  </si>
  <si>
    <t>DRAM
horizontal gap</t>
  </si>
  <si>
    <t>NAND
horizontal gap</t>
  </si>
  <si>
    <t>Stock-basis
divergence</t>
  </si>
  <si>
    <t>DRAM
median</t>
  </si>
  <si>
    <t>NAND
median</t>
  </si>
  <si>
    <t>Median-basis
divergence</t>
  </si>
  <si>
    <t>The divergence widens further</t>
  </si>
  <si>
    <t>Why they diverge: the cause is not on the demand side — the demand drivers overlap heavily (an AI server needs DRAM, HBM and enterprise SSD at the same time). The cause is the structure of the supply formula. NAND can multiply bits 2.29× through layers (232 → 400+ = +72%) and QLC (+33%) without laying a single brick; DRAM density has risen only 2× in a decade, wafer capacity takes 2–3 years to build, and HBM subtracts another 3–6 points every year.</t>
  </si>
  <si>
    <t>★ Robustness: on the flow, stock and median bases alike the 2027 divergence exceeds 25pp (it is widest on the median basis). So 'pure NAND exposure (Sandisk, Kioxia, Western Digital) and DRAM exposure (Samsung, SK hynix, Micron) should be priced separately in 2027' does not depend on the few low-probability tail scenarios — but it does depend on the NAND supply elasticity assumption, which is the loosest link in the model (see the yield term in the console). ⚠ v4.0 adds a second challenge to this conclusion from the demand side: see block [F].</t>
  </si>
  <si>
    <t>[E] N2 base case: three-factor decomposition of supply bit growth</t>
  </si>
  <si>
    <t>Layer stacking contribution</t>
  </si>
  <si>
    <t>QLC contribution</t>
  </si>
  <si>
    <t>Same-year DRAM supply growth</t>
  </si>
  <si>
    <t>Supply elasticity multiple</t>
  </si>
  <si>
    <t>Note: the total differs very slightly from the supply growth in the main grid — the decomposition excludes the yield term while the grid includes it. Pull the console yield term back to 0 and the two match exactly.</t>
  </si>
  <si>
    <t>[F] v4.0 · NAND: KB Securities contradicts the base case head on</t>
  </si>
  <si>
    <t>KB Securities (2026-09-07) states that NAND, like DRAM, runs a 2027 supply gap above 10% — still short. My N2 base case says +10.9% (turns to surplus). That is an opposite-direction contradiction, not a difference of degree, and the disagreement is on the demand side, not the supply side: KB's logic is that AI server investment pulls server DDR5 and enterprise SSD together. Evidence on KB's side sits in my own earlier reports — Sandisk (QLC adoption accelerating in AI workloads, read-heavy profiles suit QLC), Western Digital (AI data compounds; the warm tier of high-capacity QLC SSD is the fastest-growing and least-discussed layer) and Astera Labs (Leo CXL memory tiering and pooling ships in 2027). ⚠ Honest label: the correction below moves toward KB's judgement; it is not the result of me finding new demand-side data. An independent read on eSSD bit demand is the highest-priority item on the v4.0 tracking list.</t>
  </si>
  <si>
    <t>2027 supply
v3.0</t>
  </si>
  <si>
    <t>2027 supply
v4.0</t>
  </si>
  <si>
    <t>2027 demand
v3.0</t>
  </si>
  <si>
    <t>2027 demand
v4.0</t>
  </si>
  <si>
    <t>2027 gap
v3.0</t>
  </si>
  <si>
    <t>2027 gap
v4.0</t>
  </si>
  <si>
    <t>KB Securities, 2026-09-07</t>
  </si>
  <si>
    <t>'2027 NAND and DRAM bit demand growth will exceed supply growth by more than 10 percentage points; the 2027 supply gap will exceed 10%.' On my N2 base case the v3.0 answer was +10.9% surplus and the v4.0 answer is close to balance — still short of KB's view, and the residual difference is entirely the eSSD demand assumption.</t>
  </si>
  <si>
    <t>★ How the correction is implemented: rather than overwriting the grid inputs, the two v4.0 levers on sheet 06 are applied on top — 2027 NAND demand +4.0pp (enterprise SSD) and 2027 NAND supply −3.0pp (NAND inventory at 4–5 weeks is tight but far less so than DRAM's 1.43). Set both sliders to zero and this block reverts exactly to v3.0. That is deliberate: the correction has to stay reversible, because it is an alignment to someone else's judgement rather than a new measurement.</t>
  </si>
  <si>
    <t>[G] PARAMETER CONSOLE · drag a slider and every table above and every chart below recalculates</t>
  </si>
  <si>
    <t>How to use: put the mouse on the grey scroll bar in the middle and drag left or right, or click the arrows at either end to nudge one step at a time. The yellow cell on the left is the converted current value; the blue cell on the right is the slider's raw integer — you can type into it directly. If your build of Excel does not render the sliders, just edit the blue cells.</t>
  </si>
  <si>
    <t>0 ~ −15.0%</t>
  </si>
  <si>
    <t>★ Audit finding (A, item 1): v2.0 called this value 'independently estimated' but never derived it. Using it to 'validate' TrendForce's −4~−5% is one free parameter fitted to one target value, which is not a validation.</t>
  </si>
  <si>
    <t>NAND yield term</t>
  </si>
  <si>
    <t>−10.0 ~ +5.0pp</t>
  </si>
  <si>
    <t>★ Audit finding (B): the NAND formula has no yield term at all. 400-layer QLC yields materially worse than 400-layer TLC — pull negative to impose the penalty.</t>
  </si>
  <si>
    <t>★ Audit finding (C): v1.0 says capacity is 'stable at 670–700k wafers per month' yet N3/N4 assign +12%/+16% for 2028. Pull negative to correct that internal contradiction.</t>
  </si>
  <si>
    <t>Layer stacking uplift · global shift</t>
  </si>
  <si>
    <t>−8.0 ~ +8.0pp</t>
  </si>
  <si>
    <t>NAND's most important bit lever (232 → 400+ = +72%), and it needs no new wafer fab. Hybrid bonding tool lead times and 400-layer yield decide whether it lands.</t>
  </si>
  <si>
    <t>QLC uplift · global shift</t>
  </si>
  <si>
    <t>The second lever DRAM does not have (TLC 3 bit → QLC 4 bit = +33%). Note it is not fully independent of layers — pushed together, yield is a negative term.</t>
  </si>
  <si>
    <t>Enterprise SSD demand against consumer demand destruction. The reports give a 2027 demand range of 5%–24%, extremely wide — the most fragile link on the NAND side. ▲ v4.0: KB Securities argues the base case is too low; the dedicated eSSD lever sits on sheet 06.</t>
  </si>
  <si>
    <t>Scenario probabilities (1% per step) · the four must sum to 100%</t>
  </si>
  <si>
    <t>N1 Stays tight · probability</t>
  </si>
  <si>
    <t>Enterprise SSD demand keeps beating expectations; AI data staging and checkpointing explode; layer progression runs behind plan.</t>
  </si>
  <si>
    <t>N2 Base case · probability</t>
  </si>
  <si>
    <t>Aligned to TrendForce: 2026 gap −4~−5%, turns positive in 2H27 and starts pressing prices down. ⚠ v4.0: contradicted head on by KB Securities.</t>
  </si>
  <si>
    <t>N3 Turns to surplus · probability</t>
  </si>
  <si>
    <t>Kioxia/Sandisk's +41% capex converts into capacity; YMTC's third Wuhan fab ramps; the PC cycle ends while mobile stays weak.</t>
  </si>
  <si>
    <t>N4 Large surplus · probability</t>
  </si>
  <si>
    <t>Layers and QLC both advance faster than expected while consumer demand stays priced out — the risk specific to NAND.</t>
  </si>
  <si>
    <t>[H] Live readout · probability-weighted results (updates as you drag)</t>
  </si>
  <si>
    <t>④ Flow · v4.0 corrected (2027 only)</t>
  </si>
  <si>
    <t>Chart notes | Charts 1 and 2: the black heavy line is the probability weighting, but read the median row in the summary tables first — the NAND skew is worse than DRAM's. | Chart 3: grey (wafers) is almost invisible; blue (layers) and green (QLC) carry the entire growth. That is 'you can multiply bits without building a fab', drawn. | Chart 4: the two lines cross and separate in 2027 — the single most important chart in the model. Pull the demand shift on the DRAM console negative to watch the divergence narrow.</t>
  </si>
  <si>
    <t>03 · Bottom-up decomposition of DRAM demand growth</t>
  </si>
  <si>
    <t>Closes audit finding C, item 5: demand growth is the model's largest driver (1:1 elasticity) yet the reports never derived it  |  the two bases are benchmarked against two different external datasets</t>
  </si>
  <si>
    <t>[A] Segment weights and growth assumptions (blue cells are editable; the weights must sum to 100%)</t>
  </si>
  <si>
    <t>Segment</t>
  </si>
  <si>
    <t>Share of DRAM bit
demand</t>
  </si>
  <si>
    <t>2027 unconstrained
bit growth</t>
  </si>
  <si>
    <t>2027 cleared
bit growth</t>
  </si>
  <si>
    <t>Unconstrained
contribution</t>
  </si>
  <si>
    <t>Cleared
contribution</t>
  </si>
  <si>
    <t>Basis for the weight and the growth rate</t>
  </si>
  <si>
    <t>HBM</t>
  </si>
  <si>
    <t>Weight backed out from the model's 22% HBM wafer share and the 3× penalty: (0.22/3) ÷ ((1−0.22) + 0.22/3) = 8.6%. Growth: Rubin carries 288GB of HBM4 per card; AWS adds 2 million GPUs across 2027–28; industry expects HBM shipped bits +50~60% per year.</t>
  </si>
  <si>
    <t>RDIMM / server</t>
  </si>
  <si>
    <t>TrendForce 2026-08-25: 2027 server DRAM + HBM combined bit supply +27%; 2026-07-09: RDIMM bit supply only +15~20%, 'materially behind server CPU shipment growth'. Demand side taken at 30% because supply is the binding constraint.</t>
  </si>
  <si>
    <t>Handset LPDDR</t>
  </si>
  <si>
    <t>Unconstrained = natural per-handset capacity growth of about 12% a year. Cleared = TrendForce's 2026 handset build −15~20%, falling again in 2027 but more gently.</t>
  </si>
  <si>
    <t>PC client</t>
  </si>
  <si>
    <t>Cleared basis: TrendForce cut its 2026 global notebook shipment forecast to −14.8% in July 2026 (the −10% the reports quoted was too optimistic).</t>
  </si>
  <si>
    <t>Graphics / consumer / auto / industrial</t>
  </si>
  <si>
    <t>Residual. GDDR7 and automotive are growing; consumer and industrial are being priced out; combined they are close to flat.</t>
  </si>
  <si>
    <t>Weighted total</t>
  </si>
  <si>
    <t>[B] Three-way comparison: against the model assumption and against external data</t>
  </si>
  <si>
    <t>Item</t>
  </si>
  <si>
    <t>2027 value</t>
  </si>
  <si>
    <t>Implied gap</t>
  </si>
  <si>
    <t>Model S2 2027 supply bit growth</t>
  </si>
  <si>
    <t>TrendForce: server DRAM + HBM combined +27% (a server-only basis runs above the all-in basis; direction consistent)</t>
  </si>
  <si>
    <t>✔ consistent</t>
  </si>
  <si>
    <t>Model S2 2027 demand growth (in use)</t>
  </si>
  <si>
    <t>No derivation — the hole audit finding C, item 5 pointed at</t>
  </si>
  <si>
    <t>△ no basis</t>
  </si>
  <si>
    <t>This decomposition · unconstrained basis</t>
  </si>
  <si>
    <t>Built here; the weights are cross-checked against TrendForce's 'HBM + RDIMM = 51% of DRAM bit supply'</t>
  </si>
  <si>
    <t>★ about 3.5pp below the value in use</t>
  </si>
  <si>
    <t>This decomposition · cleared basis</t>
  </si>
  <si>
    <t>TrendForce, 'Diverging Memory Market Outlook in 2027': DRAM sufficiency −1%~−2%. This row is a flow × cleared basis, so the two are directly comparable.</t>
  </si>
  <si>
    <t>★★ agrees on a like-for-like basis</t>
  </si>
  <si>
    <t>★★ This is the most important addition of v3.0. v2.0 once used NAND's −4.1% to 'validate' TrendForce's −4~−5%, but audit finding A, item 1 showed that to be a pseudo-validation — one free parameter (NAND start −2.0%, no derivation) fitted to one target. This table instead decomposes five segments independently first, then matches the two bases against two different external datasets: the unconstrained basis gives roughly −8.0% (the 26% in use gives −10.5%) and the cleared basis gives roughly −0.5% against TrendForce's published −1~−2%. Nothing was fitted.</t>
  </si>
  <si>
    <t>[C] v3.0 finding (grade A): the start point and the recursion use different denominators</t>
  </si>
  <si>
    <t>Start −9.0% = (normal 8 weeks − actual 3.3 weeks) ÷ 52 — the v3.0 calibration; on the v4.0 reading of 1.43 weeks the same formula gives −12.6%, which is what the console now uses. Inventory weeks are converted using ACTUAL (cleared) consumption, so the denominator is cleared demand. But the recursion (1+gap_t−1)×(1+supply)÷(1+demand) uses UNCONSTRAINED demand. Two different denominators inside one continued product. Consequence: the gap is systematically computed too deep. The table below quantifies the mismatch.</t>
  </si>
  <si>
    <t>Value</t>
  </si>
  <si>
    <t>Unconstrained demand (this sheet)</t>
  </si>
  <si>
    <t>The denominator the recursion uses</t>
  </si>
  <si>
    <t>Cleared demand (this sheet)</t>
  </si>
  <si>
    <t>The denominator the start-point calibration implies</t>
  </si>
  <si>
    <t>Single-year basis difference</t>
  </si>
  <si>
    <t>percentage points per year</t>
  </si>
  <si>
    <t>Three-year cumulative mismatch</t>
  </si>
  <si>
    <t>★ This is the main reason the model's stock gap (−19.5%) runs deeper than any external dataset.</t>
  </si>
  <si>
    <t>Two ways to fix it, mutually exclusive: ① keep the start point at −9.0% but switch the recursion denominator to cleared demand; or ② keep the unconstrained denominator but recalibrate the start point to an inventory gap measured on the unconstrained basis — which would be shallower than −9.0%, since cleared demand is smaller than unconstrained demand. This workbook does not choose for you; it sets both paths side by side in block [B] of sheet 05.</t>
  </si>
  <si>
    <t>[D] v4.0 addition: two demand-side items this decomposition cannot yet close</t>
  </si>
  <si>
    <t>What KB Securities says</t>
  </si>
  <si>
    <t>What this model says</t>
  </si>
  <si>
    <t>Why they cannot be compared directly</t>
  </si>
  <si>
    <t>Memory as a share of AI capex</t>
  </si>
  <si>
    <t>Memory rises from 14% of global AI infrastructure investment in 2025 to 57% in 2027 — a fourfold expansion in two years. Global AI infrastructure investment reaches $1.3tn in 2027, +60% year on year.</t>
  </si>
  <si>
    <t>DRAM + NAND rise from 47% of major-CSP capex in 2026 to 68% in 2027 (TrendForce 2026-08-25), used on sheet 04 to back out bit demand.</t>
  </si>
  <si>
    <t>★ The denominators differ (CSP capex versus global AI infrastructure investment) so the two percentages are not comparable; the direction is the same. Tracking item 8 on sheet 08 is to put them on one basis.</t>
  </si>
  <si>
    <t>Enterprise SSD (eSSD) bit demand</t>
  </si>
  <si>
    <t>AI server investment pulls server DDR5 and enterprise SSD together, so the 2027 NAND gap also exceeds 10%.</t>
  </si>
  <si>
    <t>This sheet models DRAM only; the NAND demand assumption sits on sheet 02 and the v3.0 base case used 18% for 2027.</t>
  </si>
  <si>
    <t>★ No independent read on eSSD bit demand has been obtained. This is the single source of the disagreement with KB on NAND and is the highest-priority information gap on the v4.0 tracking list.</t>
  </si>
  <si>
    <t>Second de-spec event (NVIDIA 8-high)</t>
  </si>
  <si>
    <t>Not addressed by KB. DigiTimes gives NVIDIA's reason as thermal limits, packaging yield and memory availability under tight supply.</t>
  </si>
  <si>
    <t>Tracking item 14 in v3.0 said a second de-spec would materially overturn the unconstrained-demand basis. It has now happened.</t>
  </si>
  <si>
    <t>★ The motive is two-sided. Supply-driven de-spec (cannot get the parts) does not constitute a real fall in demand — it defers or displaces it. Technical de-spec (heat, power, packaging yield) does. v4.0's treatment: keep the basis, add a physical ceiling — 600kW per rack is that ceiling.</t>
  </si>
  <si>
    <t>★ Honest limitation: nothing in this block changes a number in the decomposition above. It is recorded because v4.0's NAND correction is an alignment to someone else's judgement rather than a new measurement, and because the second de-spec puts a physical ceiling on the unconstrained-demand basis that the model still does not enforce anywhere.</t>
  </si>
  <si>
    <t>04 · External confirmation: NVIDIA FY2027 Q2, TrendForce 8/25 and KB Securities 9/7</t>
  </si>
  <si>
    <t>The v3.0 data cut-off was 2026-08-24; the v4.0 cut-off is 2026-09-08. Every item below is tagged with which model assumption it strengthens or weakens, and which cell it touches</t>
  </si>
  <si>
    <t>[A] Six items confirmed by NVIDIA FY27 Q2 (through 2026-07-26)</t>
  </si>
  <si>
    <t>Confirmed item</t>
  </si>
  <si>
    <t>Figure / wording</t>
  </si>
  <si>
    <t>Direction</t>
  </si>
  <si>
    <t>Which cell it touches</t>
  </si>
  <si>
    <t>Assessment</t>
  </si>
  <si>
    <t>Supply and capacity commitments</t>
  </si>
  <si>
    <t>$119.0bn → $279.0bn; the 10-Q says explicitly 'primarily memory and manufacturing capacity'; by year: FY27 remaining $92.0bn / FY28 $87.0bn / FY29 $88.0bn, collapsing to $6.0bn in FY30</t>
  </si>
  <si>
    <t>★ Strengthens the demand side (2026–28)
△ but draws a 2029 boundary</t>
  </si>
  <si>
    <t>Sheet 01 column K (demand growth) 2026–2028</t>
  </si>
  <si>
    <t>The hardest external support the demand assumption has: one company has locked three years of memory volume under binding contracts. But the 93% collapse in FY30 is information too — NVIDIA itself will not commit beyond 2029.</t>
  </si>
  <si>
    <t>CFO Kress on the earnings call</t>
  </si>
  <si>
    <t>'Today's memory scarcity is in large part driven by the AI build-out itself'</t>
  </si>
  <si>
    <t>★ Strengthens the demand attribution</t>
  </si>
  <si>
    <t>Section 03 of sheet 00, the inventory anchor narrative</t>
  </si>
  <si>
    <t>The largest buyer publicly accepts that the scarcity is of its own making. That rules out the alternative explanation that scarcity is deliberate supplier restraint.</t>
  </si>
  <si>
    <t>Q3 FY27 gross margin guidance</t>
  </si>
  <si>
    <t>74.0%, down 100bp sequentially, principally on memory cost; Grace Blackwell and Vera Rubin systems priced up 15%+ from early 2027</t>
  </si>
  <si>
    <t>★ Confirms the price transmission chain</t>
  </si>
  <si>
    <t>Whole model (the price mechanism sits outside it)</t>
  </si>
  <si>
    <t>Memory inflation is now large enough to cost NVIDIA 100bp of gross margin, and NVIDIA's response was to pass it on rather than de-spec. So the 'physical gap → price' transmission was not being blocked by buyer resistance in 2026–27.</t>
  </si>
  <si>
    <t>Top five cloud vendors' capex</t>
  </si>
  <si>
    <t>2026 nearly $800bn → 2027 $1.3tn (+63%)</t>
  </si>
  <si>
    <t>★ Strengthens the demand side</t>
  </si>
  <si>
    <t>Sheet 01 K26 (S2 2027 demand)</t>
  </si>
  <si>
    <t>★ Note the basis difference against TrendForce, which puts 2027 CSP capex at +50%. The two differ by 13pp and NVIDIA is the seller.</t>
  </si>
  <si>
    <t>AWS incremental orders</t>
  </si>
  <si>
    <t>An additional 2 million GPUs deployed across 2027–2028 (Blackwell Ultra / Rubin / Rubin Ultra)</t>
  </si>
  <si>
    <t>★ Strengthens HBM demand</t>
  </si>
  <si>
    <t>Sheet 03 HBM row (weight 9%, growth 60%)</t>
  </si>
  <si>
    <t>Rubin carries 288GB of HBM4 per card, so 2 million units is roughly 576PB of incremental HBM4 spread over two years — direct support for the HBM growth assumption on sheet 03.</t>
  </si>
  <si>
    <t>SOCAMM de-spec (2026-06)</t>
  </si>
  <si>
    <t>Vera CPU-side SOCAMM 192GB → 96GB; SOCAMM DRAM per rack 55TB → 28TB; rack BOM $7.60m → $6.80m</t>
  </si>
  <si>
    <t>✗ Weakens the 'unconstrained demand' assumption</t>
  </si>
  <si>
    <t>The basis premise behind sheet 03 and sheet 01 column K</t>
  </si>
  <si>
    <t>★★ The most important counter-evidence against the model: demand is not price-inelastic. Past a certain price the largest buyer redesigns the demand away. HBM is unaffected (architecturally rigid); conventional DRAM and LPDDR are exposed. ▲ v4.0: the 8-high HBM4 request is the SECOND such event — see sheet 06.</t>
  </si>
  <si>
    <t>[B] TrendForce 2026-08-25: the structure of CSP capex (published after the v3.0 cut-off)</t>
  </si>
  <si>
    <t>Meaning</t>
  </si>
  <si>
    <t>CSP total capex growth</t>
  </si>
  <si>
    <t>NVIDIA's basis puts 2027 at +63%; the two differ by 13pp</t>
  </si>
  <si>
    <t>DRAM + NAND as a share of CSP capex</t>
  </si>
  <si>
    <t>★ Memory is eating two thirds of cloud capex</t>
  </si>
  <si>
    <t>Server DRAM cumulative contract price increase</t>
  </si>
  <si>
    <t>About +270% across 2026 (2H25 alone was +64%)</t>
  </si>
  <si>
    <t>Enterprise SSD cumulative contract price increase</t>
  </si>
  <si>
    <t>About +235% across 2026 (2H25 alone was +35%)</t>
  </si>
  <si>
    <t>HBM contract price increase</t>
  </si>
  <si>
    <t>+70~140% in 2027, midpoint taken. ⚠ Opposite in direction to the v1.0 'HBM economics reversal' assumption</t>
  </si>
  <si>
    <t>HBM + RDIMM as a share of DRAM bit supply</t>
  </si>
  <si>
    <t>★ Used to check the segment weights on sheet 03</t>
  </si>
  <si>
    <t>Server DRAM + HBM bit supply growth</t>
  </si>
  <si>
    <t>2027; RDIMM alone only +15~20% (TrendForce 7/9)</t>
  </si>
  <si>
    <t>[C] Backing out memory bit demand from the CSP basis — an independent check on the model's 2027 demand</t>
  </si>
  <si>
    <t>Step</t>
  </si>
  <si>
    <t>Expression</t>
  </si>
  <si>
    <t>Result</t>
  </si>
  <si>
    <t>① CSP memory spend growth 2027 (in money)</t>
  </si>
  <si>
    <t>(1 + CSP capex growth_27) × memory share_27 ÷ memory share_26 − 1</t>
  </si>
  <si>
    <t>CSP memory purchasing growth measured in money</t>
  </si>
  <si>
    <t>② 2027 blended ASP increase (editable)</t>
  </si>
  <si>
    <t>Assumption: server DRAM rising quarter on quarter but decelerating, plus HBM +70~140%, blended at 50%</t>
  </si>
  <si>
    <t>★ The most sensitive input on this sheet. Enter 40% and bit growth rises to about 55%; enter 60% and it falls to about 36%.</t>
  </si>
  <si>
    <t>③ CSP memory bit demand growth</t>
  </si>
  <si>
    <t>Expression: (1 + ①) ÷ (1 + ②) − 1</t>
  </si>
  <si>
    <t>The CSP leg only; excludes handsets, PCs and consumer</t>
  </si>
  <si>
    <t>④ Converted to the whole market</t>
  </si>
  <si>
    <t>CSP weight × ③ + non-CSP weight × non-CSP growth</t>
  </si>
  <si>
    <t>CSP weight = the HBM and RDIMM rows on sheet 03; non-CSP growth borrows the handset unconstrained rate as a proxy</t>
  </si>
  <si>
    <t>⑤ Cross-check: the value the model uses</t>
  </si>
  <si>
    <t>Sheet 01 K26 plus the console demand shift</t>
  </si>
  <si>
    <t>Two independent routes (the bottom-up build on sheet 03 and this CSP back-out) both land in the 20%–29% band, and the 26% in use sits between them.</t>
  </si>
  <si>
    <t>★ How to read it: the value of this section is not a 'more accurate number' but that it turns the one key parameter the model never derived into two mutually corroborating routes, each testable against external data. One route runs slightly low (23.5%), the other slightly high (28.7%), and the 26% in use sits between them — the strongest positive validation the model has had, and it came in the place I expected it to fail.</t>
  </si>
  <si>
    <t>[D] v4.0 addition: KB Securities research note, 2026-09-07 (head of research Kim Dong-won)</t>
  </si>
  <si>
    <t>'As of the third quarter, memory inventory at Samsung Electronics and SK hynix has fallen below 10 days. That goes beyond a simple demand recovery — there is a high probability that the absolute supply available is insufficient. Next year's saleable memory volume running out could become reality.' Carried by DigiTimes, Seoul Economic Daily, TechTimes and technetbooks, all dated 2026-09-07.</t>
  </si>
  <si>
    <t>#</t>
  </si>
  <si>
    <t>KB's quantification</t>
  </si>
  <si>
    <t>Impact on this model</t>
  </si>
  <si>
    <t>How this workbook handles it</t>
  </si>
  <si>
    <t>2027 DRAM and NAND bit demand growth will exceed supply growth by more than 10 percentage points</t>
  </si>
  <si>
    <t>Directly comparable with the flow basis. My S2 base case gives −10.5% on the production basis and −15.5% after the inventory correction; KB's 'more than 10 points' sits between them.</t>
  </si>
  <si>
    <t>Sheet 09 [D] row 54 sets the v4.1 flow against KB's figure.</t>
  </si>
  <si>
    <t>The 2027 supply gap will exceed 10% for both DRAM and NAND</t>
  </si>
  <si>
    <t>On DRAM this corroborates the model. On NAND it contradicts it head on — my N2 base case had 2027 turning to surplus at +10.9%.</t>
  </si>
  <si>
    <t>Sheet 02 block [F] applies the NAND correction with both levers reversible.</t>
  </si>
  <si>
    <t>Producing HBM4 consumes three times the wafer capacity of conventional DRAM</t>
  </si>
  <si>
    <t>★★★ The most important external validation the model has received. Every v3.0 conclusion rests on the 3× wafer penalty, and until now that was a self-built assumption with no third-party support.</t>
  </si>
  <si>
    <t>Sheet 01 row 6 (the console penalty slider) now carries a third-party source rather than an author assumption.</t>
  </si>
  <si>
    <t>The shortage is not confined to HBM — AI server investment pulls server DDR5 and enterprise SSD at the same time</t>
  </si>
  <si>
    <t>Consistent with the RDIMM weight on sheet 03; on the NAND side it is the mechanism behind the disagreement in item ②.</t>
  </si>
  <si>
    <t>Recorded as the top information gap on the sheet 08 tracking list.</t>
  </si>
  <si>
    <t>Other data published in the same note</t>
  </si>
  <si>
    <t>Healthy DRAM finished-goods inventory</t>
  </si>
  <si>
    <t>30–45 days = 4.3–6.4 weeks</t>
  </si>
  <si>
    <t>Supply-chain benchmark. The model's 'normal' of 8 weeks is more conservative still.</t>
  </si>
  <si>
    <t>Combined share of the two suppliers</t>
  </si>
  <si>
    <t>About 64% of global DRAM revenue</t>
  </si>
  <si>
    <t>Samsung plus SK hynix. So a sub-10-day reading at these two covers ≈64% of DRAM revenue, not the whole industry; v4.1 scales it by that coverage (sheet 09 row 10).</t>
  </si>
  <si>
    <t>Global DRAM revenue, 2026 Q2</t>
  </si>
  <si>
    <t>$154.73bn (TrendForce, April–June)</t>
  </si>
  <si>
    <t>Used for scale, not in the model.</t>
  </si>
  <si>
    <t>Global AI infrastructure investment</t>
  </si>
  <si>
    <t>$1.3tn in 2027, +60% year on year</t>
  </si>
  <si>
    <t>Same order as NVIDIA's top-five cloud capex figure of $1.3tn.</t>
  </si>
  <si>
    <t>Memory as a share of that budget</t>
  </si>
  <si>
    <t>14% in 2025 → 57% in 2027</t>
  </si>
  <si>
    <t>⚠ A different denominator from the model's 'DRAM+NAND = 47% → 68% of CSP capex'. Not comparable directly; same direction.</t>
  </si>
  <si>
    <t>Share prices</t>
  </si>
  <si>
    <t>Down 38% from the peak; the analyst calls the group deeply undervalued</t>
  </si>
  <si>
    <t>Recorded for completeness. Valuation is outside this model's boundary.</t>
  </si>
  <si>
    <t>★ Why item ③ matters more than it looks: a model whose every conclusion rests on one self-built parameter is fragile in a specific way — you cannot tell whether you are measuring the world or your own assumption. An independent sell-side house arriving at exactly the same 3:1 figure does not make the model right, but it does move that parameter out of the 'author assumption' column and into the 'market consensus' column. That is the single largest reduction in model risk in v4.0.</t>
  </si>
  <si>
    <t>05 · v3.0 audit supplement: five new findings and two robustness tests</t>
  </si>
  <si>
    <t>Section 07 of sheet 00 lists the original ten (A×4, B×3, C×3); this sheet adds the five found in v3.0, two of them grade A. Sheet 06 block [F] adds the five found in v4.0. Nothing has been removed</t>
  </si>
  <si>
    <t>[A] The five findings new in v3.0</t>
  </si>
  <si>
    <t>Start point and recursion use different denominators</t>
  </si>
  <si>
    <t>The start point (−9.0% on the v3.0 inventory reading, −12.6% on the v4.0 reading) has cleared demand in its denominator, because inventory weeks are converted using actual consumption; the recursion's denominator is unconstrained demand. Two different denominators inside one continued product.</t>
  </si>
  <si>
    <t>The gap is systematically computed too deep. On the sheet 03 decomposition the two bases differ by about 7.5pp in a single year and about 20.7pp cumulatively over three — which is the main reason the model's −19.5% runs deeper than any external dataset.</t>
  </si>
  <si>
    <t>→ Quantified in block [C] of sheet 03; block [B] below sets the two correction paths side by side.</t>
  </si>
  <si>
    <t>The supply side has no reaction function (supply is exogenous)</t>
  </si>
  <si>
    <t>Supply growth is entirely exogenous, decoupled from price and from demand. Scenario S5 produces 'supply = 178% of demand' in 2028 — arithmetically correct, economically absurd. In the real world DRAM makers cut output when prices collapse, as they did in 2019 and 2023.</t>
  </si>
  <si>
    <t>★ The right tail of the extreme scenarios is badly exaggerated, and it is precisely that tail which drags the 2028 probability weighting from the median's −19.5% up to −4.9%.</t>
  </si>
  <si>
    <t>→ Block [C] below adds an adjustable output-cut trigger and shows the weighted result after truncation.</t>
  </si>
  <si>
    <t>DRAM and NAND scenarios are not paired</t>
  </si>
  <si>
    <t>The two sheets assign probabilities independently, allowing 'DRAM collapse (demand −8%)' and 'NAND robust (demand +14%)' to coexist in the same year. But the demand drivers overlap heavily, so that is not self-consistent at the scenario level.</t>
  </si>
  <si>
    <t>The divergence conclusion might be an artefact of two independent sets of assumptions rather than a real structural difference.</t>
  </si>
  <si>
    <t>→ Block [D] below runs a forced pairing test: after pairing the divergence does not vanish, it widens. Robust ✔</t>
  </si>
  <si>
    <t>'Unconstrained demand' implies demand has no price elasticity</t>
  </si>
  <si>
    <t>NVIDIA's SOCAMM de-spec (June 2026, SOCAMM DRAM per rack 55TB → 28TB, −49%) proves that past a certain price the largest buyer redesigns the demand away. HBM is unaffected; conventional DRAM and LPDDR are exposed.</t>
  </si>
  <si>
    <t>The 'unconstrained demand' basis has a physical ceiling and the model imposes no constraint on it at all. ▲ v4.0: the second de-spec has now happened (NVIDIA's 8-high HBM4 request) and its stated reason includes availability under tight supply.</t>
  </si>
  <si>
    <t>→ Recorded as item 6 in block [A] of sheet 04; sheet 03 sets HBM and conventional DRAM growth separately, which mitigates it in part. ▲ v4.0 adds a de-spec demand ceiling slider on sheet 06.</t>
  </si>
  <si>
    <t>The notebook demand-destruction figure has been revised down externally</t>
  </si>
  <si>
    <t>The model quotes 'notebooks −10%', but TrendForce cut its 2026 global notebook shipment forecast to −14.8% in July 2026.</t>
  </si>
  <si>
    <t>The cleared gap is smaller than the model implies, because demand destruction is worse.</t>
  </si>
  <si>
    <t>→ The cleared growth rate on the PC row of sheet 03 is set to −5% on the new data (a bit basis, including per-unit capacity de-spec).</t>
  </si>
  <si>
    <t>[B] Correcting grade-A finding 1: three basis paths side by side (S2 base case)</t>
  </si>
  <si>
    <t>In use: start point (cleared basis) × recursion (unconstrained basis)</t>
  </si>
  <si>
    <t>Stock basis. The start point converts inventory weeks using cleared demand while the recursion denominator is unconstrained demand — two denominators, one continued product. This is the deepest reading.</t>
  </si>
  <si>
    <t>Correction ①: stock + cleared denominator (bases aligned)</t>
  </si>
  <si>
    <t>Reads as 'at the end of this year, how far is inventory still from normal'. ★ Not directly comparable with TrendForce's flow sufficiency ratio.</t>
  </si>
  <si>
    <t>Correction ②: stock + unconstrained denominator, start point zeroed</t>
  </si>
  <si>
    <t>Reads as 'if prices never moved, how deep is the cumulative physical gap'.</t>
  </si>
  <si>
    <t>Correction ③: flow + cleared (★ the only one directly comparable with institutional data)</t>
  </si>
  <si>
    <t>Basis: this year's supply growth minus cleared demand growth. 2027 gives roughly −0.5% against TrendForce's published DRAM sufficiency of −1~−2% — the first time the model passes a like-for-like external test on DRAM.</t>
  </si>
  <si>
    <t>How much the convention in use overstates it (in use − correction ②)</t>
  </si>
  <si>
    <t>percentage points. A negative value means the convention in use computes a deeper gap.</t>
  </si>
  <si>
    <t>[C] Correcting grade-A finding 2: adding a supply-side output-cut reaction function</t>
  </si>
  <si>
    <t>Output-cut trigger threshold (editable)</t>
  </si>
  <si>
    <t>When a scenario's horizontal adequacy exceeds this value (surplus above 35%), suppliers are treated as having started cutting output and the gap is truncated at this level. Enter 999% to switch the feature off.</t>
  </si>
  <si>
    <t>2028 raw</t>
  </si>
  <si>
    <t>2028 truncated</t>
  </si>
  <si>
    <t>★ After truncation the mean drops materially and the distance to the median narrows — confirming the raw mean was being pulled up by the right tail.</t>
  </si>
  <si>
    <t>Probability median (comparison)</t>
  </si>
  <si>
    <t>The median is unaffected by tail truncation, which is exactly why it is the more robust statistic.</t>
  </si>
  <si>
    <t>Mean − median gap</t>
  </si>
  <si>
    <t>Percentage points. How much that gap shrinks after truncation is a measure of how badly the right tail was contaminating the conclusion.</t>
  </si>
  <si>
    <t>[D] Testing grade-B finding 3: forcing the DRAM and NAND scenarios into pairs</t>
  </si>
  <si>
    <t>Pair DRAM's S1–S5 with NAND's N1–N4 as though each pair were one macro world (S1↔N1, S2↔N2, S3↔N3, S4↔N4, S5↔N4) and use the DRAM probabilities as the common weight. If the divergence disappears once paired, it was an artefact of two independent assumption sets; if it survives, it is a real structural difference.</t>
  </si>
  <si>
    <t>Pairing</t>
  </si>
  <si>
    <t>Common probability</t>
  </si>
  <si>
    <t>DRAM 2028
horizontal gap</t>
  </si>
  <si>
    <t>NAND 2028
horizontal gap</t>
  </si>
  <si>
    <t>Divergence (pp)</t>
  </si>
  <si>
    <t>S1 ↔ N1</t>
  </si>
  <si>
    <t>S2 ↔ N2</t>
  </si>
  <si>
    <t>S3 ↔ N3</t>
  </si>
  <si>
    <t>S4 ↔ N4</t>
  </si>
  <si>
    <t>S5 ↔ N4</t>
  </si>
  <si>
    <t>Probability weighted after pairing</t>
  </si>
  <si>
    <t>Original independent weighting (comparison)</t>
  </si>
  <si>
    <t>Test: the paired result must share the sign of the independent weighting and be at least 80% of its magnitude to count as robust. If pairing flips the sign (for example after pulling NAND layers and yield both negative), the divergence conclusion really does depend on the NAND supply assumptions.</t>
  </si>
  <si>
    <t>[E] The full basis table after v3.0 and v4.0: eight conventions side by side</t>
  </si>
  <si>
    <t>① v1.0 flow: supply−demand growth gap</t>
  </si>
  <si>
    <t>② v2.0 stock: multiplicative recursion (mixed bases)</t>
  </si>
  <si>
    <t>⚠ Denominators inconsistent — see item 1 in block [A]</t>
  </si>
  <si>
    <t>③ After the HBM basis correction</t>
  </si>
  <si>
    <t>Same as ②, but the HBM wafer share is put on a global basis (CXMT dilution removed)</t>
  </si>
  <si>
    <t>④ True stock: additive accumulation</t>
  </si>
  <si>
    <t>⑤ v3.0 correction: stock + cleared denominator</t>
  </si>
  <si>
    <t>How far inventory still is from normal (bases aligned)</t>
  </si>
  <si>
    <t>⑥ v3.0 correction: stock + unconstrained denominator, start zeroed</t>
  </si>
  <si>
    <t>How deep the cumulative physical gap is if prices never moved (bases aligned)</t>
  </si>
  <si>
    <t>⑦ v3.0 correction: flow + cleared (★ comparable with institutional data)</t>
  </si>
  <si>
    <t>Benchmark against TrendForce's DRAM sufficiency of −1~−2%</t>
  </si>
  <si>
    <t>⑧ v4.0: flow, shipment basis (inventory release removed from the base)</t>
  </si>
  <si>
    <t>▲ NEW. What customers can actually receive, once you stop counting bits that came out of inventory rather than out of a fab. This is the basis on which 2027 is still short.</t>
  </si>
  <si>
    <t>★★ All eight numbers are correct and all eight answer different questions. The common root of the mistakes in v1.0 and v2.0 was putting numbers from different bases next to each other. v3.0's contribution was not a more accurate gap but aligning each basis's numerator with its denominator so each could be checked against the matching external dataset. v4.0's contribution is the eighth row: separating what was produced from what was shipped.</t>
  </si>
  <si>
    <t>06 · v4.0 Inventory-Exhaustion Edition — the engine behind the three corrections</t>
  </si>
  <si>
    <t>New sheet, 2026-09-08  |  every v4.0 lever lives in the console below, so sheets 01 and 02 keep their v3.0 results reproducible  |  set every slider to zero and the whole workbook reverts exactly to v3.0</t>
  </si>
  <si>
    <t>Two news items were verified for this version, and their importance is very nearly the reverse of how they read. NVIDIA asking for 8-high HBM4 sounds like the bigger story but is worth about one percentage point in the model, because it contains two offsetting effects — base-die dilution (−3.7%) and a compounding stacking-yield gain (+4~13%). The item that actually moves the conclusion is Samsung and SK hynix inventory below 10 days: it means roughly 4.9% of 2026 shipments were released from stock rather than produced, and that source is now exhausted. From 2027, shipments can only come from a fab.</t>
  </si>
  <si>
    <t>[A] v4.0 PARAMETER CONSOLE · the three corrections, each on its own slider</t>
  </si>
  <si>
    <t>How to use: drag the grey scroll bar, or click the arrows at either end to nudge one step. The yellow cell is the converted current value; the blue cell on the right is the slider's raw integer and can be typed into directly. Set rows 9, 10, 11, 13 and 14 to zero and every table in this workbook reverts to the v3.0 result — that reversibility is deliberate, because two of the three corrections are judgements rather than measurements.</t>
  </si>
  <si>
    <t>Correction 2 · 2026 inventory release (weeks)</t>
  </si>
  <si>
    <t>0.00 – 4.00 wk</t>
  </si>
  <si>
    <t>The bits released from supplier inventory during 2026 and therefore already sitting in the 2026 shipment base. Default 2.57 weeks = the July 2026 reading of 4.00 minus the 2026 Q3 reading of 1.43 (KB Securities). Each step is 0.01 weeks.</t>
  </si>
  <si>
    <t>Correction 1 · 8-high HBM4 penalty relief (×)</t>
  </si>
  <si>
    <t>0.00 – −0.50×</t>
  </si>
  <si>
    <t>How much the HBM wafer penalty falls from 2027 once 8-high displaces 12-high. Full arithmetic on sheet 07: at a per-layer bond yield of 0.975 the implied relief is about −0.18×; −0.20 is the round number used here. 2026 keeps the 3.0× penalty because 8-high ships from 2027.</t>
  </si>
  <si>
    <t>Correction 3 · second de-spec demand ceiling, 2027 (pp)</t>
  </si>
  <si>
    <t>0.0 – −6.0pp</t>
  </si>
  <si>
    <t>The part of the NVIDIA 8-high request that is genuinely technical (thermal limits, power, packaging yield) rather than supply-driven, expressed as a cap on 2027 unconstrained demand. v4.0 puts it at −2 to −3pp. Applied to 2027 only.</t>
  </si>
  <si>
    <t>Drag convention: 0 = off, 1 = report linear, 2 = exact</t>
  </si>
  <si>
    <t>0, 1 or 2</t>
  </si>
  <si>
    <t>How the release is converted into a shipment-growth drag. 1 reproduces the report (subtract the release share, ≈−5.0pp). 2 is the mathematically exact form (1+g)/(1+r)−1, which is about 0.4pp harsher. 0 switches the correction off.</t>
  </si>
  <si>
    <t>NAND · 2027 demand uplift, eSSD (pp)</t>
  </si>
  <si>
    <t>Moves the N2 base case toward KB Securities' view that AI server investment pulls enterprise SSD alongside server DDR5. Default +4.0pp lifts 2027 NAND demand from 22% to 26% (N2 input 20% plus the +2pp console shift). ⚠ This is an alignment to someone else's judgement, not a new measurement.</t>
  </si>
  <si>
    <t>NAND · 2027 supply drag (pp)</t>
  </si>
  <si>
    <t>The NAND equivalent of the inventory correction. NAND inventory at 4–5 weeks is tight but far less so than DRAM's 1.43, so v4.0 uses −3.0pp rather than −5.0pp.</t>
  </si>
  <si>
    <t>Release as a share of one year of supply</t>
  </si>
  <si>
    <t>[B] The 2027 headline: v3.0 → inventory correction → all three corrections</t>
  </si>
  <si>
    <t>2027 supply
v3.0 (production)</t>
  </si>
  <si>
    <t>2027 gap
v4.0 (inventory only)</t>
  </si>
  <si>
    <t>Change
(pp)</t>
  </si>
  <si>
    <t>2027 gap
v4.0 (all three)</t>
  </si>
  <si>
    <t>2027 supply
after 8-high relief</t>
  </si>
  <si>
    <t>2027 shipments
v4.0</t>
  </si>
  <si>
    <t>Probability that 2027 is still short</t>
  </si>
  <si>
    <t>★★★ The single most important line in v4.0: on the inventory correction alone the probability that DRAM is still short in 2027 rises from 53% to 78%, because S3 — the relief scenario carrying 25% probability — moves from +1.7% (turns to surplus) to −3.3% (still short). What moved it was not a demand datapoint but a supply-side accounting fact. Column G shows what happens once the other two corrections are applied as well: they push in the opposite direction and S3 returns to the boundary. Both numbers are in the report; only one can be the headline. See block [D].</t>
  </si>
  <si>
    <t>[C] Full v4.0 model: three years, all three corrections applied</t>
  </si>
  <si>
    <t>The inventory drag applies to 2027 only: the release sits in the 2026 base, so it depresses the 2026→2027 comparison and then washes out. The 8-high relief applies from 2027 onward. The de-spec demand ceiling is applied to 2027 only, which is conservative — if the 600kW rack power limit is a genuine physical ceiling it should persist into 2028 as well.</t>
  </si>
  <si>
    <t>④ Flow 2026</t>
  </si>
  <si>
    <t>④ Flow 2027</t>
  </si>
  <si>
    <t>④ Flow 2028</t>
  </si>
  <si>
    <t>② Stock 2026</t>
  </si>
  <si>
    <t>② Stock 2027</t>
  </si>
  <si>
    <t>② Stock 2028</t>
  </si>
  <si>
    <t>2028 supply
(helper)</t>
  </si>
  <si>
    <t>2028 demand
(helper)</t>
  </si>
  <si>
    <t>Rows 35 and 36 are what sheets 00, 01 and 05 link to for the 'v4.0 fully corrected' lines. Note that 2026 is unchanged from v3.0 on purpose — see audit finding B6 in block [F], which is the honest objection to doing it this way.</t>
  </si>
  <si>
    <t>[D] ⚠ Reconciling v4.0's own two headline numbers</t>
  </si>
  <si>
    <t>2027 weighted growth gap</t>
  </si>
  <si>
    <t>Contribution (pp)</t>
  </si>
  <si>
    <t>v3.0, probability weighted</t>
  </si>
  <si>
    <t>The published v3.0 figure, on a production basis with the 3.0× penalty and unconstrained demand.</t>
  </si>
  <si>
    <t>Correction 1 · 8-high HBM4 lowers the wafer penalty from 2027</t>
  </si>
  <si>
    <t>Easing. The report quotes +0.8pp from the change in the HBM drag itself (−6.25pp → −5.41pp); propagated through the supply formula it is slightly larger, because the drag acts on an already-enlarged wafer and node base.</t>
  </si>
  <si>
    <t>Correction 2 · inventory exhaustion removes the 2026 release from the 2027 base</t>
  </si>
  <si>
    <t>Tightening, and the largest of the three. Under convention 1 this is the report's −5.0pp; under convention 2 (exact) it is about −5.4pp.</t>
  </si>
  <si>
    <t>Correction 3 · the second de-spec caps unconstrained demand</t>
  </si>
  <si>
    <t>Easing. Only the technical half of the de-spec counts — heat, power and packaging yield. The supply-driven half (cannot get the parts) is not a real fall in demand, it merely defers it.</t>
  </si>
  <si>
    <t>v4.0 with all three corrections</t>
  </si>
  <si>
    <t>★ The internally consistent answer (v4.1 parameters). The three contributions above are exactly additive to this line.</t>
  </si>
  <si>
    <t>v4.0 report headline (section 4.2, correction 2 only)</t>
  </si>
  <si>
    <t>The −7.3% quoted at the top of the report, which applies the inventory correction alone.</t>
  </si>
  <si>
    <t>Unexplained difference between the two</t>
  </si>
  <si>
    <t>⚠ Audit finding A7. Section 4.1 of the report nets the three corrections to about −1.7pp while section 4.2 quotes a −5.0pp move. Both cannot be the headline. The defensible statement is that the inventory correction alone gives −7.3% and a 78% probability of shortage, and that the fully corrected figure is materially shallower — so the honest range for 2027 is between the two, not a single number.</t>
  </si>
  <si>
    <t>[E] The 4.9% arithmetic, written out</t>
  </si>
  <si>
    <t>Where it comes from</t>
  </si>
  <si>
    <t>July 2026 supplier inventory (weeks)</t>
  </si>
  <si>
    <t>Luminix, DRAM Cycle Mid-2026 Update: a 3–5 week range, midpoint taken. Editable.</t>
  </si>
  <si>
    <t>2026 Q3 supplier inventory (weeks)</t>
  </si>
  <si>
    <t>KB Securities, 2026-09-07: below 10 days at Samsung and SK hynix = below 1.43 weeks. The two together hold about 64% of global DRAM revenue, so this is a two-supplier reading, not an industry one; v4.1 scales it by that coverage (sheet 09 row 10).</t>
  </si>
  <si>
    <t>Bits released over the period (weeks)</t>
  </si>
  <si>
    <t>The drawdown. This volume was shipped to customers but not produced in the period.</t>
  </si>
  <si>
    <t>As a share of one year of supply</t>
  </si>
  <si>
    <t>★ Roughly 4.9%. This is the number the whole of v4.0 turns on.</t>
  </si>
  <si>
    <t>Value used by the console slider (weeks)</t>
  </si>
  <si>
    <t>Row 9 above. Defaulted to the derived figure; drag it to test how sensitive the conclusion is to the release estimate.</t>
  </si>
  <si>
    <t>Drag applied to 2027 shipment growth</t>
  </si>
  <si>
    <t>Convention 1 subtracts the release share directly, reproducing the report. Convention 2 uses the exact multiplicative form, which is slightly harsher because the base itself was inflated.</t>
  </si>
  <si>
    <t>★ Why this is a supply fact and not a demand fact: for three years the market ran short without running out, because it was drawing down inventory — from 31 weeks in early 2023 to under 1.5 in 2026 Q3, a cumulative drawdown worth more than half of one year's demand. Nothing about demand has to change for 2027 to be tighter than 2026; the buffer that absorbed the shortfall simply no longer exists.</t>
  </si>
  <si>
    <t>[F] Five audit findings new in v4.0 (running total across all versions: 20)</t>
  </si>
  <si>
    <t>A7</t>
  </si>
  <si>
    <t>v4.0's own two headline numbers disagree</t>
  </si>
  <si>
    <t>Section 4.2 quotes 2027 moving from −2.3% to −7.3% (a −5.0pp move) while section 4.1 nets the three corrections to roughly −1.7pp. The first applies correction 2 alone; the second applies all three. Both are presented as the version's answer.</t>
  </si>
  <si>
    <t>→ Block [D] above computes both and shows the exact size of the discrepancy. The honest statement is a range, not a point.</t>
  </si>
  <si>
    <t>B6</t>
  </si>
  <si>
    <t>The inventory correction is applied on one side only</t>
  </si>
  <si>
    <t>If about 4.9% of 2026 shipments came out of inventory, then 2026 shipment growth was INFLATED by roughly the same amount, not just 2027 depressed. v4.0 (and this workbook's table [C], to stay comparable with it) adjusts 2027 only.</t>
  </si>
  <si>
    <t>→ Recorded, not silently fixed. A symmetric treatment would make 2026 look better and 2027 worse by a similar amount; the two-year average is unaffected, which is itself worth knowing.</t>
  </si>
  <si>
    <t>B7</t>
  </si>
  <si>
    <t>The NAND correction aligns to someone else's judgement rather than to new data</t>
  </si>
  <si>
    <t>The report itself flags this: 2027 NAND demand was raised from 18% to 22% and supply cut by 3pp in order to move toward KB Securities' view, without any independent read on enterprise SSD bit demand.</t>
  </si>
  <si>
    <t>→ Implemented as two reversible sliders (rows 13 and 14) rather than as edits to the sheet 02 grid. Set them to zero and NAND reverts exactly to v3.0.</t>
  </si>
  <si>
    <t>C5</t>
  </si>
  <si>
    <t>The coordinate origin was wrong: 'today' was off by eleven days</t>
  </si>
  <si>
    <t>Several prior reports were dated 2026-08-28 when the actual date was 2026-09-08. Correctly dated new material was discarded as future-dated crawler noise, and at least one already-published earnings event was written up as a future event.</t>
  </si>
  <si>
    <t>→ The methodology fix is on sheet 08 block [C]: confirming the current date becomes check zero before any price or data verification. This is more fundamental than any single wrong price — a wrong origin makes correct data look wrong.</t>
  </si>
  <si>
    <t>C6</t>
  </si>
  <si>
    <t>The 8-high relief is computed with a mixed-year penalty</t>
  </si>
  <si>
    <t>The report holds the 2026 equivalent-capacity index at the 3.0× value while using 2.8× for 2027, which is what produces −5.41pp rather than −5.99pp. That is defensible, since 8-high ships from 2027, but it is an assumption and was not stated.</t>
  </si>
  <si>
    <t>→ Stated explicitly and implemented that way (2026 keeps 3.0×, 2027–28 use the relieved penalty). Sheet 07 shows what the alternative treatment would give.</t>
  </si>
  <si>
    <t>Cumulative audit findings across the model's life: 10 in v2.0's workbook (A×4, B×3, C×3), 5 new in v3.0 (A×2, B×2, C×1), 5 new in v4.0 (A×1, B×2, C×2) — 20 in total, all retained, none removed. The pattern is itself the point: v1.0's error was found by a reader, v2.0's while building the workbook, v3.0's while cross-calibrating against NVIDIA, and v4.0's while checking two news items. Treat any single quantitative conclusion — including this one — as provisional, and give priority to directly observable physical indicators: inventory weeks, quota ratios, contract prices.</t>
  </si>
  <si>
    <t>Chart notes | Chart 1: supplier inventory from 31 weeks to under 1.5. The vertical axis is deliberately not logarithmic — the point is how violent the drawdown is. | Chart 2: the 2027 growth gap by scenario, before and after the inventory correction. S3 crossing the zero axis is the whole of v4.0 in one picture. | Chart 3: the three corrections decomposed — two easing, one tightening, the tightening one much the largest.</t>
  </si>
  <si>
    <t>07 · v4.0: the 8-high HBM4 arithmetic, done properly</t>
  </si>
  <si>
    <t>Two opposing effects that mostly cancel  |  base-die dilution against a compounding stacking-yield gain  |  the result is why a headline that sounds major is worth about one percentage point in the model</t>
  </si>
  <si>
    <t>There are two intuitive answers here and both are wrong, because each computes only half of it. Answer A: '8 layers is four fewer DRAM die than 12, so it saves wafers and eases supply.' Answer B: '8-high holds only two thirds the capacity of 12-high, so you need more stacks to hold capacity and it consumes more wafers.' The arithmetic below computes both effects and nets them.</t>
  </si>
  <si>
    <t>[A] Effect A — base-die dilution: 8-high is worse</t>
  </si>
  <si>
    <t>Stack height</t>
  </si>
  <si>
    <t>Total die per stack</t>
  </si>
  <si>
    <t>Share of die that produce bits</t>
  </si>
  <si>
    <t>Relative to 12-high</t>
  </si>
  <si>
    <t>8-high</t>
  </si>
  <si>
    <t>1 base + 8 core = 9</t>
  </si>
  <si>
    <t>★ The height NVIDIA is asking for</t>
  </si>
  <si>
    <t>12-high</t>
  </si>
  <si>
    <t>1 base + 12 core = 13</t>
  </si>
  <si>
    <t>The current mainstream height</t>
  </si>
  <si>
    <t>16-high</t>
  </si>
  <si>
    <t>1 base + 16 core = 17</t>
  </si>
  <si>
    <t>What NVIDIA was demanding eight months ago</t>
  </si>
  <si>
    <t>Every HBM stack needs one base die, and the base die produces no bits at all. Spread over 9 die instead of 13, that overhead costs 8-high about 3.70% relative to 12-high. This part is fixed and does not depend on yield.</t>
  </si>
  <si>
    <t>[B] Effect B — stacking yield compounds: 8-high is better, and the advantage grows as yield falls</t>
  </si>
  <si>
    <t>Per-layer bond yield</t>
  </si>
  <si>
    <t>8-high stack yield</t>
  </si>
  <si>
    <t>12-high stack yield</t>
  </si>
  <si>
    <t>8-high yield advantage</t>
  </si>
  <si>
    <t>Base-die dilution</t>
  </si>
  <si>
    <t>Net wafer efficiency per bit</t>
  </si>
  <si>
    <t>Implied HBM penalty at 3.0× base</t>
  </si>
  <si>
    <t>★★ Stacking yield compounds: if the per-layer bond yield is y, an n-layer stack yields roughly y to the power n. And the cost of a failure matters more than the yield itself — a 12-high stack that fails on the last layer destroys twelve good die plus a base die; an 8-high failure destroys nine. ★★★ NVIDIA's stated reasons explicitly include packaging yield, which tells you yield is not where anyone would like it to be. At a per-layer yield of 0.97–0.98 the net gain is about 4%–9%, implying an effective penalty of roughly 2.75×–2.87× against the 3.0× base.</t>
  </si>
  <si>
    <t>[C] Parameterised: one slider for the per-layer bond yield</t>
  </si>
  <si>
    <t>Drag the slider to see how the net effect and the implied wafer penalty move. This is where the −0.20× default on the sheet 06 console comes from — at a per-layer yield of 0.975 the implied relief is about −0.18×, and −0.20 is the round number used.</t>
  </si>
  <si>
    <t>0.900 – 0.999</t>
  </si>
  <si>
    <t>The yield of a single layer-to-layer bond. Nobody publishes this figure; it is inferred from the fact that NVIDIA cites packaging yield as a reason.</t>
  </si>
  <si>
    <t>y raised to the 8th power.</t>
  </si>
  <si>
    <t>y raised to the 12th power. The gap widens fast as y falls.</t>
  </si>
  <si>
    <t>Purely the compounding effect.</t>
  </si>
  <si>
    <t>Fixed at −3.70%, from block [A].</t>
  </si>
  <si>
    <t>★ The number that matters. Positive means 8-high delivers more bits per wafer than 12-high.</t>
  </si>
  <si>
    <t>Implied HBM wafer penalty</t>
  </si>
  <si>
    <t>Against the 3.0× base confirmed by KB Securities.</t>
  </si>
  <si>
    <t>Implied relief for the sheet 06 slider</t>
  </si>
  <si>
    <t>★ Compare with the −0.20× default in row 10 of sheet 06.</t>
  </si>
  <si>
    <t>[D] Feeding it into the model formula: E = (1 − h) + h ÷ p</t>
  </si>
  <si>
    <t>Case</t>
  </si>
  <si>
    <t>2026 E-index
(h = 22%)</t>
  </si>
  <si>
    <t>2027 E-index
(h = 30%)</t>
  </si>
  <si>
    <t>2027 HBM drag</t>
  </si>
  <si>
    <t>Change vs the base case</t>
  </si>
  <si>
    <t>p = 3.0</t>
  </si>
  <si>
    <t>Original model — the v3.0 basis</t>
  </si>
  <si>
    <t>p = 2.9</t>
  </si>
  <si>
    <t>8-high brings p down to 2.9</t>
  </si>
  <si>
    <t>p = 2.8</t>
  </si>
  <si>
    <t>8-high brings p down to 2.8 — the v4.0 default</t>
  </si>
  <si>
    <t>p = 2.7</t>
  </si>
  <si>
    <t>8-high brings p down to 2.7 — already an aggressive assumption</t>
  </si>
  <si>
    <t>★★★ Conclusion: even if the penalty falls all the way from 3.0 to 2.7, the 2027 HBM drag only improves from −6.25pp to −4.95pp. Propagated through the supply formula that is worth roughly 1.3 percentage points on the growth gap. 8-high is a second-order effect on the DRAM balance and does not change the conclusion. | Note the convention: the 2026 column keeps p = 3.0 in every row, because 8-high ships from 2027. Apply the lower penalty to both years and the 2027 drag would read −5.99pp rather than −5.41pp; the difference is entirely that convention, and it is recorded as audit finding C6 on sheet 06.</t>
  </si>
  <si>
    <t>[E] The two-sided verdict: what 8-high does outside the DRAM balance</t>
  </si>
  <si>
    <t>Dimension</t>
  </si>
  <si>
    <t>Explanation</t>
  </si>
  <si>
    <t>HBM bit demand</t>
  </si>
  <si>
    <t>⚠ negative</t>
  </si>
  <si>
    <t>HBM capacity per GPU grows more slowly. The 'Rubin Ultra delivers 384GB per GPU' assumption inside scenario S1 is weakened.</t>
  </si>
  <si>
    <t>Confirmation that the gap exists</t>
  </si>
  <si>
    <t>✅ strongly positive</t>
  </si>
  <si>
    <t>★ Part of NVIDIA's reason for cutting the specification is that it cannot obtain the parts. That is the strongest possible evidence the gap is real — more direct than any supply-demand table. Eight months ago NVIDIA was demanding 16-high and pushing per-pin speeds above 11 Gbps; the reversal took eight months.</t>
  </si>
  <si>
    <t>Advanced packaging</t>
  </si>
  <si>
    <t>⚠ negative for CoWoS</t>
  </si>
  <si>
    <t>To hold total capacity, 8-high needs about 1.5× the number of stacks: base die +50% and a large increase in interposer area. The bottleneck moves partly from DRAM bits to packaging.</t>
  </si>
  <si>
    <t>Net judgement</t>
  </si>
  <si>
    <t>★★ It shifts part of the constraint from 'DRAM bits' to 'advanced packaging' — and packaging is outside this model's boundary. That is why CoWoS capacity is item 5 on the v4.0 tracking list, tagged as something this model cannot compute.</t>
  </si>
  <si>
    <t>★ The counter-intuitive but important takeaway: a headline that sounds major is worth 1.3 percentage points in the model, while a single inventory reading is worth five. Size of headline and size of model impact are close to uncorrelated — which is exactly what a quantitative framework is for.</t>
  </si>
  <si>
    <t>Chart note | The net wafer efficiency of 8-high against 12-high, plotted against the per-layer bond yield. The line crosses zero at about y = 0.99: above that, 8-high is actually worse, because base-die dilution dominates. Below it the compounding yield advantage takes over and grows quickly. NVIDIA citing packaging yield as a reason places us on the right-hand side of that crossing.</t>
  </si>
  <si>
    <t>08 · v4.0 falsifiable tracking list</t>
  </si>
  <si>
    <t>What has been added or promoted since v3.0, what has been retained, and the one methodology lesson that sits outside the model altogether</t>
  </si>
  <si>
    <t>[A] New and upgraded items</t>
  </si>
  <si>
    <t>Priority</t>
  </si>
  <si>
    <t>Indicator</t>
  </si>
  <si>
    <t>Current reading</t>
  </si>
  <si>
    <t>Status</t>
  </si>
  <si>
    <t>Threshold / what to watch for</t>
  </si>
  <si>
    <t>1</t>
  </si>
  <si>
    <t>Supplier inventory weeks</t>
  </si>
  <si>
    <t>Below 10 days (KB, 2026 Q3)</t>
  </si>
  <si>
    <t>▲ promoted</t>
  </si>
  <si>
    <t>★ Promoted from item 19 in v3.0 to first place. Back above 3 weeks means the tightness is easing; a further fall means 2027 sees genuine allocation failures rather than merely high prices. This is the only physical anchor of the stock basis and the most fragile single parameter in the model.</t>
  </si>
  <si>
    <t>2</t>
  </si>
  <si>
    <t>Independent read on eSSD bit demand</t>
  </si>
  <si>
    <t>Not obtained</t>
  </si>
  <si>
    <t>▲ new</t>
  </si>
  <si>
    <t>★ The sole source of the disagreement with KB Securities on NAND. Until it exists, the NAND correction on sheet 02 block [F] remains an alignment to someone else's judgement rather than a measurement.</t>
  </si>
  <si>
    <t>3</t>
  </si>
  <si>
    <t>Actual shipment mix of 8-high HBM4 / HBM4E</t>
  </si>
  <si>
    <t>Just beginning</t>
  </si>
  <si>
    <t>Above 50% would mean the de-spec is structural; if it is only a transition step, the demand-ceiling judgement on sheet 06 row 11 has to be withdrawn.</t>
  </si>
  <si>
    <t>4</t>
  </si>
  <si>
    <t>HBM capacity per GPU (Rubin Ultra actual specification)</t>
  </si>
  <si>
    <t>Assumed 384GB</t>
  </si>
  <si>
    <t>▲ upgraded</t>
  </si>
  <si>
    <t>Determines directly whether scenario S1 stands. The 8-high request has already weakened the assumption.</t>
  </si>
  <si>
    <t>5</t>
  </si>
  <si>
    <t>CoWoS / advanced packaging capacity</t>
  </si>
  <si>
    <t>Not quantified</t>
  </si>
  <si>
    <t>★ 8-high moves part of the bottleneck here, and this model cannot compute it. Recorded honestly as outside the boundary rather than approximated.</t>
  </si>
  <si>
    <t>6</t>
  </si>
  <si>
    <t>HBM wafers as a share of total DRAM wafers</t>
  </si>
  <si>
    <t>30% at end-2027 (TrendForce)</t>
  </si>
  <si>
    <t>retained</t>
  </si>
  <si>
    <t>Item 1 in v3.0 and still central. If the 2027 outturn is below 26%, the economics reversal is happening and 3–5pp of extra supply is released.</t>
  </si>
  <si>
    <t>7</t>
  </si>
  <si>
    <t>2027 HBM contract price negotiations</t>
  </si>
  <si>
    <t>+70~140% (TrendForce forecast)</t>
  </si>
  <si>
    <t>Item 2 in v3.0. ⚠ If large increases are agreed, the reversal assumption behind S3 and S4 (40% of probability combined) has to be reweighted.</t>
  </si>
  <si>
    <t>8</t>
  </si>
  <si>
    <t>Memory as a share of AI infrastructure investment</t>
  </si>
  <si>
    <t>14% in 2025 → 57% in 2027 (KB)</t>
  </si>
  <si>
    <t>⚠ A different basis from the model's 'DRAM+NAND = 47% → 68% of CSP capex'. Putting the two on one denominator is a task, not just a comparison.</t>
  </si>
  <si>
    <t>[B] Key items retained from v3.0</t>
  </si>
  <si>
    <t>Side</t>
  </si>
  <si>
    <t>Why it still matters</t>
  </si>
  <si>
    <t>9</t>
  </si>
  <si>
    <t>Micron Idaho ID1 first wafer</t>
  </si>
  <si>
    <t>Target mid-2027</t>
  </si>
  <si>
    <t>supply</t>
  </si>
  <si>
    <t>The first verifiable milestone of the 2028 capacity wave.</t>
  </si>
  <si>
    <t>10</t>
  </si>
  <si>
    <t>Samsung P5 tool move-in</t>
  </si>
  <si>
    <t>Completion 1H27, mass production 2H28</t>
  </si>
  <si>
    <t>Already about six months ahead of the original plan; any further acceleration is a warning signal.</t>
  </si>
  <si>
    <t>11</t>
  </si>
  <si>
    <t>SK hynix and Samsung 1c ramp</t>
  </si>
  <si>
    <t>SK targets 160–190k wpm by end-2026; Samsung above 200k</t>
  </si>
  <si>
    <t>Sets the node-migration bit uplift directly.</t>
  </si>
  <si>
    <t>12</t>
  </si>
  <si>
    <t>Conventional DRAM contract price, quarter on quarter</t>
  </si>
  <si>
    <t>1Q26 +93~98% → 2Q26 +58~63% → 3Q26 +13~18%</t>
  </si>
  <si>
    <t>price</t>
  </si>
  <si>
    <t>The first hard signal that the model needs re-estimating would be any quarter turning negative early.</t>
  </si>
  <si>
    <t>13</t>
  </si>
  <si>
    <t>LTA price-ceiling coverage and level</t>
  </si>
  <si>
    <t>Some LTAs signed from 2Q26 include ceilings; Sandisk NBM covers ~50% of FY27 bits</t>
  </si>
  <si>
    <t>★ v3.0 called this the most important item on the list. It determines how much of the physical gap still explains price at all.</t>
  </si>
  <si>
    <t>14</t>
  </si>
  <si>
    <t>DDR4 versus DDR5 price spread</t>
  </si>
  <si>
    <t>Both 16Gb contract prices at $35–40; the DDR5 premium has vanished</t>
  </si>
  <si>
    <t>A deeply abnormal state; the direction in which it normalises tells you whether the supply constraint is easing.</t>
  </si>
  <si>
    <t>15</t>
  </si>
  <si>
    <t>Top four cloud vendors' 2027 capex guidance</t>
  </si>
  <si>
    <t>+63% on NVIDIA's basis, +50% on TrendForce's</t>
  </si>
  <si>
    <t>demand</t>
  </si>
  <si>
    <t>To turn 2027 positive, demand growth must fall from 27% to about 17.5%. Still the only realistic path.</t>
  </si>
  <si>
    <t>16</t>
  </si>
  <si>
    <t>NVIDIA supply and capacity commitments (next 10-Q)</t>
  </si>
  <si>
    <t>$279.0bn</t>
  </si>
  <si>
    <t>A sequential fall of more than 15% would be the first hard signal that demand expectations are being cut.</t>
  </si>
  <si>
    <t>[C] The methodology lesson that is not in the model</t>
  </si>
  <si>
    <t>The correction that matters most in v4.0 is not a parameter. Several earlier reports were dated 2026-08-28 when the real date was 2026-09-08 — an eleven-day error in the coordinate origin.</t>
  </si>
  <si>
    <t>The consequence was not a missing datapoint but an inverted filter: pages correctly dated 8/31, 9/1 and 9/7 were repeatedly discarded as future-dated crawler noise. One already-published earnings release was written up as an event four days in the future. Two price errors that had been blamed on bad snapshots turned out to be correct data rejected for being 'in the future'.</t>
  </si>
  <si>
    <t>★★★ A wrong origin makes every correct datapoint look wrong. That is a more fundamental failure than any single mispriced quote, because it is systematic and self-reinforcing: the more current the data, the more likely it is to be thrown away.</t>
  </si>
  <si>
    <t>★ From v4.0 onward, confirming today's date is check zero of any price or data verification, before the source is even opened.</t>
  </si>
  <si>
    <t>[D] Effect on the company work in this series</t>
  </si>
  <si>
    <t>Report</t>
  </si>
  <si>
    <t>Effect</t>
  </si>
  <si>
    <t>Micron, SK hynix, Samsung, Sandisk, Western Digital</t>
  </si>
  <si>
    <t>The probability that 2027 is still short rises.</t>
  </si>
  <si>
    <t>✅ positive</t>
  </si>
  <si>
    <t>Rambus deep dive</t>
  </si>
  <si>
    <t>Stronger support for main-memory demand, but antitrust risk remains the first-order variable.</t>
  </si>
  <si>
    <t>✅ mildly positive</t>
  </si>
  <si>
    <t>Applied Materials deep dive</t>
  </si>
  <si>
    <t>Stronger support for 2027–2028 capex, but the structural risk from Chinese localisation is unchanged.</t>
  </si>
  <si>
    <t>Aehr deep dive</t>
  </si>
  <si>
    <t>⚠ Fewer HBM die per package weakens the scrap-cost economics argued in section 1.4.2 (an AI processor plus 8 HBM die plus interposer plus substrate). But 8-high may raise the number of stacks by about 1.5×, which pushes the other way. Net effect undetermined — flagged as an information gap.</t>
  </si>
  <si>
    <t>⚠ mildly negative</t>
  </si>
  <si>
    <t>Coherent, Lumentum, Marvell, Astera Labs, Credo</t>
  </si>
  <si>
    <t>Little effect — their bottleneck is optics and interconnect, not DRAM bits.</t>
  </si>
  <si>
    <t>neutral</t>
  </si>
  <si>
    <t>[E] Closing statement</t>
  </si>
  <si>
    <t>Three judgements are worth stating plainly. First: the second de-spec has happened, and its motive is two-sided. NVIDIA's stated reasons include both the technical (heat, power, packaging yield) and the supply-driven (availability under tight supply). Supply-driven de-spec is not a real fall in demand — it defers demand. So the unconstrained-demand basis is not overturned; it is given a physical ceiling, and 600kW of rack power is that ceiling.</t>
  </si>
  <si>
    <t>Second: part of the bottleneck is moving to advanced packaging, which is outside this model's boundary. Holding total capacity with 8-high needs about 1.5× the stacks — base die +50% and a large increase in interposer area. Enough DRAM bits may not be enough CoWoS. It is item 5 on the list above, labelled honestly as something this model cannot compute.</t>
  </si>
  <si>
    <t>Third, and most important: the arithmetic in this workbook is only as good as its origin. v1.0's error was found by a reader, v2.0's while building the workbook, v3.0's while cross-calibrating against NVIDIA, and v4.0's while checking two news items and the date. Every version has found the previous version's mistake, which is a reason to hold any single quantitative conclusion loosely and to give priority to directly observable physical indicators.</t>
  </si>
  <si>
    <t>This workbook is for research and study only. It is not investment advice and not an offer to buy or sell any security. All forward-looking judgements may be wrong. Make your own decisions in light of your own research and risk tolerance. If you work at a regulated institution, confirm the applicable personal-account reporting and pre-clearance requirements before trading.</t>
  </si>
  <si>
    <t>09 · v4.1 corrections — the new levers, the level basis and the external checks</t>
  </si>
  <si>
    <t>New sheet, 2026-09-28  |  the v4.1 levers sit in console [A], except the 8-high relief (06 row 10) and the scenario weights (01 and 02 consoles), and sheets 01, 02 and 06 read from it  |  set φ = 1, coverage = 1, both trade-ratio steps = 0, the stock convention = 0 and the base-die switch (09 row 13) = 1, then put sheet 06 row 10 back to 20 and the weights back to 16/40/27/17/0 and 25/46/29/0, and every v4.0 number reappears  |  sheet 10 lists each change</t>
  </si>
  <si>
    <t>Why this sheet exists. A re-audit on 2026-09-28 found that v4.0 counted the probability of shortage from the sign of the growth gap rather than from the level; took its depth headline from the start point its own audit had flagged as too deep; assumed the whole 2026 inventory release was consumed although TrendForce reports customers building buffers; and let the HBM wafer penalty fall in 2027 although Micron says it rises with every generation and HBM4 base dies are made at logic foundries. The fixes that are judgements get a slider here; the fixes that are errors are made in place and listed on sheet 10. Direction of the conclusion is unchanged: DRAM stays short in 2027 on a level basis in every scenario except the collapse case.</t>
  </si>
  <si>
    <t>[A] v4.1 PARAMETER CONSOLE · the corrections that are judgements, each on its own slider</t>
  </si>
  <si>
    <t>How to use: drag the grey scroll bar, or click the arrows at either end to nudge one step. The yellow cell is the converted current value; the blue cell on the right is the slider's raw integer and can be typed into directly (Excel for the web and some mobile builds do not render the sliders — type into the blue cells instead).</t>
  </si>
  <si>
    <t>Parameter</t>
  </si>
  <si>
    <t>Current value</t>
  </si>
  <si>
    <t>◀  drag to adjust  ▶</t>
  </si>
  <si>
    <t>Slider link cell</t>
  </si>
  <si>
    <t>Adjustable range</t>
  </si>
  <si>
    <t>Note</t>
  </si>
  <si>
    <t>v4.1 · share of the 2026 release actually consumed (φ)</t>
  </si>
  <si>
    <t>0.00 – 1.00</t>
  </si>
  <si>
    <t>Of the bits released from supplier inventory in 2026, the share that reached end demand rather than customer shelves. 1 = v4.0 (all of it consumed). 0 = all of it now sits in customer inventory (hyperscalers, mobile DRAM buyers): 2026 purchases were inflated by the same amount and the 2027 base effect nets out. TrendForce (7/9, 9/9) reports buffer building at US CSPs, and mobile DRAM buyers at 12–14 weeks of average inventory (8/3); it put healthy smartphone-maker inventory at 8–10 weeks (Dec 2025). Default 0.50.</t>
  </si>
  <si>
    <t>v4.1 · coverage of the KB inventory reading</t>
  </si>
  <si>
    <t>0.30 – 1.00</t>
  </si>
  <si>
    <t>KB's sub-10-day reading covers Samsung and SK hynix, about 64% of global DRAM revenue (sheet 04 row 43). If Micron and CXMT did not destock in step, the industry release is the KB-based figure × 0.64. 1.00 = v4.0 (reading treated as the whole industry). Default 0.64.</t>
  </si>
  <si>
    <t>v4.1 · HBM trade-ratio step, 2027 (×)</t>
  </si>
  <si>
    <t>0.00 – +1.00×</t>
  </si>
  <si>
    <t>Micron says the HBM-to-DDR5 trade ratio rises with each generation (FQ3 FY26 remarks: 'increasing trade ratio with every new generation'; Hot Chips, Aug 2026: roughly 3× the wafer area of DDR5, 'definitely not getting better', HBM4's 2,048 I/Os make the die larger). HBM4 becomes the main product in 2027, so the 12-high penalty steps up from the 2025–26 base. +0.50 is a judgement. 0 = v4.0.</t>
  </si>
  <si>
    <t>v4.1 · HBM trade-ratio step, 2028 (×)</t>
  </si>
  <si>
    <t>0.00 – +1.50×</t>
  </si>
  <si>
    <t>2028 adds HBM4E, which Micron put above 4:1 (March 2025 call). +0.80 assumes an HBM4/HBM4E mix of roughly 3.6× before the 8-high relief. 0 = v4.0.</t>
  </si>
  <si>
    <t>v4.1 · HBM4 base die cut from a DRAM wafer? (0/1)</t>
  </si>
  <si>
    <t>0 or 1</t>
  </si>
  <si>
    <t>Sheet 07 netted a −3.7% base-die dilution against the 8-high yield gain. That holds for HBM3E, whose base die is a DRAM die. HBM4 base dies are logic parts (SK hynix on TSMC 12nm-class, Samsung on its own SF4, Micron in-house until HBM4E moves to TSMC), so they use no DRAM wafers. Default 0: 8-high keeps only the stacking-yield gain. 1 restores the v4.0 arithmetic on sheet 07.</t>
  </si>
  <si>
    <t>v4.1 · stock convention (1 = symmetric, 0 = v4.0)</t>
  </si>
  <si>
    <t>v4.0 put 2026 on a production basis and 2027 on a shipment basis, which assumes the 2.57 weeks are rebuilt into supplier stock in 2027 — v3.0 audit A3 (restock double-counted against the start point) in another form. 1 = symmetric: 2026 is shown on a delivered basis (production + effective release), 2027 on production (no release, no rebuild). The flow block on sheet 06 is not affected.</t>
  </si>
  <si>
    <t>v4.1 · external anchor: 2026 DRAM level</t>
  </si>
  <si>
    <t>0 ~ −20.0%</t>
  </si>
  <si>
    <t>SemiAnalysis, public section of 'China's CXMT Is Set to Challenge DRAM Incumbents' (2026-06-23): DRAM 'to remain undersupplied by a high-single-digit percentage this year', widening to the low-to-mid teens in 2027. −8.0% is the midpoint. Drives the level headline in block [C]; the ② stock blocks on sheets 01 and 06 keep their own start point.</t>
  </si>
  <si>
    <t>v4.1 · lower anchor: 2026 cleared level</t>
  </si>
  <si>
    <t>0 ~ −10.0%</t>
  </si>
  <si>
    <t>TrendForce, 'Diverging Memory Market Outlook in 2027' (2026-07-30): DRAM sufficiency −1% to −2% in 2026. A cleared basis (after demand destruction), so it gives the shallow end of the range.</t>
  </si>
  <si>
    <t>Effective 2026 release used by sheet 06</t>
  </si>
  <si>
    <t>HBM wafer penalty · 2025–26 (×)</t>
  </si>
  <si>
    <t>TrendForce-implied base (sheet 01 row 6, set on the sheet 01 console). The sheet 01 main grid keeps it constant so the v3.0 results stay reproducible; the v4.1 path in the next two rows is applied in the sheet 06 engine.</t>
  </si>
  <si>
    <t>HBM wafer penalty · 2027 (×)</t>
  </si>
  <si>
    <t>HBM wafer penalty · 2028 (×)</t>
  </si>
  <si>
    <t>[B] Flow sign versus level: two probabilities that answer different questions (P0-1)</t>
  </si>
  <si>
    <t>v4.0 reported 'the probability that DRAM is still short in 2027' by adding up the weights of the scenarios whose 2027 growth gap is negative. A negative growth gap only says the gap is widening; a positive one says it has started to narrow, not that the market is in surplus — v2.0 made the same point when it withdrew 'a 47% chance of turning positive in 2027'. The table sets the flow sign next to the level. Flow and ② levels come from the sheet 06 engine; anchored levels come from block [C].</t>
  </si>
  <si>
    <t>Scenario</t>
  </si>
  <si>
    <t>Probability</t>
  </si>
  <si>
    <t xml:space="preserve">2027 growth gap
(v4.1 flow)</t>
  </si>
  <si>
    <t>Gap in 2027</t>
  </si>
  <si>
    <t xml:space="preserve">② Level 2026
(sheet 06)</t>
  </si>
  <si>
    <t xml:space="preserve">② Level 2027
(sheet 06)</t>
  </si>
  <si>
    <t xml:space="preserve">② Level 2028
(sheet 06)</t>
  </si>
  <si>
    <t xml:space="preserve">Anchored level
2027</t>
  </si>
  <si>
    <t xml:space="preserve">Anchored level
2028</t>
  </si>
  <si>
    <t xml:space="preserve">Short in 2027?
(anchored)</t>
  </si>
  <si>
    <t xml:space="preserve">Short in 2028?
(anchored)</t>
  </si>
  <si>
    <t>Reading</t>
  </si>
  <si>
    <t>S1 Extreme tightness</t>
  </si>
  <si>
    <t>S2 Base case</t>
  </si>
  <si>
    <t>S3 Relief</t>
  </si>
  <si>
    <t>S4 Surplus</t>
  </si>
  <si>
    <t>S5 Collapse</t>
  </si>
  <si>
    <t>Probability weighted (mean)</t>
  </si>
  <si>
    <t>P(gap &lt; 0) · P(level &lt; 0)</t>
  </si>
  <si>
    <t>← P(gap &lt; 0)</t>
  </si>
  <si>
    <t>[C] External anchor: the 2026 level taken from outside the model (P0-2)</t>
  </si>
  <si>
    <t>The ② stock blocks start from an inventory-implied 2025 gap. Audit A5 (sheet 05) showed that start point has cleared demand in its denominator while the recursion divides by unconstrained demand, which puts the level about 10–14pp too deep (sheet 05 row 18). v4.1 takes the 2026 level from published estimates instead and carries it forward with the model's own v4.1 flows: level(t) = (1 + level(t−1)) × (1 + supply growth) ÷ (1 + demand growth) − 1. 2027 supply is the shipment series (sheet 06 column K), because the anchor is a delivered-basis estimate. One external point is used, so the result is 'consistent with' an outside view, not a validation.</t>
  </si>
  <si>
    <t xml:space="preserve">2027 supply
(v4.1 shipments)</t>
  </si>
  <si>
    <t xml:space="preserve">2027 demand
(v4.1)</t>
  </si>
  <si>
    <t xml:space="preserve">2028 supply
(v4.1)</t>
  </si>
  <si>
    <t>2028 demand</t>
  </si>
  <si>
    <t xml:space="preserve">Anchored
2026</t>
  </si>
  <si>
    <t xml:space="preserve">Anchored
2027</t>
  </si>
  <si>
    <t xml:space="preserve">Anchored
2028</t>
  </si>
  <si>
    <t xml:space="preserve">Lower anchor
2027</t>
  </si>
  <si>
    <t xml:space="preserve">Lower anchor
2028</t>
  </si>
  <si>
    <t>Probability median (base case)</t>
  </si>
  <si>
    <t>Weighted mean is pulled up by the S4/S5 tails</t>
  </si>
  <si>
    <t>The decision statistic (as on sheets 01 and 06)</t>
  </si>
  <si>
    <t>B2 · inventory start, mixed denominators (sheet 01 [D], base case)</t>
  </si>
  <si>
    <t>Deep end: the start point audit A5 flagged (sheet 05 row 18)</t>
  </si>
  <si>
    <t>B6 · bases aligned, start at zero (sheet 05 row 16, base case)</t>
  </si>
  <si>
    <t>Shallow end: no start-point gap at all</t>
  </si>
  <si>
    <t>SemiAnalysis public view (2026-06-23)</t>
  </si>
  <si>
    <t>−7% to −9%</t>
  </si>
  <si>
    <t>−11% to −15%</t>
  </si>
  <si>
    <t>may persist into 2028</t>
  </si>
  <si>
    <t>'High-single-digit' undersupply in 2026, 'low- to mid-teens' in 2027</t>
  </si>
  <si>
    <t>[D] External calibration: model values next to published figures (P1-1)</t>
  </si>
  <si>
    <t>Item</t>
  </si>
  <si>
    <t>Model</t>
  </si>
  <si>
    <t>External · low</t>
  </si>
  <si>
    <t>External · high</t>
  </si>
  <si>
    <t xml:space="preserve">Model − external
(pp, to midpoint)</t>
  </si>
  <si>
    <t>Source</t>
  </si>
  <si>
    <t>DRAM supply bit growth 2026 (production, base case)</t>
  </si>
  <si>
    <t>IDC: 2026 DRAM bit supply +16%.</t>
  </si>
  <si>
    <t>Between IDC's +16% production figure and Micron's low-to-mid-20s shipment figure; the gap between those two is roughly the inventory release (block [E]).</t>
  </si>
  <si>
    <t>DRAM supply bit growth 2027 (base case, v4.1)</t>
  </si>
  <si>
    <t>TrendForce 7/28, 'AI Wave &amp; DRAM Deficits: 2027 Global DRAM Outlook': new fabs and migrations drive 24% supply bit growth in 2027.</t>
  </si>
  <si>
    <t>The base case is well below TrendForce; the S3 relief case (next row) is the one that matches. Both supply and demand look low in level, so the gap can still match outside views (row 56).</t>
  </si>
  <si>
    <t>DRAM supply bit growth 2027 (S3 relief, v4.1)</t>
  </si>
  <si>
    <t>As above.</t>
  </si>
  <si>
    <t>S3 is the scenario closest to TrendForce on supply.</t>
  </si>
  <si>
    <t>DRAM growth gap 2027 (base case, v4.1 flow)</t>
  </si>
  <si>
    <t>KB Securities 9/7: 2027 DRAM and NAND bit demand growth to exceed supply growth by more than 10 percentage points (Korean: '10%포인트 이상').</t>
  </si>
  <si>
    <t>KB's figure is a growth gap in percentage points, not a level; it is compared with the flow here.</t>
  </si>
  <si>
    <t>DRAM level 2027 (base case, external anchor)</t>
  </si>
  <si>
    <t>SemiAnalysis 6/23 (public section): undersupply widening to the low-to-mid teens in 2027.</t>
  </si>
  <si>
    <t>Only the 2027 step is the model’s own; the 2026 point is the anchor, so this is a consistency check.</t>
  </si>
  <si>
    <t>Implied 2027 demand growth if supply = 24% and the level path is −8% → −13% / −14%</t>
  </si>
  <si>
    <t>Backed out from the TrendForce and SemiAnalysis figures above.</t>
  </si>
  <si>
    <t>If supply really grows 24%, the outside gap implies demand growth of about 31–33%, well above the base case. Both levels in the model look low; what matches is the gap.</t>
  </si>
  <si>
    <t>HBM wafer penalty 2027 (×)</t>
  </si>
  <si>
    <t>TrendForce 6/2 shares imply 2.85–2.87× on the top-3 basis (about 2.2–2.3× if the bit shares are global). Micron: ~3× for HBM3E, rising with HBM4, above 4:1 for HBM4E.</t>
  </si>
  <si>
    <t>The v4.1 path sits between the TrendForce-implied level and Micron’s HBM4E figure.</t>
  </si>
  <si>
    <t>NAND supply bit growth 2026 (base case)</t>
  </si>
  <si>
    <t>IDC: 2026 NAND bit supply +17%.</t>
  </si>
  <si>
    <t>Matches with the NAND yield / throughput term at zero, so no migration throughput loss is imposed by default (sheet 02 row 77).</t>
  </si>
  <si>
    <t>NAND growth gap 2027 (N2, KB-aligned v4.0 row)</t>
  </si>
  <si>
    <t>KB 9/7: NAND demand growth to exceed supply growth by &gt;10pp. Morgan Stanley (reported, 7/3): supply +27%, demand +19%.</t>
  </si>
  <si>
    <t>Outside views disagree on the sign. The unadjusted N2 flow sits with Morgan Stanley's direction; the KB-aligned row with KB.</t>
  </si>
  <si>
    <t>NAND level 2027 (N2 base case, stock basis)</t>
  </si>
  <si>
    <t>Morgan Stanley (reported): 1,347 vs 1,484 EB in 2027 (−9%). TrendForce 7/30: sufficiency turns positive in 2H27.</t>
  </si>
  <si>
    <t>Most outside sources still see NAND short in 2027 on a level basis; the NAND divergence is a divergence in the rate of change first.</t>
  </si>
  <si>
    <t>External values are typed in (blue) and can be edited; model values link live (green). 'Model − external' is measured to the midpoint of the external range. Reported figures (Morgan Stanley) come from secondary coverage and should be checked against the original before being quoted.</t>
  </si>
  <si>
    <t>[E] Inventory release: size, destination and a cross-check (P0-3, P1-5)</t>
  </si>
  <si>
    <t>Step</t>
  </si>
  <si>
    <t>Value</t>
  </si>
  <si>
    <t>Where it comes from</t>
  </si>
  <si>
    <t>Gross release, Samsung + SK hynix (share of annual supply)</t>
  </si>
  <si>
    <t>Sheet 06 row 15: (4.00 − 1.43 weeks) ÷ 52. Two sources with possibly different scopes are differenced here — Luminix’s 3–5-week July range and KB’s sub-10-day 3Q reading (the Korean text says "memory inventory", not DRAM finished goods specifically).</t>
  </si>
  <si>
    <t>× coverage (industry release)</t>
  </si>
  <si>
    <t>If only the two Korean suppliers destocked (console row 10).</t>
  </si>
  <si>
    <t>× share consumed φ = effective drag on the 2027 growth gap</t>
  </si>
  <si>
    <t>The unconsumed part sits in customer buffers: 2026 purchases were inflated by the same amount, so it does not tighten 2027 (console row 9). Equals row 17 while the correction is switched on.</t>
  </si>
  <si>
    <t>Supplier inventory at the start of 2026 (weeks)</t>
  </si>
  <si>
    <t>Oct 2025 reading of 2–4 weeks (TrendForce via Reuters; not stored on sheet 00, but consistent with its rows 32–33: 3.3 weeks at end-3Q25, SK hynix about 2 weeks in November). Midpoint; editable.</t>
  </si>
  <si>
    <t>Supplier inventory, 2026 Q3 (weeks)</t>
  </si>
  <si>
    <t>KB, sub-10-day reading (sheet 01 row 12).</t>
  </si>
  <si>
    <t>Full-year 2026 net release (share of annual supply)</t>
  </si>
  <si>
    <t>Start of year minus latest reading. With 2–4 weeks at the start and 1.0–1.43 at the end the range is about 1–6%.</t>
  </si>
  <si>
    <t>Micron: CY26 industry DRAM bit shipment growth</t>
  </si>
  <si>
    <t>Micron FQ3 FY26 prepared remarks (2026-06-24): industry DRAM bit shipments in calendar 2026 to grow 'in the low- to mid-20s percentage range'. 22.5% taken; editable.</t>
  </si>
  <si>
    <t>Model: 2026 DRAM production growth (base case)</t>
  </si>
  <si>
    <t>Production basis, sheet 01 main grid.</t>
  </si>
  <si>
    <t>Implied inventory contribution to 2026 shipments</t>
  </si>
  <si>
    <t>Shipments ÷ production − 1: an industry-wide cross-check that needs no inventory weeks. It confirms suppliers released stock in 2026; it says nothing about φ.</t>
  </si>
  <si>
    <t>Why weeks are not converted one-for-one. Weeks of inventory = inventory ÷ forward weekly demand, and that denominator has been rising fast. Apply the v4.0 method to 2025 (13–17 weeks at end-2024 down to 3.3 weeks at end-3Q25 = 19–26% of annual supply) and 2026 shipment growth would have to be −2% to +5%, against Micron's low-to-mid 20s. So the release is carried as a range and inventory weeks are kept as a tracking signal (sheet 08 item 1), not as the source of the level.</t>
  </si>
  <si>
    <t>Effect on the 2027 growth gap (pp)</t>
  </si>
  <si>
    <t>Rows: share of 2026 shipments released from supplier stock. Columns: share of that release consumed (φ).</t>
  </si>
  <si>
    <t>Low end of the 2–5% range used in the write-up (row 70 gives about 1–6%).</t>
  </si>
  <si>
    <t>Gross KB-based figure (sheet 06 row 15); v4.0 is the bottom-right cell.</t>
  </si>
  <si>
    <t>[F] HBM: the penalty path and the 8-high arithmetic on both sides (P0-6)</t>
  </si>
  <si>
    <t>Two facts changed. Micron says the trade ratio rises with each generation, so the 2027 penalty should step up, not down; and HBM4 base dies come from logic foundries, so 8-high no longer dilutes DRAM wafers and its only supply-side effect is the stacking-yield gain (sheet 07, now about −0.3×). On the demand side 8-high cuts HBM per GPU by a third (24Gb dies: 36GB → 24GB per stack; Rubin's eight stacks 288GB → 192GB). The level of the penalty barely matters in this formula; the change from one year to the next does.</t>
  </si>
  <si>
    <t>Penalty path</t>
  </si>
  <si>
    <t>2025–26</t>
  </si>
  <si>
    <t>2027</t>
  </si>
  <si>
    <t>2028</t>
  </si>
  <si>
    <t xml:space="preserve">S2 supply 2027
(production)</t>
  </si>
  <si>
    <t>S2 supply 2028</t>
  </si>
  <si>
    <t xml:space="preserve">2027 vs v4.0 path
(pp)</t>
  </si>
  <si>
    <t>v4.0 as sent (8-high relief only)</t>
  </si>
  <si>
    <t>Base 2.8× less the v4.0 relief of 0.2× from 2027.</t>
  </si>
  <si>
    <t>Flat at the base</t>
  </si>
  <si>
    <t>No generation effect, no 8-high effect.</t>
  </si>
  <si>
    <t>Flat 3.0× (Micron's round number)</t>
  </si>
  <si>
    <t>The level moves, the ratio does not: close to the flat-base row.</t>
  </si>
  <si>
    <t>v4.1 default (live from the console)</t>
  </si>
  <si>
    <t>Base + trade-ratio step + 8-high yield relief (rows 18–20).</t>
  </si>
  <si>
    <t>Trade ratio rises, no 8-high relief</t>
  </si>
  <si>
    <t>If NVIDIA stays on 12-high.</t>
  </si>
  <si>
    <t>Micron HBM4E above 4:1 by 2028</t>
  </si>
  <si>
    <t>Stress case on the tight side.</t>
  </si>
  <si>
    <t>Production basis, before the inventory drag and the de-spec ceiling; wafer and node inputs from the S2 row of sheet 01. The sheet 01 main grid keeps the flat base (row 86) so v3.0 stays reproducible.</t>
  </si>
  <si>
    <t>8-high on the demand side</t>
  </si>
  <si>
    <t>HBM share of 2026 DRAM bit demand</t>
  </si>
  <si>
    <t>Sheet 03 row 6.</t>
  </si>
  <si>
    <t>HBM bit demand growth 2027 (12-high plan)</t>
  </si>
  <si>
    <t>Sheet 03 row 6 (Rubin at 288GB per card).</t>
  </si>
  <si>
    <t>HBM bits in 2027 as a share of 2026 DRAM demand</t>
  </si>
  <si>
    <t>Share of 2027 HBM bits moving from 12-high to 8-high</t>
  </si>
  <si>
    <t>100% = v4.0's full-displacement assumption, the same one behind the −0.3× relief on sheet 06 row 10. If only half moves, both the relief and this ceiling halve (row 102).</t>
  </si>
  <si>
    <t>Capacity cut per stack (24Gb dies)</t>
  </si>
  <si>
    <t>12-high 36GB → 8-high 24GB. Rubin: 8 × 36GB = 288GB → 8 × 24GB = 192GB.</t>
  </si>
  <si>
    <t>Technical share of the motive</t>
  </si>
  <si>
    <t>v4.0's own split: heat, power and packaging yield remove demand; the supply-driven half (cannot get the parts) defers it.</t>
  </si>
  <si>
    <t>Derived 2027 demand ceiling</t>
  </si>
  <si>
    <t>Change in 2027 DRAM demand growth.</t>
  </si>
  <si>
    <t>In use on sheet 06 row 11</t>
  </si>
  <si>
    <t>Slider default −2.5pp, unchanged in v4.1: the derivation supports it (full displacement).</t>
  </si>
  <si>
    <t>If half of HBM moves to 8-high</t>
  </si>
  <si>
    <t>Demand ceiling about half as large, and the supply relief falls to about −0.15×.</t>
  </si>
  <si>
    <t>SemiAnalysis, 'Long Live the Short King: Why 4-hi HBM Wins' (2026-09-13), measures HBM by bandwidth per wafer: every cube carries the same bandwidth whatever its height, so lower stacks harvest more cubes per wafer. This workbook counts bits per wafer; bandwidth-constrained demand is outside its boundary and is listed for v5.0.</t>
  </si>
  <si>
    <t>[G] Scenario inputs and weights: v1.0 report vs this workbook (P1-4)</t>
  </si>
  <si>
    <t>Input</t>
  </si>
  <si>
    <t xml:space="preserve">v1.0 report
(2026-08-24)</t>
  </si>
  <si>
    <t>Workbook now</t>
  </si>
  <si>
    <t>Change (pp)</t>
  </si>
  <si>
    <t>S2 base · demand 2028</t>
  </si>
  <si>
    <t>Unconstrained demand input before the console demand shift.</t>
  </si>
  <si>
    <t>S3 relief · demand 2028</t>
  </si>
  <si>
    <t>S4 surplus · demand 2027</t>
  </si>
  <si>
    <t>S4 surplus · demand 2028</t>
  </si>
  <si>
    <t>S5 collapse · demand 2027</t>
  </si>
  <si>
    <t>N2 base · demand 2027</t>
  </si>
  <si>
    <t>N3 · demand 2027</t>
  </si>
  <si>
    <t>N4 · demand 2027</t>
  </si>
  <si>
    <t>N1 · demand 2028</t>
  </si>
  <si>
    <t>N2 · demand 2028</t>
  </si>
  <si>
    <t>N3 · demand 2028</t>
  </si>
  <si>
    <t>N4 · demand 2028</t>
  </si>
  <si>
    <t>DRAM weights S1–S5</t>
  </si>
  <si>
    <t>15 / 38 / 25 / 15 / 7%</t>
  </si>
  <si>
    <t>v4.0 as sent: 16/40/27/17/0%. v4.1 restores 5% to S5 (taken 1pp from S1, 2pp from S2, 2pp from S3).</t>
  </si>
  <si>
    <t>NAND weights N1–N4</t>
  </si>
  <si>
    <t>22 / 40 / 26 / 12%</t>
  </si>
  <si>
    <t>v4.0 as sent: 25/46/29/0%. v4.1 restores 5% to N4 (taken 1pp from N1, 2pp from N2, 2pp from N3).</t>
  </si>
  <si>
    <t>Since v1.0 the demand inputs of the looser scenarios were raised by 2–10pp and both tails were set to zero weight. Each change can be argued, but together they make the weighted result tighter, and table 18 of the write-up attributed the difference to weights, the HBM basis, the 2.8× penalty and the demand shift only. A collapse case at zero weight is hard to defend while hyperscaler free cash flow is turning negative (Alphabet 2Q26 −$5.9bn, Oracle FQ1 FY27 −$5.4bn); the output-cut truncation on sheet 05 already keeps the tail from dominating.</t>
  </si>
  <si>
    <t>[H] v4.0 as sent vs v4.1: the headline numbers side by side</t>
  </si>
  <si>
    <t>Metric</t>
  </si>
  <si>
    <t xml:space="preserve">v4.0 as sent
(static, 9/19)</t>
  </si>
  <si>
    <t xml:space="preserve">v4.1
(live)</t>
  </si>
  <si>
    <t>What moved it</t>
  </si>
  <si>
    <t>2027 weighted growth gap · inventory only</t>
  </si>
  <si>
    <t>2027 weighted growth gap · all corrections</t>
  </si>
  <si>
    <t>2027 median growth gap · all corrections</t>
  </si>
  <si>
    <t>Base case S2: HBM path tighter, inventory drag smaller.</t>
  </si>
  <si>
    <t>P(2027 growth gap &lt; 0) · inventory only</t>
  </si>
  <si>
    <t>S3 no longer flips once only part of the release counts; S5 now has weight.</t>
  </si>
  <si>
    <t>P(2027 growth gap &lt; 0) · all corrections</t>
  </si>
  <si>
    <t>Measures a widening gap, not a shortage (block [B]).</t>
  </si>
  <si>
    <t>P(DRAM short in 2027) · level, anchored</t>
  </si>
  <si>
    <t>Not reported in v4.0 (100% at its weights). v4.1: every scenario except S5.</t>
  </si>
  <si>
    <t>P(DRAM short in 2028) · level, anchored</t>
  </si>
  <si>
    <t>S1 and S2.</t>
  </si>
  <si>
    <t>2027 weighted level · sheet 06 stock block</t>
  </si>
  <si>
    <t>Symmetric convention: no rebuild of the release in 2027; plus the tail weight.</t>
  </si>
  <si>
    <t>2028 weighted level · sheet 06 stock block</t>
  </si>
  <si>
    <t>Tail weight and the higher 2028 penalty pull in opposite directions.</t>
  </si>
  <si>
    <t>2028 median level · sheet 06 stock block</t>
  </si>
  <si>
    <t>Still the inventory start point (deep end, audit A5).</t>
  </si>
  <si>
    <t>2027 base-case level · external anchor</t>
  </si>
  <si>
    <t>—</t>
  </si>
  <si>
    <t>New in v4.1 (block [C]): the level headline.</t>
  </si>
  <si>
    <t>2028 base-case level · external anchor</t>
  </si>
  <si>
    <t>New in v4.1 (block [C]).</t>
  </si>
  <si>
    <t>S2 supply growth 2027 after the HBM path</t>
  </si>
  <si>
    <t>Penalty rises 2.8× → 3.0× instead of falling to 2.6×.</t>
  </si>
  <si>
    <t>Inventory drag on the 2027 growth gap</t>
  </si>
  <si>
    <t>Gross 4.9% × coverage × φ.</t>
  </si>
  <si>
    <t>06 · v4.0 Inventory-Exhaustion Edition — the engine behind the three corrections (v4.1-corrected)</t>
  </si>
  <si>
    <t>New sheet, 2026-09-08  |  every v4.0 lever lives in the console below, so sheets 01 and 02 keep their v3.0 results reproducible  |  ▲ v4.1 (2026-09-28): the release is scaled by coverage and φ, the HBM penalty follows a path and the stock block is symmetric — levers on sheet 09 [A]; set them to their v4.0 values and this sheet reverts exactly</t>
  </si>
  <si>
    <t>Two news items were verified for this version, and their importance is very nearly the reverse of how they read. NVIDIA asking for 8-high HBM4 sounds like the bigger story but is worth about one percentage point in the model, because it contains two offsetting effects — base-die dilution (−3.7%) and a compounding stacking-yield gain (+4~13%). The item that actually moves the conclusion is Samsung and SK hynix inventory below 10 days: it means roughly 4.9% of 2026 shipments were released from stock rather than produced, and that source is now exhausted. From 2027, shipments can only come from a fab. ▲ v4.1: both halves needed correcting. HBM4 base dies are made at logic foundries, so 8-high keeps only the yield gain, and Micron expects the trade ratio to keep rising with each generation, so the net 2027 penalty goes up, not down. The 4.9% is a gross Samsung + SK hynix figure; how much it tightens 2027 depends on coverage and on how much of it customers consumed rather than stockpiled (sheet 09).</t>
  </si>
  <si>
    <t>How to use: drag the grey scroll bar, or click the arrows at either end to nudge one step. The yellow cell is the converted current value; the blue cell on the right is the slider's raw integer and can be typed into directly. Set rows 9, 10, 11, 13 and 14 and sheet 09 rows 11–12 (the trade-ratio steps) to zero and every table in this workbook reverts to the v3.0 result — that reversibility is deliberate, because two of the three corrections are judgements rather than measurements. ▲ v4.1: sheet 09 row 17 turns the release into the effective drag (× coverage × φ); set both to 1 for the v4.0 arithmetic.</t>
  </si>
  <si>
    <t>How much the HBM wafer penalty falls from 2027 when 8-high displaces 12-high. ▲ v4.1: −0.30 = sheet 07's yield-only relief (HBM4 base dies are logic parts, so no base-die dilution; v4.0: −0.20). It now offsets part of the trade-ratio step (sheet 09). 2026 keeps the base.</t>
  </si>
  <si>
    <t>The part of the NVIDIA 8-high request that is genuinely technical (thermal limits, power, packaging yield) rather than supply-driven, expressed as a cap on 2027 unconstrained demand. v4.0 puts it at −2 to −3pp. Applied to 2027 only. ▲ v4.1: derived as −2.4pp on sheet 09 [F].</t>
  </si>
  <si>
    <t>How the release becomes a shipment-growth drag: 1 = the report's method (subtract the share), 2 = exact (1+g)/(1+r)−1, 0 = off. ▲ v4.1: the share is the effective release on sheet 09 row 17 — about −1.6pp at the defaults (v4.0: −4.9pp).</t>
  </si>
  <si>
    <t>[B] The 2027 growth gap: v3.0 → inventory correction → all corrections (v4.1 parameters)</t>
  </si>
  <si>
    <t xml:space="preserve">2027 gap
v4.1 (inventory only)</t>
  </si>
  <si>
    <t xml:space="preserve">2027 gap
v4.1 (all corrections)</t>
  </si>
  <si>
    <t xml:space="preserve">2027 supply
after HBM path</t>
  </si>
  <si>
    <t xml:space="preserve">2027 shipments
v4.1</t>
  </si>
  <si>
    <t>P(2027 growth gap &lt; 0): the gap is still widening — not the probability of shortage (level basis: sheet 09 [B])</t>
  </si>
  <si>
    <t>[C] Full model: three years, all corrections applied (v4.1 parameters)</t>
  </si>
  <si>
    <t>The inventory drag applies to the 2027 flow only: the release sits in the 2026 base and then washes out. ▲ v4.1: the drag is the effective release from sheet 09 row 17 (gross × coverage × φ); the HBM penalty follows the sheet 09 path from 2027 (base + trade-ratio step + 8-high relief); and with the stock convention at 1 the ② level is symmetric — 2026 on a delivered basis (production + effective release), 2027 on production, with no rebuild of supplier stock. The de-spec ceiling is applied to 2027 demand only; the lower 2027 level carries into 2028.</t>
  </si>
  <si>
    <t xml:space="preserve">2028 supply
(v4.1 path)</t>
  </si>
  <si>
    <t>Rows 35 and 36 are what sheets 00, 01 and 05 link to for the 'fully corrected' lines (v4.1 parameters). ▲ v4.1: with the stock convention at 1 the 2026 column is on a delivered basis, which answers audit finding B6 below. The ② levels still start from the inventory-implied 2025 gap (the deep end, audit A5), so the level headline comes from the external anchor on sheet 09 [C].</t>
  </si>
  <si>
    <t>[D] Reconciling the headline numbers: what each correction contributes (v4.1 parameters)</t>
  </si>
  <si>
    <t>The v3.0 basis at current settings: production basis, constant penalty from sheet 01 row 6, unconstrained demand, current weights.</t>
  </si>
  <si>
    <t>Correction 1 · HBM penalty path from 2027 (trade-ratio step + 8-high yield relief)</t>
  </si>
  <si>
    <t>Easing. Only the technical half of the de-spec counts — heat, power and packaging yield. The supply-driven half (cannot get the parts) is not a real fall in demand, it merely defers it. ▲ v4.1: sheet 09 [F] derives −2.4pp for full 8-high displacement, which supports the −2.5pp default.</t>
  </si>
  <si>
    <t>All corrections (v4.1 parameters)</t>
  </si>
  <si>
    <t>Inventory correction only (the basis of the v4.0 report's section 4.2)</t>
  </si>
  <si>
    <t>Difference between the two</t>
  </si>
  <si>
    <t>Audit finding A7 (v4.0): the report quoted the inventory-only line as the headline while section 4.1 netted all three. ▲ v4.1 uses the all-corrections line as the flow headline, reports the inventory effect as a range (sheet 09 [E]) and moves the probability headline to the level basis (sheet 09 [B]).</t>
  </si>
  <si>
    <t>★ Roughly 4.9%. This is the number the whole of v4.0 turns on. ▲ v4.1: a gross, two-supplier figure; sheet 09 [E] gives the full-year range (about 1–6%) and the shipments-minus-production cross-check.</t>
  </si>
  <si>
    <t>Drag applied to 2027 shipment growth (v4.1: effective release)</t>
  </si>
  <si>
    <t>Convention 1 subtracts the release share directly; convention 2 uses the exact multiplicative form. ▲ v4.1: the share is the effective release (row 53 × coverage × φ, sheet 09 row 17), not the gross 4.9%.</t>
  </si>
  <si>
    <t>★ Why this is a supply fact and not a demand fact: since late 2024 the market has run short without running out, because it was drawing down inventory — from 13–17 weeks in late 2024 to under 1.5 in 2026 Q3, a drawdown worth about a quarter of one year's demand on the weeks arithmetic (22–30%). (▲ v4.1: v4.0 started from '31 weeks in early 2023', a figure that could not be traced to the same series.) Nothing about demand has to change for 2027 to be tighter than 2026; the buffer that absorbed the shortfall simply no longer exists.</t>
  </si>
  <si>
    <t>★ Why this is a supply fact and not a demand fact: since late 2024 the market has run short without running out, because it was drawing down inventory — from 13–17 weeks in late 2024 to under 1.5 in 2026 Q3, a drawdown worth about a quarter of one year's demand on the weeks arithmetic (22–30%). (▲ v4.1: v4.0 started from '31 weeks in early 2023', a figure that could not be traced to the same series.) Nothing about demand has to change for 2027 to be tighter than 2026; the buffer that absorbed the shortfall simply no longer exists. ▲ v4.1: that holds for the part of the release that was consumed. TrendForce reports US CSPs building buffers and mobile DRAM buyers at 12–14 weeks of inventory, and whatever customers stockpiled inflated 2026 purchases by the same amount — the 2018–19 downturn began when data-centre memory inventory reached about twice normal. Hence φ on sheet 09.</t>
  </si>
  <si>
    <t>[F] Audit findings new in v4.0 (the v4.1 corrections are listed on sheet 10)</t>
  </si>
  <si>
    <t>→ ▲ Fixed in v4.1: with the stock convention at 1 (sheet 09 row 14) 2026 is shown on a delivered basis and 2027 on production, so the release is counted once; φ (sheet 09 row 9) also nets out the part that went into customer buffers.</t>
  </si>
  <si>
    <t>→ Stated explicitly and implemented that way (2026 keeps the base penalty, 2.8× at the current setting; 2027–28 use the relieved penalty and, in v4.1, the trade-ratio step). Sheet 07 shows what the alternative treatment would give.</t>
  </si>
  <si>
    <t>v4.1</t>
  </si>
  <si>
    <t>Corrections from the 2026-09-28 re-audit</t>
  </si>
  <si>
    <t>The flow sign read as a shortage; the depth taken from the start point audit A5 had flagged; the whole release assumed consumed; the HBM penalty falling while Micron says it rises, with the base die counted on DRAM wafers; the stock convention rebuilding the release; zero tail weights; stale notes.</t>
  </si>
  <si>
    <t>→ Sheet 09 (console, level basis, external anchor, calibration, input disclosure) and sheet 10 (every change, cell by cell).</t>
  </si>
  <si>
    <t>Cumulative audit findings across the model's life: 10 in v2.0's workbook (A×4, B×3, C×3), 5 new in v3.0 (A×2, B×2, C×1) and 4 in v4.0 (A×1, B×2, C×1), all retained except v4.0's working-date note (finding C5, sheet 10 #34), plus the v4.1 corrections on sheet 10. The pattern is itself the point: v1.0's error was found by a reader, v2.0's while building the workbook, v3.0's while cross-calibrating against NVIDIA, v4.0's while checking two news items, and v4.1's while re-auditing against Micron, TrendForce and SemiAnalysis. Treat any single quantitative conclusion — including this one — as provisional, and give priority to directly observable physical indicators: inventory weeks (supplier and customer), quota ratios, contract and spot prices.</t>
  </si>
  <si>
    <t>Chart notes | Chart 1: supplier inventory from 13–17 weeks in late 2024 (plotted at 15; ▲ v4.1: replaces the 31 weeks of early 2023, which could not be traced to the same series) to under 1.5 (the vertical axis is deliberately not logarithmic). | Chart 2: the 2027 growth gap by scenario — v3.0, inventory correction only, all corrections (v4.1 parameters). In v4.0 S3 crossed the zero axis on the inventory correction alone; with the effective release it stays just above. | Chart 3: the corrections decomposed — the HBM penalty path and the inventory drag tighten, the de-spec ceiling eases.</t>
  </si>
  <si>
    <t>07 · v4.0 → v4.1: the 8-high HBM4 arithmetic, done properly</t>
  </si>
  <si>
    <t>Two opposing effects that mostly cancel  |  base-die dilution against a compounding stacking-yield gain  |  the result is why a headline that sounds major is worth about one percentage point in the model  |  ▲ v4.1: for HBM4 the base die is a logic part made at a foundry, so only the yield effect remains (switch on sheet 09 row 13)</t>
  </si>
  <si>
    <t>There are two intuitive answers here and both are wrong, because each computes only half of it. Answer A: '8 layers is four fewer DRAM die than 12, so it saves wafers and eases supply.' Answer B: '8-high holds only two thirds the capacity of 12-high, so you need more stacks to hold capacity and it consumes more wafers.' The arithmetic below computes both effects and nets them. ▲ v4.1: answer A is closer for HBM4. Its base die is a logic part made at TSMC or Samsung Foundry, so dropping from 12 to 8 core dies causes no DRAM-wafer dilution; the extra stacks consume foundry base dies and CoWoS interposer area instead, which sit outside this model.</t>
  </si>
  <si>
    <t>Every HBM stack needs one base die, and the base die produces no bits at all. Spread over 9 die instead of 13, that overhead costs 8-high about 3.70% relative to 12-high. This part is fixed and does not depend on yield. ▲ v4.1: this applies only when the base die is cut from a DRAM wafer (HBM3E). HBM4 base dies are logic-process parts — SK hynix on TSMC 12nm-class, Samsung on its SF4, Micron in-house until HBM4E moves to TSMC — so the switch in row 12 defaults to 0 and the dilution drops out of rows 15–19 and row 29.</t>
  </si>
  <si>
    <t>Base die cut from a DRAM wafer? (switch, sheet 09 row 13)</t>
  </si>
  <si>
    <t xml:space="preserve">Base-die dilution
(0 if HBM4 logic die)</t>
  </si>
  <si>
    <t>★★ Stacking yield compounds: if the per-layer bond yield is y, an n-layer stack yields roughly y to the power n. And the cost of a failure matters more than the yield itself — a 12-high stack that fails on the last layer destroys twelve good die plus a base die; an 8-high failure destroys nine. ★★★ NVIDIA's stated reasons explicitly include packaging yield, which tells you yield is not where anyone would like it to be. At a per-layer yield of 0.97–0.98 the net gain is about 4%–9%, implying an effective penalty of roughly 2.75×–2.87× against the 3.0× base. ▲ v4.1: without base-die dilution the gain is the yield term alone — 8.4% to 13.0% at 0.98–0.97, i.e. 2.66×–2.77× against 3.0×.</t>
  </si>
  <si>
    <t>Drag the slider to see how the net effect and the implied wafer penalty move. This is where the relief on the sheet 06 console comes from. v4.0: about −0.18× at a per-layer yield of 0.975 with base-die dilution, rounded to −0.20. ▲ v4.1: about −0.29× without it (HBM4), rounded to −0.30.</t>
  </si>
  <si>
    <t>−3.70% from block [A] if the base die is cut from a DRAM wafer (switch in row 12); 0 for HBM4 (v4.1 default).</t>
  </si>
  <si>
    <t>Against a 3.0× reference (Micron's HBM3E-era 3:1, which KB's '1 HBM4 wafer = 3 conventional wafers' repeats).</t>
  </si>
  <si>
    <t>★ Compare with row 10 of sheet 06: −0.30× in v4.1 (−0.20× in v4.0).</t>
  </si>
  <si>
    <t>★★★ Conclusion: even if the penalty falls all the way from 3.0 to 2.7, the 2027 HBM drag only improves from −6.25pp to −4.95pp. Propagated through the supply formula that is worth roughly 1.3 percentage points on the growth gap. 8-high is a second-order effect on the DRAM balance and does not change the conclusion. | Note the convention: the 2026 column keeps p = 3.0 in every row, because 8-high ships from 2027. Apply the lower penalty to both years and the 2027 drag would read −5.99pp rather than −5.41pp; the difference is entirely that convention, and it is recorded as audit finding C6 on sheet 06. ▲ v4.1: the table shows why a one-year change in p matters and its level does not. The same logic now runs the other way: Micron expects the trade ratio to rise with HBM4 and HBM4E, so the 2027 penalty steps up (sheet 09 rows 18–20) and the 8-high relief offsets only part of it.</t>
  </si>
  <si>
    <t>HBM capacity per GPU grows more slowly. The 'Rubin Ultra delivers 384GB per GPU' assumption inside scenario S1 is weakened. ▲ v4.1: with 24Gb dies a 12-high stack holds 36GB and an 8-high stack 24GB, so Rubin's eight stacks go from 288GB to 192GB (−33%); TrendForce and SemiAnalysis report Rubin Ultra's mainline at 192GB. Sheet 09 [F] turns this into the demand ceiling.</t>
  </si>
  <si>
    <t>To hold total capacity, 8-high needs about 1.5× the number of stacks: base die +50% and a large increase in interposer area. The bottleneck moves partly from DRAM bits to packaging. ▲ v4.1: for HBM4 the extra base dies come from logic foundries (TSMC, Samsung Foundry), so this pressure lands on foundry and CoWoS capacity, not on DRAM wafers.</t>
  </si>
  <si>
    <t>Chart note | Net wafer efficiency of 8-high against 12-high, by per-layer bond yield. With the base die on a DRAM wafer (switch = 1, HBM3E) the net line crosses zero at about y = 0.99 — above that, base-die dilution dominates. ▲ v4.1 default (switch = 0, HBM4 logic base die): the dilution series is zero and the net line equals the yield advantage, positive at every yield.</t>
  </si>
  <si>
    <t xml:space="preserve">   S5 Collapse (probability set in console [K]): a technical breakthrough sharply cuts memory per unit of compute (KV-cache compression, more aggressive quantisation), or the external financing chain behind AI capex breaks; inventory rebuilds toward the glut levels of 2023.</t>
  </si>
  <si>
    <t>Five scenarios × three years  |  flow basis (growth gap) + stock basis (horizontal adequacy)  |  ▼ every parameter is driven by the [K] PARAMETER CONSOLE at the bottom of this sheet  |  amber rows are v4.0 additions  |  lavender = v4.1</t>
  </si>
  <si>
    <t>2.8×: TrendForce's own series imply 2.85–2.87× (HBM wafer share vs bit share, if both are on the top-three basis; about 2.2–2.3× if the bit shares are global). Micron uses ~3:1 for HBM3E and says the ratio rises with every generation; KB's '1 HBM4 wafer = 3 conventional wafers' repeats Micron's figure, so it is consistent with the base rather than an independent confirmation. ▲ v4.1: from 2027 the engine uses the path on sheet 09 rows 18–20.</t>
  </si>
  <si>
    <t>▲ v4.0, revised in v4.1. NVIDIA has asked Samsung and SK hynix for a higher 8-high mix on Vera Rubin, and for HBM4E to drop to 8-high for Rubin Ultra. HBM4 base dies are made at logic foundries, so only the stacking-yield gain remains: about −0.3× at a per-layer yield of 0.975 (v4.0: −0.2× net of a −3.7% base-die dilution). Full arithmetic on sheet 07.</t>
  </si>
  <si>
    <t>HBM wafer penalty · 2027 (×) · v4.1 path</t>
  </si>
  <si>
    <t>The 'A' in 2026A marks a half-actual year: with data through 2026-09-28 about three quarters of the year is behind us and 1Q/2Q contract prices and shipments are fact — audit finding C, item 3, says a formal version should split it into realised plus remaining forecast. | Columns O–T are unaffected by the switch and always show the HBM basis-corrected result for side-by-side reading. | The grid stays on the constant row 6 penalty on purpose; the penalty path from 2027 (8-high relief and, in v4.1, the trade-ratio step) is applied on sheet 06.</t>
  </si>
  <si>
    <t>★ All four numbers are correct, but they answer four different questions. Mixing them is the common root of both the v1.0 and the v2.0 mistakes. For an investment judgement: read row 1 for direction (the rate of change of price, which is what share prices follow), rows 2 and 3 for how tight things are, and row 4 only as an upper bound. Sheet 05 extends this to seven bases and sheet 06 adds the v4.0 shipment basis as the eighth. ▲ v4.1 adds a ninth, the externally anchored level (sheet 05 row 54, sheet 09 [C]).</t>
  </si>
  <si>
    <t>v4.0 correction 2: roughly 4.9% of 2026 shipments were released from inventory rather than produced. Because that release sits in the 2026 base and cannot repeat, 2027 SHIPMENT growth is below 2027 PRODUCTION growth by about the same amount. The grid above models production; this block converts it to shipments. All levers live in the console on sheet 06. ▲ v4.1: the drag is now the effective release — gross × coverage × share consumed (φ), sheet 09 row 17 — and the stock column uses the symmetric convention (sheet 09 row 14).</t>
  </si>
  <si>
    <t xml:space="preserve">2027 gap · v4.1
(inventory correction)</t>
  </si>
  <si>
    <t xml:space="preserve">2027 stock · v4.1
(all corrections)</t>
  </si>
  <si>
    <t>P(2027 growth gap &lt; 0)</t>
  </si>
  <si>
    <t>2025–26 base: TrendForce's own series imply 2.85–2.87×; Micron uses ~3:1 for HBM3E. ▲ v4.1: KB's 3× repeats Micron's figure, and Micron says the ratio rises with each generation — the 2027–28 step is on sheet 09. Each step is 0.1×.</t>
  </si>
  <si>
    <t>AI capex keeps being revised up; HBM wafer share pushes to 40%; Rubin Ultra delivers 384GB per GPU. ⚠ v4.0: the 8-high request weakens the 384GB assumption. ▲ v4.1: Rubin Ultra’s mainline is reported at 192GB (8-high).</t>
  </si>
  <si>
    <t>A technical breakthrough sharply cuts memory per unit of compute (KV-cache compression, aggressive quantisation), or the external financing chain behind AI capex breaks. ▲ v4.1: 5% (v4.0: 0%); sheet 05's truncation caps the tail.</t>
  </si>
  <si>
    <t>④ Flow · v4.1 fully corrected</t>
  </si>
  <si>
    <t>② Stock · v4.1 (symmetric)</t>
  </si>
  <si>
    <t>P(2027 growth gap &lt; 0): v3.0 / inv-only / all</t>
  </si>
  <si>
    <t>P(DRAM short, level basis): 2026 / 2027 / 2028</t>
  </si>
  <si>
    <t xml:space="preserve">Chart notes | Chart 1: the black heavy line is the probability weighting. Below the zero axis is shortage (upward pressure on price), above it surplus. | Chart 2: note it is more pessimistic than chart 1 and its trough is one year later — the most typical divergence between flow and stock. | Chart 3: red is the HBM drag; in 2027 it is more than half (57%) of that year's wafer capacity growth. | Chart 4: the longer the bar the more leverage that variable has, but read it with the feasibility column on the right — a large elasticity does not mean the variable can actually move. | Chart 5: the distance between the four lines is what the word 'basis' is worth in money. | Chart 6 (v4.0, v4.1 parameters): the same 2027 growth gap before and after the inventory correction, scenario by scenario. In v4.0 S3 crossed the zero axis; with the effective release (coverage × φ) it stays just above. </t>
  </si>
  <si>
    <t>Four scenarios × three years  |  the key difference from DRAM: layer stacking and QLC add bits without new wafer starts, though each layer step still needs tools and cleanroom space  |  ▼ every parameter is driven by the [G] PARAMETER CONSOLE at the bottom  |  amber rows are v4.0 additions, lavender v4.1</t>
  </si>
  <si>
    <t xml:space="preserve">   N4 Large surplus (probability set in console [G]): layers and QLC both advance faster than expected while consumer electronics demand stays priced out. This is the risk specific to NAND — supply can keep growing quickly while demand weakens, because adding output needs no new wafer starts (it still needs tools).</t>
  </si>
  <si>
    <t>★ The two right-hand columns are new in this workbook: NAND supply growth ÷ same-year DRAM supply growth. They turn the qualitative sentence 'the supply elasticities differ by an order of magnitude' into a number you can track. Note that wafer growth is 0% in 2026 across all four scenarios — NAND's bit growth that year comes from layers and QLC on flat wafer starts. ▲ v4.1: flat wafer starts are not free capacity — SK hynix's 321-layer node adds about 44% memory per wafer but about 30% more process steps (SemiAnalysis IEDM coverage), so migration needs tools and cleanroom space.</t>
  </si>
  <si>
    <t>Why they diverge: the cause is not on the demand side — the demand drivers overlap heavily (an AI server needs DRAM, HBM and enterprise SSD at the same time). The cause is the structure of the supply formula. NAND's per-step gain is larger and compounds with bits per cell (layers 232 → 400+ = +72%, QLC +33%, 2.29× in theory), while DRAM density has risen only about 2× in a decade, wafer capacity takes 2–3 years to build, and HBM subtracts about 1.5–6 points a year (base case 2.4, 5.7, 1.5pp). ▲ v4.1: NAND's gain is not free — each layer step adds process steps (SK hynix 321-layer: +44% memory per wafer, +30% process steps and +20% etch steps, SemiAnalysis IEDM coverage), so it needs tools and cleanroom space. NAND supply is more elastic than DRAM's, not costless.</t>
  </si>
  <si>
    <t>★ Audit finding (B): the NAND formula has no yield term at all. 400-layer QLC yields materially worse than 400-layer TLC — pull negative to impose the penalty. ▲ v4.1: also the migration throughput loss; 2026 supply already matches IDC's +17% at zero, so the default stays 0.</t>
  </si>
  <si>
    <t>NAND's most important bit lever (232 → 400+ = +72%). It needs no new wafer starts but it does need tools and cleanroom space (+30% process steps at 321 layers, SemiAnalysis IEDM coverage). Hybrid bonding tool lead times and 400-layer yield decide whether it lands.</t>
  </si>
  <si>
    <t>Layers and QLC both advance faster than expected while consumer demand stays priced out — the risk specific to NAND. ▲ v4.1: restored to 5% (v4.0 had 0%).</t>
  </si>
  <si>
    <t>Cleared basis: TrendForce cut its 2026 global notebook shipment forecast to −14.8% on 2026-03-30 (the −10% the reports quoted looked too optimistic then) and narrowed it to −9.4% on 2026-09-04. ▲ v4.1: date corrected from July and the September revision added; the −5% cleared bit rate is unchanged.</t>
  </si>
  <si>
    <t>Built here. ▲ v4.1: the RDIMM weight is set as the residual of TrendForce's 'HBM + RDIMM = 51% of DRAM bit supply' (51% − 9%), so matching 51% is by construction, not a check.</t>
  </si>
  <si>
    <t>open reconciliation item</t>
  </si>
  <si>
    <t>[C] Backing out memory bit demand from the CSP basis — a cross-check on the model's 2027 demand</t>
  </si>
  <si>
    <t>Two routes that share inputs (this back-out reuses sheet 03's 51/49 weights and its 12% handset rate) land at 23.5% and 28.7%. ▲ v4.1: a consistency check, not two confirmations — the blended ASP in row 26 is a free parameter (+80% gives about 16%, +100% about 10%), so this route brackets roughly 10–35%.</t>
  </si>
  <si>
    <t>★ How to read it: the value of this section is not a more accurate number but a second route to the one key parameter the model never derived. One route runs low (23.5%), the other high (28.7%), and the value in use sits between them. ▲ v4.1: the two routes share the segment weights and the handset rate, and the memory-share series is DRAM + NAND combined (TrendForce 8/25) while the result is read as DRAM bit demand, so this is a consistency check rather than a validation.</t>
  </si>
  <si>
    <t>(withdrawn in v4.1) 'The 2027 supply gap will exceed 10%' was a misreading of ①: the Korean text says demand growth exceeds supply growth by '10%포인트 이상' — a growth gap in points, not a level.</t>
  </si>
  <si>
    <t>▲ v4.1: consistent with, not independent of, Micron's 3:1 — '1 HBM4 wafer = 3 conventional wafers' is the industry rule of thumb that starts there. Better support for the base comes from TrendForce's own series (implied 2.85–2.87×), and Micron says the ratio rises with HBM4 and HBM4E (sheet 09 rows 11–12).</t>
  </si>
  <si>
    <t>Sheet 01 row 6 keeps the 2.8× base; the v4.1 path from 2027 is on sheet 09.</t>
  </si>
  <si>
    <t>Supply-chain benchmark. The model's 'normal' of 6 weeks (sheet 01 row 10) sits inside the range, just below its 6.4-week top end.</t>
  </si>
  <si>
    <t>★ Why item ③ matters less than it first looked: a model whose conclusions rest on one self-built parameter is fragile in a specific way — you cannot tell whether you are measuring the world or your own assumption. A sell-side house repeating the industry's 3:1 moves that parameter into the 'market consensus' column but is not an independent check. ▲ v4.1: the better evidence is TrendForce's own two series (implied 2.85–2.87×), and the more important fact is Micron's guidance that the ratio rises with each generation — which the v4.0 8-high relief had pointed the other way.</t>
  </si>
  <si>
    <t>The model quotes 'notebooks −10%', but TrendForce cut its 2026 global notebook shipment forecast to −14.8% on 2026-03-30. ▲ v4.1: the cut was in March, not July, and TrendForce narrowed the forecast to −9.4% on 2026-09-04, close to the −10% the model quoted.</t>
  </si>
  <si>
    <t>Section 07 of sheet 00 lists the original ten (A×4, B×3, C×3); this sheet adds the five found in v3.0, two of them grade A. Sheet 06 block [F] adds the v4.0 findings and sheet 10 the v4.1 corrections. Nothing has been removed except v4.0's working-date note (finding C5, sheet 10 #34)</t>
  </si>
  <si>
    <t>The start point (−9.0% on the v3.0 inventory reading; −8.8% on the v4.0 reading at the 6-week normal, −7.0% in use) has cleared demand in its denominator, because inventory weeks are converted using actual consumption; the recursion's denominator is unconstrained demand. Two different denominators inside one continued product.</t>
  </si>
  <si>
    <t>[E] The full basis table after v3.0, v4.0 and v4.1: nine conventions side by side</t>
  </si>
  <si>
    <t>Compared with TrendForce's −1~−2% sufficiency, which is a level (open item, row 17)</t>
  </si>
  <si>
    <t>⑧ v4.0/v4.1: flow, shipment basis (effective release removed from the base)</t>
  </si>
  <si>
    <t>▲ NEW. What customers can actually receive, once you stop counting bits that came out of inventory rather than out of a fab. ▲ v4.1: a flow, so it says whether the gap is widening; row ⑨ gives the level.</t>
  </si>
  <si>
    <t>⑨ v4.1: level anchored outside the model (2026 = SemiAnalysis public estimate), v4.1 flows</t>
  </si>
  <si>
    <t>★★ All nine numbers are correct and all nine answer different questions. The common root of the mistakes in v1.0 and v2.0 was putting numbers from different bases next to each other. v3.0's contribution was not a more accurate gap but aligning each basis's numerator with its denominator so each could be checked against the matching external dataset. v4.0's contribution is the eighth row: separating what was produced from what was shipped. ▲ v4.1 adds the ninth: a level anchored outside the model, which sidesteps the start-point problem behind rows ② and ④.</t>
  </si>
  <si>
    <t>v4.1 Corrected Edition  |  DRAM / NAND / HBM  |  flow basis (growth gap) + level basis (horizontal adequacy, externally anchored)  |  data cut-off 2026-09-28  |  amber = new in v4.0, lavender = new or corrected in v4.1 (sheet 10 lists every change)</t>
  </si>
  <si>
    <t>This workbook is the computable version of The Arithmetic of the Gap. Every number is a live formula. Sheets 01 and 02 each carry a PARAMETER CONSOLE at the bottom: drag a slider and the whole sheet and every chart recalculates. Sheet 06 carries another console holding the three v4.0 corrections. This is a framework whose parameters you can replace and recompute — not a forecast. ▲ v4.1: sheet 09 carries one more console (inventory coverage and destination, the HBM penalty path, the stock convention, the external anchor) together with the level-basis probabilities and the external calibration, so console blocks sit on sheets 01, 02, 06 and 09; sheet 10 is the change log.</t>
  </si>
  <si>
    <t>Lavender fill</t>
  </si>
  <si>
    <t>Added or corrected in v4.1 (2026-09-28) — sheet 09 holds the new levers and checks, sheet 10 lists every change</t>
  </si>
  <si>
    <t>★ The whole difference sits in this line: NAND has two levers that add bits without new wafer starts (layer stacking 232 → 400+ = +72%, TLC → QLC = +33%, 2.29× in theory when compounded), while DRAM's node steps add far less and HBM takes wafers away. ▲ v4.1: the NAND levers are not free — each layer step adds process steps (SK hynix 321-layer: +44% bits per wafer, +30% process steps), so they need tools and cleanroom space. That is the source of every conclusion below — the same demand meeting two different supply elasticities must produce two price paths.</t>
  </si>
  <si>
    <t>03   Inventory: a physical signal, no longer the anchor of the level   ▲ rewritten in v4.0, revised in v4.1</t>
  </si>
  <si>
    <t>Industry long-run mean, linked to sheet 01 row 10 (v4.0 showed 8 here; the model uses 6). ★ The most fragile parameter behind the ② start point.</t>
  </si>
  <si>
    <t>★★ v4.0: since late 2024 the market has run short without running out because it was eating inventory — from 13–17 weeks down to under 1.5 (▲ v4.1: the 31 weeks of early 2023 quoted before could not be traced to the same series). The buffer is now gone, and the last leg of that drawdown (≈2.57 weeks between July 2026 and Q3 2026) means about 4.9% of 2026 shipments were released from stock rather than produced. From 2027 shipments can only come from production. That single accounting fact, not any new demand datapoint, is what moves the model.</t>
  </si>
  <si>
    <t>★★ v4.0: since late 2024 the market has run short without running out because it was eating inventory — from 13–17 weeks down to under 1.5 (▲ v4.1: the 31 weeks of early 2023 quoted before could not be traced to the same series). The buffer is now gone, and the last leg of that drawdown (≈2.57 weeks between July 2026 and Q3 2026) means about 4.9% of 2026 shipments were released from stock rather than produced. From 2027 shipments can only come from production. That single accounting fact, not any new demand datapoint, is what moves the model. ▲ v4.1: two qualifications. The drawdown is a two-supplier reading (about 64% of revenue), and TrendForce reports US CSPs building buffer stock and mobile DRAM buyers holding 12–14 weeks — bits moved onto customer shelves inflate 2026 purchases by the same amount and do not tighten 2027. Sheet 09 carries both as sliders; at the defaults the effective release is about 1.6% of supply, not 4.9%.</t>
  </si>
  <si>
    <t>Chain of logic: ① latent −(30~40)%  →  [strip customer over-requests]  →  ② stock −13.6% (median −14.6%)  →  [strip the consumer-electronics demand priced out: handsets −15~20%, notebooks −9.4% (TrendForce 9/4; −14.8% from March to August)]  →  ③ cleared −(1~2)%.  ④ is not on this chain — it is the first derivative of ②.</t>
  </si>
  <si>
    <t>Late 2024</t>
  </si>
  <si>
    <t>TrendForce (via Reuters): 13–17 weeks, midpoint used. ▲ v4.1: replaces '31 weeks in early 2023', which could not be traced to the series behind the 3.3-week reading.</t>
  </si>
  <si>
    <t>Drawdown from late 2024 ≈ 11.7 weeks (9.7–13.7) ≈ 22% of a year's demand (19–26%). ▲ v4.1: was 27.7 weeks = 53% from the untraceable 31-week start.</t>
  </si>
  <si>
    <t>Supply and capacity: SemiAnalysis, 'China's CXMT Is Set to Challenge DRAM Incumbents' (2026-06-23) — four-supplier end-2026 capacity and three-year additions | 'Memory Mania' (2026-02-06) — Samsung 1c carries ~70% more bits per wafer than 1a; DRAM density roughly 2× per decade</t>
  </si>
  <si>
    <t>Inventory: 3.3 weeks end-2025Q3 (TrendForce via Astute Group; also UncoverAlpha, whose '31 weeks early 2023' was dropped in v4.1 as untraceable to the same series) | TrendForce via Reuters (13–17 weeks, late 2024) | Luminix, 'DRAM Cycle Mid-2026 Update' (3–5 weeks in July 2026) | ★ KB Securities research note, 2026-09-07, head of research Kim Dong-won — supplier inventory below 10 days in 2026 Q3, plus four quantifications reproduced on sheet 04 | quota: Micron FY26 Q2 call, Korean press 60–70%</t>
  </si>
  <si>
    <t>05   v4.1 headline: the 2027 DRAM picture on a flow basis and on a level basis</t>
  </si>
  <si>
    <t xml:space="preserve">v3.0 basis
(production)</t>
  </si>
  <si>
    <t xml:space="preserve">v4.1 · inventory
correction only</t>
  </si>
  <si>
    <t xml:space="preserve">v4.1 · all
corrections</t>
  </si>
  <si>
    <t xml:space="preserve">Change vs v3.0
(pp)</t>
  </si>
  <si>
    <t>P(2027 growth gap &lt; 0) — the gap is still widening, not the probability of shortage</t>
  </si>
  <si>
    <t>v4.0 labelled this 'the probability 2027 is still short' (56% → 83%). It counts the scenarios whose growth gap is negative, i.e. a widening gap; the next row gives the level.</t>
  </si>
  <si>
    <t>P(DRAM short in 2027) — level basis</t>
  </si>
  <si>
    <t>06   DRAM and NAND part company in 2027 — in their rate of change</t>
  </si>
  <si>
    <t>★ Robustness check (added in this workbook; neither report did it): v2.0 warned only on the DRAM side that the mean is dragged up by extreme scenarios and the median should be read instead. Swap both sides to the probability median and the divergence does not disappear — it widens. So 'DRAM and NAND should be priced separately' is robust to the probability weights; it does not rest on the two low-probability tail scenarios. ▲ v4.1: this is a divergence in the rate of change. Whether NAND's level turns to surplus depends on its start point (a free parameter, audit A1); Morgan Stanley (reported), Sandisk, Kioxia and KB see NAND still short in 2027, TrendForce sees balance in 2H27 (sheet 09 [D]).</t>
  </si>
  <si>
    <t>Arithmetic: the 15 DRAM scenario-years, 12 NAND scenario-years, the HBM penalty formula, the single-variable sensitivity table and every stock recursion have been recomputed cell by cell; all differences are within rounding. The arithmetic re-checks; the open issues are of logic and basis — listed below, on sheets 05 and 06, and corrected in v4.1 on sheets 09–10.</t>
  </si>
  <si>
    <t>Opposite in direction to the item above: it overstates DRAM supply by roughly 1–3pp per year. The two errors partly offset, but both should be modelled explicitly rather than left to cancel. ▲ v4.1: the direction may be the reverse. CXMT announced mass production of its G5 (1a-class) platform on 9/20, with at least 50% more dies per wafer than its predecessor (TechNode 9/21), and capacity heads for about 420k wpm in 2027 (TrendForce 9/24), so the node term may understate CXMT's bit growth. Direction open; a separate CXMT row is a v5.0 item.</t>
  </si>
  <si>
    <t>This was the biggest hole. Sheet 03 now decomposes it bottom-up across AI servers, conventional servers, handsets, PCs and other, and cross-checks it against two external routes (which share inputs, see sheet 04).</t>
  </si>
  <si>
    <t>Grades: A = affects the direction of the conclusion, should be formally corrected in the next version; B = affects the magnitude; C = internal consistency or wording. All of the above are logic and basis issues — no arithmetic error was found in either report. Five further findings were added in v3.0 (sheet 05), four in v4.0 (sheet 06), and the v4.1 corrections are listed on sheet 10.</t>
  </si>
  <si>
    <t>v4.1 sources (2026-09-28): Micron FQ3 FY26 prepared remarks (6/24: trade ratio rising with each generation; the 16 SCAs cover ~20% of DRAM and ~1/3 of NAND volume; agreements with fixed prices or price ceilings at or close to CQ2 market prices expected to be ~40% of revenue) and Hot Chips (Aug 2026) | TrendForce 3/30 and 9/4 (notebooks), 7/9, 7/28 (2027 supply +24%), 7/30, 8/3, 9/9 (buffer inventory), 9/21 (Rubin ramp, HBM4 yield), 9/23–24 | TechNode 9/21 (CXMT G5) | SemiAnalysis 6/23 (CXMT; public 2026–27 DRAM undersupply range), 9/13 (4-hi HBM) and IEDM 2025 coverage (1/13) | KB Securities 9/7 (Korean original) | IDC 2026 bit-supply forecasts | Morgan Stanley NAND figures via secondary coverage.</t>
  </si>
  <si>
    <t>What has been added or promoted since v3.0 (▲ v4.1: customer inventory and the spot–contract spread) and what has been retained</t>
  </si>
  <si>
    <t>★ Promoted from item 19 in v3.0 to first place. Back above 3 weeks means the tightness is easing; a further fall means 2027 sees genuine allocation failures rather than merely high prices. This is the only physical anchor of the stock basis and the most fragile single parameter in the model. ▲ v4.1: read together with item 1b (customer inventory); inventory weeks no longer set the level (sheet 09 [C]).</t>
  </si>
  <si>
    <t>Above 50% would mean the de-spec is structural; if it is only a transition step, the demand-ceiling judgement on sheet 06 row 11 has to be withdrawn. ▲ v4.1: the same share scales both the supply relief (sheet 06 row 10) and the demand ceiling (sheet 09 [F]).</t>
  </si>
  <si>
    <t>S1 assumes 384GB; Rubin Ultra's mainline reported at 192GB (8-high)</t>
  </si>
  <si>
    <t>★ 8-high moves part of the bottleneck here, and this model cannot compute it. Recorded honestly as outside the boundary rather than approximated. ▲ v4.1: HBM4 base dies come from logic foundries, so 8-high also moves demand onto foundry base-die capacity.</t>
  </si>
  <si>
    <t>1b</t>
  </si>
  <si>
    <t>Customer inventory: hyperscaler buffers, handset makers, channel</t>
  </si>
  <si>
    <t>Building: US CSP buffers (TrendForce 7/9, 9/9); mobile DRAM buyers at 12–14 weeks of average inventory (TrendForce 8/3), against the 8–10 weeks TrendForce called healthy for smartphone makers (Dec 2025)</t>
  </si>
  <si>
    <t>▲ v4.1 new</t>
  </si>
  <si>
    <t>Tracked alongside item 1: a supplier drawdown that lands on customer shelves does not tighten 2027 (φ on sheet 09). The 2018–19 downturn began when data-centre memory inventory reached about twice normal and buying stopped.</t>
  </si>
  <si>
    <t>Micron (FQ3 FY26): SCAs cover ~20% of its DRAM volume and ~1/3 of NAND; agreements with fixed prices or price ceilings at or close to CQ2 market prices are expected to be ~40% of revenue. Samsung reportedly targets 60–70% of capacity under 5-year LTAs with floors. Sandisk NBM ~50% of FY27 bits</t>
  </si>
  <si>
    <t>17</t>
  </si>
  <si>
    <t>Spot minus contract price (DDR4 / DDR5, NAND wafer)</t>
  </si>
  <si>
    <t>Softening: DDR4 2Gx8 spot −3.6% in the week to 9/23, DDR5 spot weaker in September, 512Gb TLC wafer $21.13 (mid-Aug) → $19.88 (9/23); 4Q26 contract guidance still rising (TrendForce 9/23–24)</t>
  </si>
  <si>
    <t>price</t>
  </si>
  <si>
    <t>▲ v4.1 new. Spot has led contract by one to two quarters in past cycles (signal ② in the July NAND report). Spot below contract for two consecutive months would be the first price-side sign of a turn.</t>
  </si>
  <si>
    <t>[C] Closing statement</t>
  </si>
  <si>
    <t>Third, and most important: the arithmetic in this workbook is only as good as its origin. v1.0's error was found by a reader, v2.0's while building the workbook, v3.0's while cross-calibrating against NVIDIA, and v4.0's while checking two news items, and v4.1's while re-auditing against Micron, TrendForce and SemiAnalysis. Every version has found the previous version's mistake, which is a reason to hold any single quantitative conclusion loosely and to give priority to directly observable physical indicators.</t>
  </si>
  <si>
    <t>10 · Change log: v4.0 (sent 2026-09-19) → v4.1 (2026-09-28)</t>
  </si>
  <si>
    <t>Each row: where, what changed, why. References P0-x / P1-x point to the 2026-09-28 correction plan. Corrections change a number or a formula; supplements add a block; text fixes bring a note into line with the cell it describes. To reproduce v4.0 exactly: sheet 09 φ = 1, coverage = 1, both trade-ratio steps = 0, stock convention = 0, base-die switch (09 row 13) = 1; sheet 06 row 10 = 20; weights 16/40/27/17/0 and 25/46/29/0.</t>
  </si>
  <si>
    <t>#</t>
  </si>
  <si>
    <t>Plan ref</t>
  </si>
  <si>
    <t>Where</t>
  </si>
  <si>
    <t>What changed</t>
  </si>
  <si>
    <t>Why</t>
  </si>
  <si>
    <t>Type</t>
  </si>
  <si>
    <t>P0-1</t>
  </si>
  <si>
    <t>06!A25 · 00!A50 · 01!A137, A164</t>
  </si>
  <si>
    <t>'Probability 2027 is still short' relabelled 'P(2027 growth gap &lt; 0): the gap is still widening'.</t>
  </si>
  <si>
    <t>It counts scenarios by the sign of the growth gap. A positive gap only means the gap has started to narrow, not that the market is in surplus (the point v2.0 made when it withdrew the 47%).</t>
  </si>
  <si>
    <t>Correction</t>
  </si>
  <si>
    <t>09 [B] · 00 row 51 · 01 row 165</t>
  </si>
  <si>
    <t>Added the probability of shortage on a level basis for 2026–28, from the sheet 06 stock block and from the external anchor.</t>
  </si>
  <si>
    <t>This is the number the old label claimed to be. On a level basis DRAM is short in 2027 in every weighted scenario except S5.</t>
  </si>
  <si>
    <t>Supplement</t>
  </si>
  <si>
    <t>06!L18:L22, K30:K34 · 01!H130:H134 · 02!J65:J68</t>
  </si>
  <si>
    <t>Verdict formulas now say 'widening / narrowing' for flows; 06!K30:K34 reads the 2027 level and the flow separately.</t>
  </si>
  <si>
    <t>The old verdicts said 'short' on the strength of a growth gap.</t>
  </si>
  <si>
    <t>06!A26 · 01!A138</t>
  </si>
  <si>
    <t>The '53% → 78%' paragraphs replaced by live text.</t>
  </si>
  <si>
    <t>The workbook itself computed 56% → 83%, the label was the flow sign, and the flip of S3 depended on the gross release being fully consumed.</t>
  </si>
  <si>
    <t>P0-2</t>
  </si>
  <si>
    <t>09 [C] · 00 row 53 · 05 row 54</t>
  </si>
  <si>
    <t>External anchor: the 2026 level is taken from the SemiAnalysis public estimate (−8%, slider) and carried forward with the v4.1 flows; TrendForce’s cleared −1.5% is the lower anchor; B2 and B6 are shown as the deep and shallow ends.</t>
  </si>
  <si>
    <t>The depth headline (median −20.6% in 2028) came from the inventory start point that the model's own audit A5 had flagged as 10–14pp too deep.</t>
  </si>
  <si>
    <t>P0-3</t>
  </si>
  <si>
    <t>09 rows 9–10, 17 · 06!E18:E22, K18:K22, B55, C15</t>
  </si>
  <si>
    <t>Inventory drag = gross release × coverage (0.64) × share consumed φ (0.50), about 1.6% of supply, instead of the gross 4.9%.</t>
  </si>
  <si>
    <t>The KB reading covers Samsung and SK hynix only (≈64% of revenue), and TrendForce reports buffer building at US CSPs and 12–14 weeks at mobile DRAM buyers: stock that moved to customer shelves inflated 2026 purchases by the same amount.</t>
  </si>
  <si>
    <t>Correction (sliders)</t>
  </si>
  <si>
    <t>09 [E]</t>
  </si>
  <si>
    <t>Full-year net release range, shipments-minus-production cross-check (Micron CY26 low-to-mid 20s vs model production), φ sensitivity grid, and the reason weeks are not converted one-for-one.</t>
  </si>
  <si>
    <t>Makes the size and the destination of the release explicit instead of a single 4.9%.</t>
  </si>
  <si>
    <t>P1-5</t>
  </si>
  <si>
    <t>09 row 14 · 06!F29, F30:F34, G30:G34</t>
  </si>
  <si>
    <t>Symmetric stock convention by default: 2026 on a delivered basis (production + effective release), 2027 on production. 0 restores v4.0.</t>
  </si>
  <si>
    <t>v4.0 put 2026 on production and 2027 on shipments, which assumes the release is rebuilt into supplier stock in 2027 — the restock double count of audit A3 in another form (06 finding B6).</t>
  </si>
  <si>
    <t>Correction (switch)</t>
  </si>
  <si>
    <t>P0-6</t>
  </si>
  <si>
    <t>09 rows 11–12, 18–20 · 06!J18:J22, I30:I34 · 01!A8, B8, D8</t>
  </si>
  <si>
    <t>HBM penalty path from 2027: base 2.8× + trade-ratio step (+0.50 in 2027, +0.80 in 2028) + 8-high relief = 3.0× and 3.3× (v4.0: 2.6× and 2.6×).</t>
  </si>
  <si>
    <t>Micron: the trade ratio rises with every generation (FQ3 FY26; Hot Chips, "definitely not getting better"; HBM4E above 4:1). HBM4 is the main product in 2027.</t>
  </si>
  <si>
    <t>09 row 13 · 07!A12:C12, E15:E19, B29</t>
  </si>
  <si>
    <t>Base-die switch, default 0: the −3.7% base-die dilution applies only when the base die is a DRAM die (HBM3E).</t>
  </si>
  <si>
    <t>HBM4 base dies are logic parts made at TSMC (SK hynix), on Samsung SF4, and in-house at Micron until HBM4E moves to TSMC.</t>
  </si>
  <si>
    <t>06!H10 (slider 20 → 30), J10</t>
  </si>
  <si>
    <t>8-high relief −0.20× → −0.30× (stacking-yield gain only, sheet 07 at y = 0.975).</t>
  </si>
  <si>
    <t>With the dilution removed, sheet 07 gives −0.29×; the relief now offsets part of the trade-ratio step.</t>
  </si>
  <si>
    <t>09 [F]</t>
  </si>
  <si>
    <t>8-high demand arithmetic (HBM share × share moving to 8-high × 33% cut per stack × technical half = −2.4pp) and a penalty-path sensitivity table.</t>
  </si>
  <si>
    <t>Turns the −2.5pp de-spec judgement on 06 row 11 into a derivation; it supports the default, which is unchanged.</t>
  </si>
  <si>
    <t>P1-4</t>
  </si>
  <si>
    <t>01!H151:H155 · 02!H83:H86 (sliders)</t>
  </si>
  <si>
    <t>Weights 16/40/27/17/0 → 15/38/25/17/5 (DRAM) and 25/46/29/0 → 24/44/27/5 (NAND).</t>
  </si>
  <si>
    <t>A zero-weight collapse case is hard to defend while hyperscaler free cash flow turns negative; the output-cut truncation on sheet 05 keeps the tail in check.</t>
  </si>
  <si>
    <t>Correction (judgement)</t>
  </si>
  <si>
    <t>09 [G]</t>
  </si>
  <si>
    <t>Disclosure of the scenario-input changes since the v1.0 report (S2–S5 and N1–N4 demand inputs, both weight sets).</t>
  </si>
  <si>
    <t>Table 18 of the write-up attributed the v1.0 → v4.0 difference to weights, HBM basis, penalty and demand shift only.</t>
  </si>
  <si>
    <t>P1-1</t>
  </si>
  <si>
    <t>09 [D]</t>
  </si>
  <si>
    <t>External calibration: IDC 2026, TrendForce 2027 supply +24%, KB, SemiAnalysis, Morgan Stanley (reported), implied 2027 demand, HBM penalty range.</t>
  </si>
  <si>
    <t>Supply and demand levels both look low against outside data while the gap matches; the table shows it cell by cell.</t>
  </si>
  <si>
    <t>P0-4</t>
  </si>
  <si>
    <t>00!B37, C37</t>
  </si>
  <si>
    <t>'Normal' inventory 8 → linked to 01!B10 (6).</t>
  </si>
  <si>
    <t>The overview still showed the pre-correction 8 weeks.</t>
  </si>
  <si>
    <t>Text / value</t>
  </si>
  <si>
    <t>00!A79, A92</t>
  </si>
  <si>
    <t>'The implementation is correct' → the arithmetic re-checks and the open basis issues are listed; v4.0 finding count corrected to four.</t>
  </si>
  <si>
    <t>The v4.0 blocks carry basis issues (P0-1, P1-5).</t>
  </si>
  <si>
    <t>Text</t>
  </si>
  <si>
    <t>P0-4 · P0-5</t>
  </si>
  <si>
    <t>00!A100 · 01!D6, J143 · 04!F38, I38, A48 · 07!C31</t>
  </si>
  <si>
    <t>KB's 3× described as consistent with Micron's 3:1, not an independent confirmation; TrendForce's implied 2.85–2.87× cited instead.</t>
  </si>
  <si>
    <t>'1 HBM4 wafer = 3 conventional wafers' is the industry rule of thumb that starts with Micron.</t>
  </si>
  <si>
    <t>01!D8, A44 · 06!J10, E41, I64</t>
  </si>
  <si>
    <t>References to a '3.0×' grid penalty corrected to the 2.8× base and the v4.1 path.</t>
  </si>
  <si>
    <t>Sheet 01 row 6 is 2.8×.</t>
  </si>
  <si>
    <t>01!D13, J144 · 03!A23 · 05!D6</t>
  </si>
  <si>
    <t>'−12.6% against the 8-week normal' → live values (−8.8% at the 6-week normal; −7.0% in use).</t>
  </si>
  <si>
    <t>Normal inventory was corrected to 6 weeks; the slider sits at −7.0%.</t>
  </si>
  <si>
    <t>02!A45, A53 · 05!F28 · 01!A66</t>
  </si>
  <si>
    <t>Notes that quoted numbers (N4 skew, 25pp divergence, truncation effect, S5 at 7%) now compute them.</t>
  </si>
  <si>
    <t>The quoted numbers no longer matched the cells.</t>
  </si>
  <si>
    <t>03!H18, A20 · 05!G17, G52</t>
  </si>
  <si>
    <t>'Agrees on a like-for-like basis' → open reconciliation item.</t>
  </si>
  <si>
    <t>The cleared flow (+1.5%) is compared with TrendForce's sufficiency, a level, and the year match was withdrawn in the write-up.</t>
  </si>
  <si>
    <t>P0-5</t>
  </si>
  <si>
    <t>03!D17</t>
  </si>
  <si>
    <t>RDIMM weight described as the residual of TrendForce’s 51%.</t>
  </si>
  <si>
    <t>Matching 51% is by construction, so it is not a check.</t>
  </si>
  <si>
    <t>04!A23, H29, A31 · 00!H91</t>
  </si>
  <si>
    <t>'Two independent routes' → a consistency check that shares inputs; the blended ASP is a free parameter (+80% → ~16%, +100% → ~10%).</t>
  </si>
  <si>
    <t>Route 2 reuses route 1’s weights and handset rate, and the memory share is DRAM + NAND combined.</t>
  </si>
  <si>
    <t>02!A63, B70 · 04!B37, F36, F37</t>
  </si>
  <si>
    <t>KB's '10%포인트 이상' read as a growth gap in points; the 'supply gap will exceed 10%' reading withdrawn; +10.9% → live N2 value.</t>
  </si>
  <si>
    <t>The Korean original compares demand growth with supply growth.</t>
  </si>
  <si>
    <t>P0-7</t>
  </si>
  <si>
    <t>00!A18 · 02!A2, A25, A26, A52, J79</t>
  </si>
  <si>
    <t>'No new fab / without laying a brick' → layer steps need tools and cleanroom space (321-layer: +44% bits per wafer, +30% process steps).</t>
  </si>
  <si>
    <t>SemiAnalysis' IEDM coverage; the summary and §2.3 of the write-up also contradicted each other.</t>
  </si>
  <si>
    <t>02!J77</t>
  </si>
  <si>
    <t>NAND yield term noted as the place for a migration throughput loss; default 0, since 2026 NAND supply already matches IDC’s +17%.</t>
  </si>
  <si>
    <t>Calibrated rather than added.</t>
  </si>
  <si>
    <t>P1-2</t>
  </si>
  <si>
    <t>00!H87</t>
  </si>
  <si>
    <t>CXMT node-term finding (B3): direction may be reversed (G5: at least 50% more dies per wafer, TechNode 9/21; ~420k wpm in 2027, TrendForce 9/24).</t>
  </si>
  <si>
    <t>A separate CXMT row is a v5.0 item.</t>
  </si>
  <si>
    <t>P1-3</t>
  </si>
  <si>
    <t>00!A54, A59 · 02!A53</t>
  </si>
  <si>
    <t>The DRAM/NAND divergence restated as a divergence in the rate of change; the level depends on NAND’s start point.</t>
  </si>
  <si>
    <t>Most outside sources still see NAND short in 2027 on a level basis.</t>
  </si>
  <si>
    <t>P1-6 · P1-8</t>
  </si>
  <si>
    <t>08 rows 14, 21, 25 · E6, E8, E10, E12, C9</t>
  </si>
  <si>
    <t>Tracking list: customer inventory (1b), spot − contract spread (17), Micron SCA coverage, Rubin Ultra at 192GB, live S3 + S4 weight.</t>
  </si>
  <si>
    <t>New signals behind φ and the price layer.</t>
  </si>
  <si>
    <t>00!G42:H45</t>
  </si>
  <si>
    <t>Trough-year and fill verdicts turned from typed text into formulas.</t>
  </si>
  <si>
    <t>Two were wrong: the NAND stock trough is 2026, and the weighted NAND level is not filled in 2027.</t>
  </si>
  <si>
    <t>00 block 05 (rows 47–53)</t>
  </si>
  <si>
    <t>v4.1 headline block: flow, P(widening), P(short, level), S3 row moved to 52, live headline note in 53.</t>
  </si>
  <si>
    <t>Replaces v4.0’s two competing headlines (audit A7).</t>
  </si>
  <si>
    <t>06 [D] rows 39–47 · 06 A1, A2, A4, A7, J11, J12, A16, A27, A28, A37, C53, A55, A56, A59, I62, A158</t>
  </si>
  <si>
    <t>Engine notes updated to the v4.1 treatment; reconciliation notes compute their numbers.</t>
  </si>
  <si>
    <t>Keeps every note in line with the cell it describes.</t>
  </si>
  <si>
    <t>06 row 64 (finding C5) · 08 [C]</t>
  </si>
  <si>
    <t>Removed; finding C6 moved up to row 64 and a v4.1 pointer added in row 65; 06!A66 counts updated.</t>
  </si>
  <si>
    <t>A note about the research workflow's working date, not a model finding; the write-up's Part 9 keeps it.</t>
  </si>
  <si>
    <t>Deletion</t>
  </si>
  <si>
    <t>08 [D]</t>
  </si>
  <si>
    <t>Removed (effects on Rambus, Applied Materials, Aehr and others).</t>
  </si>
  <si>
    <t>Outside the model; the closing statement moves up to row 27.</t>
  </si>
  <si>
    <t>07 A1, A2, A4, A11, A14:E14, A20, A23, C29, C32, A40, C44, C46, A48, A81 · chart title</t>
  </si>
  <si>
    <t>The 8-high sheet explains the HBM4 logic base die, the yield-only relief and the rising trade ratio.</t>
  </si>
  <si>
    <t>Consistent with P0-6.</t>
  </si>
  <si>
    <t>Charts 6 (sheet 01), 2 and 3 (sheet 06), sheet 07 chart</t>
  </si>
  <si>
    <t>'(v4.0)' titles updated; cached series refreshed.</t>
  </si>
  <si>
    <t>The data behind them now carry v4.1 parameters.</t>
  </si>
  <si>
    <t>00!A2, A5, A12, A29, G35, A38, A104 · 01!A2 · 02!A2</t>
  </si>
  <si>
    <t>Edition line (v4.1, cut-off 2026-09-28), lavender legend, v4.1 sources.</t>
  </si>
  <si>
    <t>Workbook</t>
  </si>
  <si>
    <t>calcChain removed and full recalculation on open; opens on 00-Overview.</t>
  </si>
  <si>
    <t>Formulas changed; Excel rebuilds the chain.</t>
  </si>
  <si>
    <t>Technical</t>
  </si>
  <si>
    <t>Sheets 09 and 10</t>
  </si>
  <si>
    <t>New: v4.1 console (8 scroll bars), level basis, external anchor, calibration, inventory, HBM, input disclosure, v4.0-vs-v4.1 table; this change log.</t>
  </si>
  <si>
    <t>Every judgement is a reversible slider; every error fix is listed here.</t>
  </si>
  <si>
    <t>00!A27 · 03!G9 · 05!D10</t>
  </si>
  <si>
    <t>Notebooks: TrendForce's cut to −14.8% is dated 30 March 2026 (not July), and its 4 September narrowing to −9.4% is added.</t>
  </si>
  <si>
    <t>TrendForce press releases of 2026-03-30 and 2026-09-04. The cleared PC bit rate (−5%) is unchanged.</t>
  </si>
  <si>
    <t>00!A31:C31, G32, A38, A97 · 01!A43 · 06!A56, A158 · chart 1 on sheet 06</t>
  </si>
  <si>
    <t>Inventory history starts in late 2024 at 13–17 weeks (TrendForce via Reuters; 15 plotted) instead of 31 weeks in early 2023; the drawdown is restated (≈22% of a year to 3Q25, not 53%).</t>
  </si>
  <si>
    <t>The 31-week figure could not be traced to the series behind the 3.3-week reading, and the write-up had already dropped it. It was never a model input.</t>
  </si>
  <si>
    <t>00!A38 · 06!A56 · 08!C14 · 09!J9 · 10 row 10</t>
  </si>
  <si>
    <t>'Handset makers hold 12–14 weeks against 8–10 healthy (TrendForce 8/3)' → mobile DRAM buyers at 12–14 weeks (8/3); the 8–10-week healthy range is TrendForce's December 2025 figure for smartphone makers.</t>
  </si>
  <si>
    <t>The 3 August report says 'buyers', and the healthy range is not in it.</t>
  </si>
  <si>
    <t>00!A104 · 08!C21</t>
  </si>
  <si>
    <t>Micron's ~40% quoted as agreements 'with either fixed prices or price ceilings at or close to current CQ2 market prices'.</t>
  </si>
  <si>
    <t>The exact wording of the FQ3 FY26 prepared remarks; the earlier paraphrase dropped the fixed-price deals.</t>
  </si>
  <si>
    <t>00!H87 · 10 row 32</t>
  </si>
  <si>
    <t>CXMT G5: “at least 50% more dies per wafer” attributed to TechNode (9/21; announced 9/20), the 420k wpm to TrendForce (9/24).</t>
  </si>
  <si>
    <t>The two facts come from different sources.</t>
  </si>
  <si>
    <t>00!A95</t>
  </si>
  <si>
    <t>Date of SemiAnalysis' CXMT piece corrected to 2026-06-23.</t>
  </si>
  <si>
    <t>Publication date.</t>
  </si>
  <si>
    <t>00!F24, F26, A27, H83, H84, H88 · 01!D11, A95, J78:J81, A346 · 02!A52 · 03!H17, C28 · 05!D7, G6, G7 · 06!J13 · 07!A20 · 08!E23</t>
  </si>
  <si>
    <t>Text corrected to match live values (for example 2026 stock −13.6%, median −14.6%; restock double count 4.69pp; S5 2028 supply 178% of demand).</t>
  </si>
  <si>
    <t>Notes carried numbers from earlier versions; the computed cells were already right.</t>
  </si>
  <si>
    <t>00!E90, G37, H24, A5 · 01!D10, A33 · 02!A63 · 04!E42, E43, B9, I36 · 05!A2 · 06!A7, A66, C51, E45 · 09!A2, C68, G77 · 10!A2, E38</t>
  </si>
  <si>
    <t>Labels, cross-references and the v4.0 reproduction recipe (base-die switch added).</t>
  </si>
  <si>
    <t>Wording and references only.</t>
  </si>
  <si>
    <t>00!A96, A97 · 01!D12</t>
  </si>
  <si>
    <t>Source attributions (NAND −4~−5% dated 2026-07-21; 3.3 weeks: TrendForce via Astute Group, also UncoverAlpha).</t>
  </si>
  <si>
    <t>Consistent with the write-up's source list.</t>
  </si>
  <si>
    <t>ctrlProp3 (01!H145), ctrlProp26 (06!H12); file properties</t>
  </si>
  <si>
    <t>Two switch scroll bars now store their current value (1); workbook title and description updated to v4.1.</t>
  </si>
  <si>
    <t>Moving those two controls no longer jumps from 0.</t>
  </si>
  <si>
    <t>11 · v4.2 recalibration — Micron's FQ4 FY26 results (2026-09-30) applied to the v4.1 model</t>
  </si>
  <si>
    <t>New sheet, 2026-10-01  |  a master switch and six levers act on 36 of the 51 linked inputs on sheets 01, 02 and 03, the B-grade switches on the other 15; with the master switch (row 9) at 0 and the switches at their defaults, every v4.1 model number reappears  |  B-grade switches default to off  |  mint fill marks every v4.2 cell; sheet 10 lists each change</t>
  </si>
  <si>
    <t>Why this sheet exists. The write-up set down six tests before Micron reported (Table 27). Three were triggered (2027 industry DRAM supply above 20%, FY27 capex far above $40bn, contract coverage rising), two confirmed (demand above supply in 2027 and 2028; a rising HBM trade ratio) and one was mixed (customer inventory). Micron's guidance is a flat path — DRAM industry bit shipments in the mid-20s in 2026 and the low-20s in 2027 and 2028, NAND in the low-20s then the mid-20s, both supply constrained — while v4.1's base case was a V (18.5% → 16.7% → 26.0%). The pre-set rule for test 1 looked only at supply; Micron said in the same breath that the market gets tighter, so supply and demand are raised together. Its fab calendar moves most of 2028's capacity additions into 2029, and its NAND view removes 'NAND turns first' from the base case. Each change is a lever here; nothing on sheets 01–10 was overwritten except the input links (mint) and sheet 06 row 11 (switch B2).</t>
  </si>
  <si>
    <t>[A] v4.2 RECALIBRATION CONSOLE · A-grade levers (on by default) and B-grade switches (off by default)</t>
  </si>
  <si>
    <t>How to use: drag the grey scroll bar, or click the arrows at either end to nudge one step. The yellow cell is the converted current value; the blue cell on the right is the slider's raw integer and can be typed into directly (Excel for the web and some mobile builds do not render the sliders — type into the blue cells instead).</t>
  </si>
  <si>
    <t>Parameter</t>
  </si>
  <si>
    <t>Current value</t>
  </si>
  <si>
    <t>◀  drag to adjust  ▶</t>
  </si>
  <si>
    <t>Slider link cell</t>
  </si>
  <si>
    <t>Adjustable range</t>
  </si>
  <si>
    <t>Note</t>
  </si>
  <si>
    <t>B-grade switches · each stays off until the evidence is in (Samsung's and SK hynix's third-quarter results, Micron's 10-K, the 2027 Rubin configurations)</t>
  </si>
  <si>
    <t>v4.2 · recalibration master switch (1 = on, 0 = v4.1 inputs)</t>
  </si>
  <si>
    <t>0 or 1</t>
  </si>
  <si>
    <t>Turns the six levers in rows 10–15 on (1) or off (0). At 0 every input on sheets 01, 02 and 03 returns to its v4.1 value; with the B-grade switches in rows 17–21 at their defaults, every v4.1 number reappears (the facts updated on 30 September, such as Micron's 2026 shipment guidance on sheet 09 row 71, are not levers). Default 1.</t>
  </si>
  <si>
    <t>v4.2 · DRAM wafer capacity growth, 2027 (pp, all five scenarios)</t>
  </si>
  <si>
    <t>−5.0 ~ +10.0pp</t>
  </si>
  <si>
    <t>Micron, FQ4 FY26 prepared remarks (2026-09-30): 'For calendar 2027 and 2028, we expect industry DRAM bit shipments to grow approximately in the low-20s percentage range and the industry to remain supply constrained in both years.' v4.1's base case had 16.7% (production). Part of the difference is year-average versus year-end capacity: capacity installed in 2H26 (SK hynix M15X, CXMT) produces for all of 2027, so 2027 average capacity grows faster than SEMI's year-end +2.4%. +2.0pp is a judgement; with row 11 it lifts the base case to about 22%.</t>
  </si>
  <si>
    <t>v4.2 · DRAM node bit uplift, 2027 (pp)</t>
  </si>
  <si>
    <t>−5.0 ~ +5.0pp</t>
  </si>
  <si>
    <t>Micron analyst session (9/30), DeBoer: 'Our 1-gamma DRAM technology is already the majority of our bits, and it is set up to be the largest node in the company's history.' The 1γ / 1c migration concentrates in 2027. Against it, Mehrotra on the call: 'Nodes transitions of the future give less productivity gain per wafer.' +3.0pp is a judgement.</t>
  </si>
  <si>
    <t>v4.2 · DRAM demand growth, 2027 (pp)</t>
  </si>
  <si>
    <t>−10.0 ~ +15.0pp</t>
  </si>
  <si>
    <t>Raised with supply because Micron says the market tightens: conditions 'much tighter in calendar 2027 and 2028 than they were in 2026'; 'calendar year 2027 as well as 2028, we see demand exceeding supply'; 'more than 75% of our output is already committed for 2027'. Higher supply and a tighter market can only both hold if demand is higher too. +6pp puts base-case demand at about 30.5% after the de-spec ceiling, inside the 29–32% the write-up proposed (section 7.7). Raising supply alone turns the 2027 weighted gap positive (about +2.3%).</t>
  </si>
  <si>
    <t>v4.2 · DRAM wafer capacity growth, 2028 (pp, timing)</t>
  </si>
  <si>
    <t>−10.0 ~ +5.0pp</t>
  </si>
  <si>
    <t>Micron's fab calendar (9/30): ID1 first wafers mid-CY2027, with output that 'gradually becomes more meaningful starting a few quarters after initial output'; ID2 and Hiroshima late CY2028; Singapore NAND 2H CY2028; New York CY2030; the extra FY27 capex is mostly construction 'to help accelerate clean room space availability in late calendar 2028'. Read with a one-year lag, the Table 6 additions give about +13% for 2028 (2027's 270k wpm), not v4.1's +16%; most of 2028's 395k lands in 2029. −4.0pp in all five scenarios.</t>
  </si>
  <si>
    <t>v4.2 · NAND layer-stacking uplift, 2027–28 (pp)</t>
  </si>
  <si>
    <t>Micron (9/30): CY2026 industry NAND bit shipments 'in the low-20s'; for CY2027 and CY2028 'approximately in the mid-20s percentage range and the industry to remain supply constrained in both years'. v4.1's N2 had 27.6% supply against 22% demand in 2027 (gap +5.6%), on TrendForce's side. −2.0pp on layers in all four scenarios brings N2's 2027 supply to about 25.5%.</t>
  </si>
  <si>
    <t>v4.2 · NAND demand growth, 2027–28 (pp)</t>
  </si>
  <si>
    <t>Paired with row 14 so that N2 is supply constrained in 2027, as Micron says (N2 gap about −0.5%). Micron's data-centre SSD revenue was nearly $10bn in FQ4. TrendForce (7/21, 7/30) still expects NAND sufficiency to turn positive in 2H27 as new capacity enters production while consumer demand stays weak; N3 and N4 carry that path.</t>
  </si>
  <si>
    <t>B2 · de-spec counted as rationing (1) or as lost demand (0)</t>
  </si>
  <si>
    <t>Mehrotra: customers 'make these optimizations mainly to be able to ship more units … these optimizations … do not take away from the latent nature of need for more memory'. TrendForce (9/29): 8-high configurations 'enable the same HBM bit output to support more GPUs'. If the de-spec is rationing, it belongs on the cleared basis only and the −2.5pp ceiling on sheet 06 row 11 should not cut unconstrained demand: 1 sets its effect to zero. Default 0 (v4.1) until the 2027 Rubin configurations are known.</t>
  </si>
  <si>
    <t>B3 · Samsung's 'nearly 30%' read as a global share (1) or top-three (0)</t>
  </si>
  <si>
    <t>Samsung EVP Kim Taewoo (Reuters, 9/29): HBM about 20% of 'the DRAM industry's total wafer capacity' now, nearly 30% next year. The model's 30% for 2027 is TrendForce's top-three basis (24.6% global after removing CXMT). If Samsung means the whole industry, the top-three share is about 36%: 1 adds row 23 to every scenario's 2027 and 2028 top-three shares (2026 is left alone). TrendForce's own series (30% of the top three's wafers at end-2027) argues for 0. Default 0.</t>
  </si>
  <si>
    <t>B4 · cap 2028 wafer growth in S3–S5 at the base case</t>
  </si>
  <si>
    <t>Row 13's calendar applies to every supplier, yet S3–S5 still assume 16–22% wafer growth in 2028 after it. 1 caps them at the base case's 2028 wafer growth. It moves the 2028 probability of shortage a long way, but S3 then sits on the knife-edge (block [F]), so it is a test, not a default.</t>
  </si>
  <si>
    <t>B5 · agentic CPU-server uplift, 2027 server bit demand (pp, sheet 03)</t>
  </si>
  <si>
    <t>0 ~ +30.0pp</t>
  </si>
  <si>
    <t>Micron analyst session, Bhatia: 'the realization that agentic workloads are executed across CPU has been a big driver … creating more of a constraint on DRAM'. After v4.2 the bottom-up demand on sheet 03 sits well below the demand in use; this lever adds a CPU-server uplift to the RDIMM / server line (sheet 03 row 7) so the two can be reconciled once there is data. Block [F] shows the uplift that would close the gap. Default 0.</t>
  </si>
  <si>
    <t>NAND · wafer capacity growth, 2028 (pp, timing)</t>
  </si>
  <si>
    <t>Micron's Singapore NAND fab begins output in 2H CY2028, so most of its bits are 2029's. Even after rows 14–15, N2's 2028 supply (about 29%) sits above Micron's mid-20s; −3pp here brings it to about 26%. Default 0: the A-grade NAND change follows the review (rows 14–15 only).</t>
  </si>
  <si>
    <t>B1 · coverage of the KB inventory reading (slider on sheet 09 row 10)</t>
  </si>
  <si>
    <t>Not a new control: move the slider on sheet 09 row 10</t>
  </si>
  <si>
    <t>—</t>
  </si>
  <si>
    <t>0.30 – 1.00</t>
  </si>
  <si>
    <t>Micron now puts CY2026 industry DRAM shipments in the mid-20s, about 5% above the model's 18.5% production (block [C]): either production is higher than modelled or the destocking went beyond Samsung and SK hynix, so 0.64 may be low. Block [F] shows coverage 1.0. Left at 0.64 until the Korean suppliers' third-quarter comments on inventory.</t>
  </si>
  <si>
    <t>B3 · top-three HBM share added in 2027 when row 18 = 1 (pp)</t>
  </si>
  <si>
    <t>Typed parameter (blue)</t>
  </si>
  <si>
    <t>typed</t>
  </si>
  <si>
    <t>Base case: 30% top-three = 24.6% global (× (1 − CXMT's 18.1%)). Samsung's 'nearly 30%' as a global share (29.5%) is about 36% top-three, so +6.0pp.</t>
  </si>
  <si>
    <t>[B] INPUTS MOVED BY THE CONSOLE · v4.1 value → value in use (the mint cells on sheets 01, 02 and 03 link here)</t>
  </si>
  <si>
    <t>Each 'in use' cell = the v4.1 value (blue, typed here) + the console shift × the master switch, plus the B-grade switches where they apply. Sheet 01 rows 21–42 (2027 and 2028 wafer growth and HBM share, 2027 node uplift and demand), sheet 02 rows 8–24 (2027–28 layer uplift and demand, 2028 wafer growth) and sheet 03 row 7 now read these cells. To change a scenario input, edit its v4.1 value here or move the lever; 2026 inputs and every other input stay where they were. The two right-hand columns read the result back from the engines.</t>
  </si>
  <si>
    <t>DRAM scenario · year</t>
  </si>
  <si>
    <t xml:space="preserve">Sheet 01
row</t>
  </si>
  <si>
    <t xml:space="preserve">Wafer growth
v4.1</t>
  </si>
  <si>
    <t xml:space="preserve">Wafer growth
in use</t>
  </si>
  <si>
    <t xml:space="preserve">Node uplift
v4.1</t>
  </si>
  <si>
    <t xml:space="preserve">Node uplift
in use</t>
  </si>
  <si>
    <t xml:space="preserve">HBM share
(top 3) v4.1</t>
  </si>
  <si>
    <t xml:space="preserve">HBM share
(top 3) in use</t>
  </si>
  <si>
    <t xml:space="preserve">Demand
v4.1</t>
  </si>
  <si>
    <t xml:space="preserve">Demand
in use</t>
  </si>
  <si>
    <t xml:space="preserve">Supply bit growth
(sheet 06 engine)</t>
  </si>
  <si>
    <t xml:space="preserve">Growth gap
(sheet 06 engine)</t>
  </si>
  <si>
    <t>S1 Extreme tightness · 2027</t>
  </si>
  <si>
    <t>S2 Base case · 2027</t>
  </si>
  <si>
    <t>S3 Relief · 2027</t>
  </si>
  <si>
    <t>S4 Surplus · 2027</t>
  </si>
  <si>
    <t>S5 Collapse · 2027</t>
  </si>
  <si>
    <t>S1 Extreme tightness · 2028</t>
  </si>
  <si>
    <t>S2 Base case · 2028</t>
  </si>
  <si>
    <t>S3 Relief · 2028</t>
  </si>
  <si>
    <t>S4 Surplus · 2028</t>
  </si>
  <si>
    <t>S5 Collapse · 2028</t>
  </si>
  <si>
    <t>NAND scenario · year</t>
  </si>
  <si>
    <t xml:space="preserve">Sheet 02
row</t>
  </si>
  <si>
    <t xml:space="preserve">Layer uplift
v4.1</t>
  </si>
  <si>
    <t xml:space="preserve">Layer uplift
in use</t>
  </si>
  <si>
    <t>QLC uplift</t>
  </si>
  <si>
    <t>(not moved)</t>
  </si>
  <si>
    <t xml:space="preserve">Supply bit growth
(sheet 02)</t>
  </si>
  <si>
    <t xml:space="preserve">Growth gap
(sheet 02)</t>
  </si>
  <si>
    <t>N1 Stays tight · 2027</t>
  </si>
  <si>
    <t>N2 Base case · 2027</t>
  </si>
  <si>
    <t>N3 Turns to surplus · 2027</t>
  </si>
  <si>
    <t>N4 Large surplus · 2027</t>
  </si>
  <si>
    <t>N1 Stays tight · 2028</t>
  </si>
  <si>
    <t>N2 Base case · 2028</t>
  </si>
  <si>
    <t>N3 Turns to surplus · 2028</t>
  </si>
  <si>
    <t>N4 Large surplus · 2028</t>
  </si>
  <si>
    <t>RDIMM / server · 2027 unconstrained bit growth</t>
  </si>
  <si>
    <t>Sheet 03 row 7</t>
  </si>
  <si>
    <t>[C] CHECKS AGAINST MICRON'S 30 SEPTEMBER GUIDANCE (and Samsung's HBM share)</t>
  </si>
  <si>
    <t>Item</t>
  </si>
  <si>
    <t>Model</t>
  </si>
  <si>
    <t>Outside · low</t>
  </si>
  <si>
    <t>Outside · high</t>
  </si>
  <si>
    <t xml:space="preserve">Model − midpoint
(pp)</t>
  </si>
  <si>
    <t>Verdict</t>
  </si>
  <si>
    <t>Source and reading</t>
  </si>
  <si>
    <t>DRAM bit shipments 2026 (base case, delivered = production × (1 + effective release))</t>
  </si>
  <si>
    <t>Micron FQ4: CY2026 industry DRAM bit shipments in the mid-20s (FQ3: low-to-mid 20s). The model produces 18.5%; the rest is inventory (sheet 09 [E]) or production the model misses (switch B1).</t>
  </si>
  <si>
    <t>DRAM bit supply 2027 (base case, production, sheet 06)</t>
  </si>
  <si>
    <t>Micron FQ4: CY2027 industry bit shipments 'approximately in the low-20s', supply constrained. TrendForce (7/28): +24%.</t>
  </si>
  <si>
    <t>DRAM bit shipments 2027 (base case, after the 2026 release base effect)</t>
  </si>
  <si>
    <t>Micron's figure is shipments. The model's 2027 shipments sit below production because the 2026 release lifted 2026 shipments (sheet 06 row 19).</t>
  </si>
  <si>
    <t>DRAM bit supply 2028 (base case, sheet 06)</t>
  </si>
  <si>
    <t>Micron FQ4: CY2028 'approximately in the low-20s', supply constrained; ID2, Hiroshima and Singapore NAND start output only in late 2028.</t>
  </si>
  <si>
    <t>NAND bit supply 2026 (base case, production)</t>
  </si>
  <si>
    <t>Micron FQ4: CY2026 industry NAND bit shipments in the low-20s. The model's 17.3% is production (IDC +17%); the difference is NAND inventory released in 2026, which sheet 02 does not model.</t>
  </si>
  <si>
    <t>NAND bit supply 2027 (N2 base case)</t>
  </si>
  <si>
    <t>Micron FQ4: CY2027–28 'approximately in the mid-20s', supply constrained in both years.</t>
  </si>
  <si>
    <t>NAND bit supply 2028 (N2 base case)</t>
  </si>
  <si>
    <t>Still above Micron's range after v4.2; switch row 21 tests a later Singapore NAND ramp.</t>
  </si>
  <si>
    <t>HBM share of DRAM wafers 2026 (model: global basis)</t>
  </si>
  <si>
    <t>Samsung (Reuters 9/29): about 20% of the industry's DRAM wafer capacity now. Model: 18.2% global, 22% of the top three's wafers.</t>
  </si>
  <si>
    <t>HBM share of DRAM wafers 2027 (model: global basis)</t>
  </si>
  <si>
    <t>Samsung: nearly 30% next year. Model: 24.6% global, 30% of the top three's wafers — consistent only if Samsung means the top three (switch B3).</t>
  </si>
  <si>
    <t>DRAM level: 2027 tighter than 2026? (base case, anchored)</t>
  </si>
  <si>
    <t>Micron: conditions 'much tighter in calendar 2027 and 2028 than they were in 2026'. Column C is the 2026 anchor (sheet 09 [C]).</t>
  </si>
  <si>
    <t>DRAM level: 2028 tighter than 2026? (base case, anchored)</t>
  </si>
  <si>
    <t>As above. In v4.1 2028 was also below the anchor; v4.2 deepens it.</t>
  </si>
  <si>
    <t>NAND growth gap 2027 (N2): demand at or above supply?</t>
  </si>
  <si>
    <t>Micron: NAND supply constrained in 2027 and 2028. TrendForce: sufficiency turns positive in 2H27.</t>
  </si>
  <si>
    <t>NAND growth gap 2028 (N2): demand at or above supply?</t>
  </si>
  <si>
    <t>The base case still loosens NAND in 2028; switch row 21 and the N1 weight are where Micron's view would show.</t>
  </si>
  <si>
    <t>Verdicts: inside = within the outside range; close = within 1.5pp of it; below / above = further out. Micron's words are read as low-20s = 21–23% and mid-20s = 24–26%. Micron guides shipments; the model's supply is production, and the two differ by the inventory flow (sheet 09 [E]). Outside values are typed (blue) and can be edited.</t>
  </si>
  <si>
    <t>[D] THE SIX TESTS THE WRITE-UP SET BEFORE THE RESULTS (Table 27) · OUTCOMES</t>
  </si>
  <si>
    <t>Test</t>
  </si>
  <si>
    <t>Model before (v4.1)</t>
  </si>
  <si>
    <t>What Micron said (9/30)</t>
  </si>
  <si>
    <t>Outcome</t>
  </si>
  <si>
    <t>What v4.2 does</t>
  </si>
  <si>
    <t>2027 industry DRAM bit supply growth</t>
  </si>
  <si>
    <t>Base case +16.7% (production); TrendForce +24%</t>
  </si>
  <si>
    <t>'approximately in the low-20s', supply constrained in 2027 and 2028</t>
  </si>
  <si>
    <t>Triggered (above 20%)</t>
  </si>
  <si>
    <t>Raises base-case 2027 supply to about 22% (rows 10–11). The pre-set response, 'raise the weight on S3', is not applied: Micron also said demand is strengthening, so demand rises too (row 12).</t>
  </si>
  <si>
    <t>2027 bit demand against supply</t>
  </si>
  <si>
    <t>Demand above supply in the base and tight cases (53% of the weight)</t>
  </si>
  <si>
    <t>'calendar year 2027 as well as 2028, we see demand exceeding supply'; more than 75% of 2027 output committed</t>
  </si>
  <si>
    <t>Confirmed (far from balance)</t>
  </si>
  <si>
    <t>S1 and S2 weights unchanged. The 2027 weighted gap stays negative after recalibration (block [E]).</t>
  </si>
  <si>
    <t>Days of inventory and customer stock</t>
  </si>
  <si>
    <t>Supplier stock exhausted; φ = 0.5</t>
  </si>
  <si>
    <t>DIO 129 (+9: end-of-life build-ahead, incentive pay); 'inventory levels and supply remain extremely tight'; DIO to decline; nothing on customer stock</t>
  </si>
  <si>
    <t>Mixed</t>
  </si>
  <si>
    <t>φ stays 0.5 (TrendForce 9/30: PC OEMs rely on finished-goods and channel stock built in 1H). Coverage may be low (switch B1). DIO is cost-based and includes work in process, so it is not comparable with KB's sub-10-day finished-goods reading (sheet 08 note).</t>
  </si>
  <si>
    <t>The HBM trade ratio</t>
  </si>
  <si>
    <t>Rising with each generation (steps +0.5×, +0.8×)</t>
  </si>
  <si>
    <t>Bhatia: 'future, more complex HBM having higher trade ratios … has a dampening effect on the ability for bit growth to be growing'; HBM4E volume production 2H CY2027; no number</t>
  </si>
  <si>
    <t>Direction confirmed</t>
  </si>
  <si>
    <t>Steps unchanged. Logic base die strengthened: HBM4E is on a foundry process for both custom and JEDEC parts (DeBoer).</t>
  </si>
  <si>
    <t>FY27 capex; ID1, ID2 and Taiwan timing</t>
  </si>
  <si>
    <t>46% of 2026–28 additions land in 2028</t>
  </si>
  <si>
    <t>FQ1 about $11.5bn, 1H about $25bn, 2H higher; extra spend mostly construction for cleanroom space in late CY2028; ID1 mid-2027, ID2 and Hiroshima late 2028, Tongluo meaningful mid-2027</t>
  </si>
  <si>
    <t>'Larger' triggered; 'earlier' not</t>
  </si>
  <si>
    <t>Moves part of 2028 capacity into 2029 (row 13): the turn comes larger but later.</t>
  </si>
  <si>
    <t>Strategic customer agreements</t>
  </si>
  <si>
    <t>About 20% of DRAM volume; about 40% of revenue at fixed prices or under ceilings</t>
  </si>
  <si>
    <t>26 SCAs, RPO about $150bn, $32bn of commitments (mostly cash deposits), about 35% of DRAM volume (NAND a little more); 'even at floor prices, we expect margins meaningfully above any prior cycle peak margins'</t>
  </si>
  <si>
    <t>Triggered (coverage rising)</t>
  </si>
  <si>
    <t>Facts updated on sheet 08 and in the write-up (section 5.4 contract collar). No number in the model depends on it.</t>
  </si>
  <si>
    <t>A flaw in the pre-set rules: test 1 said 'supply above 20% → raise base-case supply and the weight on S3'. It looked only at supply. Applied mechanically it would have narrowed the 2027 gap on the same call that said the market is tightening. Future tests are written in pairs: supply and demand together.</t>
  </si>
  <si>
    <t>[E] WHAT v4.2 CHANGES IN THE HEADLINES · v4.1 as published → live at the current settings</t>
  </si>
  <si>
    <t>Metric</t>
  </si>
  <si>
    <t xml:space="preserve">v4.1 as
published</t>
  </si>
  <si>
    <t xml:space="preserve">Live
(v4.2 defaults)</t>
  </si>
  <si>
    <t xml:space="preserve">Change
(pp)</t>
  </si>
  <si>
    <t>Reading</t>
  </si>
  <si>
    <t>DRAM base case 2027 supply, production (06!J19)</t>
  </si>
  <si>
    <t>DRAM base case 2027 shipments (06!K19)</t>
  </si>
  <si>
    <t>Shipments sit below production by the 2026 release base effect (sheet 06 row 15).</t>
  </si>
  <si>
    <t>DRAM base case 2027 demand, after the de-spec ceiling (06!I19)</t>
  </si>
  <si>
    <t>Raised with supply; inside the 29–32% the write-up proposed in section 7.7.</t>
  </si>
  <si>
    <t>DRAM base case 2027 growth gap (06!G19)</t>
  </si>
  <si>
    <t>Still widening in 2027: the gap's direction is unchanged.</t>
  </si>
  <si>
    <t>DRAM 2027 probability-weighted growth gap (06!G23)</t>
  </si>
  <si>
    <t>The 2027 conclusion holds once supply and demand move together.</t>
  </si>
  <si>
    <t>P(2027 growth gap &lt; 0) — still widening (06!G25)</t>
  </si>
  <si>
    <t>Unchanged: S1 and S2 widen, S3–S5 narrow.</t>
  </si>
  <si>
    <t>DRAM base case level 2027, anchored at −8% (09!H38)</t>
  </si>
  <si>
    <t>At the deep end of SemiAnalysis’ low- to mid-teens.</t>
  </si>
  <si>
    <t>DRAM base case level 2028, anchored (09!I38)</t>
  </si>
  <si>
    <t>P(DRAM short, level basis) 2027 (09!H31)</t>
  </si>
  <si>
    <t>Unchanged: every scenario except S5 is short in 2027.</t>
  </si>
  <si>
    <t>P(DRAM short, level basis) 2028 (09!I31)</t>
  </si>
  <si>
    <t>S3–S5 still fill in 2028 on their own wafer growth (switch B4 tests a cap).</t>
  </si>
  <si>
    <t>DRAM base case 2028 supply (06!I31)</t>
  </si>
  <si>
    <t>The V is gone: 2028 supply now sits close to 2027’s, as in Micron’s flat path.</t>
  </si>
  <si>
    <t>DRAM base case 2028 growth gap (06!E31)</t>
  </si>
  <si>
    <t>DRAM 2028 probability-weighted growth gap (06!E35)</t>
  </si>
  <si>
    <t>Still positive on the weights: S3–S5 narrow fast in 2028. The base case and the weighted mean now point in different directions.</t>
  </si>
  <si>
    <t>NAND base case 2027 growth gap (02!H13)</t>
  </si>
  <si>
    <t>NAND 2027 probability-weighted growth gap (02!E34)</t>
  </si>
  <si>
    <t>Still positive on the weights, from N3 and N4 (TrendForce’s path).</t>
  </si>
  <si>
    <t>NAND 2028 probability-weighted growth gap (02!F34)</t>
  </si>
  <si>
    <t>NAND still loosens in 2028 on the weights; N2’s 2028 supply sits above Micron’s range (block [C]).</t>
  </si>
  <si>
    <t>NAND weighted level 2027 (02!F43)</t>
  </si>
  <si>
    <t>Stock basis, NAND start point −2.5% (a free parameter, audit A1).</t>
  </si>
  <si>
    <t>NAND weighted level 2028 (02!G43)</t>
  </si>
  <si>
    <t>Close to balance in 2028 rather than a clear surplus.</t>
  </si>
  <si>
    <t>DRAM–NAND flow divergence 2027, pp (02!D50)</t>
  </si>
  <si>
    <t>Much narrower: “DRAM and NAND should be priced separately” now rests on the scenario weights, not on the base case.</t>
  </si>
  <si>
    <t>[F] THE B-GRADE SWITCHES: WHAT EACH ONE SHOWS (runs on copies of this workbook at the v4.2 defaults, 2026-10-01)</t>
  </si>
  <si>
    <t>Switch (setting tested)</t>
  </si>
  <si>
    <t xml:space="preserve">Base-case 2027
growth gap</t>
  </si>
  <si>
    <t xml:space="preserve">2027 weighted
growth gap</t>
  </si>
  <si>
    <t xml:space="preserve">P(2027 gap
&lt; 0)</t>
  </si>
  <si>
    <t xml:space="preserve">Base-case level
2027</t>
  </si>
  <si>
    <t xml:space="preserve">Base-case level
2028</t>
  </si>
  <si>
    <t xml:space="preserve">P(short)
2027</t>
  </si>
  <si>
    <t xml:space="preserve">P(short)
2028</t>
  </si>
  <si>
    <t>v4.2 defaults (all switches off)</t>
  </si>
  <si>
    <t>The reference row.</t>
  </si>
  <si>
    <t>B1 · coverage 1.0 (sheet 09 row 10 = 100)</t>
  </si>
  <si>
    <t>A wider release deepens 2027 by about a point; the direction is unchanged.</t>
  </si>
  <si>
    <t>B2 · de-spec as rationing (row 17 = 1)</t>
  </si>
  <si>
    <t>S3 turns to widening, so the probability that the 2027 gap is still widening rises.</t>
  </si>
  <si>
    <t>B1 + B2 together</t>
  </si>
  <si>
    <t>The tight end of the B-grade range.</t>
  </si>
  <si>
    <t>B3 · Samsung's 30% read as global (row 18 = 1)</t>
  </si>
  <si>
    <t>Base-case 2027 supply falls by about 4–5 points; it would also move Micron’s low-20s further out of reach. Base-case 2027 supply 17.2% (production), 22.0% with the defaults; base-case 2028 gap −3.7%.</t>
  </si>
  <si>
    <t>B4 · cap S3–S5 2028 wafer growth (row 19 = 1)</t>
  </si>
  <si>
    <t>Changes only 2028. Watch S3: it sits close to zero. S3's 2028 anchored level is −0.0%.</t>
  </si>
  <si>
    <t>NAND 2028 wafer timing −3pp (row 21 = 20)</t>
  </si>
  <si>
    <t>NAND only: see the reading for N2 2028. N2 2028: supply 25.6%, growth gap +1.6%, level −7.0% (defaults 29.2%, +5.2%, −4.3%); NAND weighted 2028 flow +4.1%, level −1.6%.</t>
  </si>
  <si>
    <t>B5 · server uplift that would close the sheet 03 gap (pp, live)</t>
  </si>
  <si>
    <t>These are runs on copies with one switch moved, not live cells: the engine cannot hold two settings at once. Move the switch on this sheet to see the same numbers live. Percentages are shares; the probabilities are scenario weights (15/38/25/17/5).</t>
  </si>
  <si>
    <t>[G] OUTSIDE ESTIMATES OF THE DRAM LEVEL · reference rows (the anchors on sheet 09 [C] are unchanged)</t>
  </si>
  <si>
    <t>Source</t>
  </si>
  <si>
    <t>2026</t>
  </si>
  <si>
    <t>2027</t>
  </si>
  <si>
    <t>2028</t>
  </si>
  <si>
    <t>Basis and note</t>
  </si>
  <si>
    <t>SemiAnalysis (public section, 6/23)</t>
  </si>
  <si>
    <t>−7% to −9%</t>
  </si>
  <si>
    <t>−11% to −15%</t>
  </si>
  <si>
    <t>may persist</t>
  </si>
  <si>
    <t>'High-single-digit' undersupply in 2026, 'low- to mid-teens' in 2027. Source of the −8% external anchor.</t>
  </si>
  <si>
    <t>TrendForce (7/30, cleared basis)</t>
  </si>
  <si>
    <t>−1% to −2%</t>
  </si>
  <si>
    <t>widens</t>
  </si>
  <si>
    <t>Sufficiency after demand destruction; substantial output from new capacity 'not expected to materialize until 2028'. Source of the −1.5% lower anchor.</t>
  </si>
  <si>
    <t>Goldman Sachs (6/1, secondary)</t>
  </si>
  <si>
    <t>−5.9%</t>
  </si>
  <si>
    <t>shortage into 2028</t>
  </si>
  <si>
    <t>Revised from −2.5%. Via TechFlow; the original note was not seen.</t>
  </si>
  <si>
    <t>Morgan Stanley (8/29, secondary)</t>
  </si>
  <si>
    <t>about −17%</t>
  </si>
  <si>
    <t>about −15%</t>
  </si>
  <si>
    <t>oversupply risk after 2028</t>
  </si>
  <si>
    <t>If demand slows while new capacity arrives; CXMT 300k wpm in 2026 → 500k by 2028. Via BigGo; the original note was not seen.</t>
  </si>
  <si>
    <t>Micron (9/30, qualitative)</t>
  </si>
  <si>
    <t>much tighter</t>
  </si>
  <si>
    <t>'much tighter in calendar 2027 and 2028 than they were in 2026'.</t>
  </si>
  <si>
    <t>Model base case, anchored (live, sheet 09 [C])</t>
  </si>
  <si>
    <t>Both 2027 and 2028 sit below the 2026 anchor, as Micron says.</t>
  </si>
  <si>
    <t>The spread for 2026 (−1.5% to −17%) is mostly a matter of basis — cleared or unconstrained, flow or level. That is why v4.1 borrows the level from outside, computes only the year-on-year steps, and shows the range of anchors; the anchors stay where they are.</t>
  </si>
  <si>
    <t>[H] SOURCES ADDED IN v4.2</t>
  </si>
  <si>
    <t>Micron FQ4 FY26 prepared remarks and press release (2026-09-30): industry bit-shipment guidance for CY2026–28, fab timing (ID1, ID2, Hiroshima, Tongluo, Singapore HBM packaging and NAND, New York), FY27 capex, DIO, SCAs (26, RPO about $150bn, $32bn commitments, take-or-pay, pricing bands), HBM4E timing, server units.</t>
  </si>
  <si>
    <t>Micron FQ4 FY26 earnings call (transcripts: Benzinga; Investing.com) and post-earnings analyst session (Investing.com): Mehrotra on node productivity, trade ratios and latent demand; Bhatia on SCA coverage (about 35% of DRAM volume), trade ratios and agentic CPU demand; DeBoer on 1-gamma and the HBM4E foundry base die.</t>
  </si>
  <si>
    <t>TrendForce: 2026-09-29 (2027 HBM blended ASP +121%; 8-high a priority for evaluation, 10–20% premium per Gb), 2026-09-30 (4Q26 conventional DRAM contract prices +10–15%, NAND +15–20%; PC OEM inventories), 2026-07-30 (DRAM sufficiency −1% to −2% in 2026; NAND turning positive in 2027), 2026-09-29 news (Samsung on HBM's share of industry DRAM wafer capacity; Seoul Economic Daily on Samsung's HBM wafer input).</t>
  </si>
  <si>
    <t>Reuters via WBOW (2026-09-28 US time): Samsung EVP Kim Taewoo on HBM at about 20% of industry DRAM wafer capacity, nearly 30% in 2027. Counterpoint via JoongAng Daily (2026-09-03): 2Q26 HBM revenue shares SK hynix 50%, Samsung 33%, Micron 18%.</t>
  </si>
  <si>
    <t>SEMI (2026-06-29): 300mm memory capacity 4.1m wpm in 2026, 4.2m in 2027. Goldman Sachs via TechFlow (2026-06-01) and Morgan Stanley via BigGo (2026-08-29), both secondary.</t>
  </si>
  <si>
    <t>Research and study only; not investment advice. Every outside figure on this sheet is typed (blue) and can be edited; the quotes are from the sources above.</t>
  </si>
  <si>
    <t>v4.2 Recalibrated Edition  |  DRAM / NAND / HBM  |  flow basis (growth gap) + level basis (horizontal adequacy, externally anchored)  |  data cut-off 2026-09-30 (Micron FQ4 FY26)  |  amber = new in v4.0, lavender = new or corrected in v4.1, mint = recalibrated in v4.2 (sheet 10 lists every change)</t>
  </si>
  <si>
    <t>▲ v4.2 (2026-10-01): recalibrated to Micron's FQ4 FY26 guidance on sheet 11 — 2027 DRAM supply and demand raised together, 2028 capacity moved later on Micron's fab calendar, NAND put on Micron's path. Set sheet 11's master switch to 0 and v4.1 returns cell for cell.</t>
  </si>
  <si>
    <t>This workbook is the computable version of The Arithmetic of the Gap. Every number is a live formula. Sheets 01 and 02 each carry a PARAMETER CONSOLE at the bottom: drag a slider and the whole sheet and every chart recalculates. Sheet 06 carries another console holding the three v4.0 corrections. This is a framework whose parameters you can replace and recompute — not a forecast. ▲ v4.1: sheet 09 carries one more console (inventory coverage and destination, the HBM penalty path, the stock convention, the external anchor) together with the level-basis probabilities and the external calibration, so console blocks sit on sheets 01, 02, 06 and 09; sheet 10 is the change log. ▲ v4.2: sheet 11 holds the recalibration console (a master switch, six levers and five B-grade switches that default to off), the map of the 51 inputs it acts on, the checks against Micron's guidance and the v4.1 → v4.2 headline comparison.</t>
  </si>
  <si>
    <t>05   v4.2 headline: the 2027 DRAM picture on a flow basis and on a level basis (inputs recalibrated to Micron's FQ4, sheet 11)</t>
  </si>
  <si>
    <t xml:space="preserve">v3.0 arithmetic
(production)</t>
  </si>
  <si>
    <t xml:space="preserve">Inventory
correction only</t>
  </si>
  <si>
    <t xml:space="preserve">All corrections
(v4.2 inputs)</t>
  </si>
  <si>
    <t>v4.2 sources (2026-10-01): Micron FQ4 FY26 prepared remarks and press release (9/30: CY2026 industry DRAM bit shipments mid-20s, CY2027–28 low-20s, NAND low-20s then mid-20s, supply constrained; ID1 mid-2027, ID2 and Hiroshima late 2028, Singapore NAND 2H28, New York 2030; FY27 capex FQ1 ~$11.5bn, 1H ~$25bn; DIO 129; 26 SCAs, RPO ~$150bn, ~35% of DRAM volume), earnings call (Benzinga, Investing.com) and analyst session (Investing.com) | TrendForce 9/29 (HBM ASP +121%, 8-high), 9/30 (4Q26 contract prices), 7/30 | Samsung via Reuters 9/29 (HBM ~20% → ~30% of industry DRAM wafers) | Counterpoint via JoongAng Daily 9/3 | SEMI 6/29 | Goldman Sachs (TechFlow 6/1) and Morgan Stanley (BigGo 8/29), secondary.</t>
  </si>
  <si>
    <t>The sensitivity table shows demand growth has 1:1 elasticity (among the highest of the four variables); DRAM's 28% for 2026 and 26% for 2027 determine every conclusion, yet both reports say only that the figure is 'inferred from public information'. ▲ v4.2: the 2027 demand input is now 32% in the base case (sheet 11), raised with supply.</t>
  </si>
  <si>
    <t>Five scenarios × three years  |  flow basis (growth gap) + stock basis (horizontal adequacy)  |  ▼ every parameter is driven by the [K] PARAMETER CONSOLE at the bottom of this sheet  |  amber rows are v4.0 additions  |  lavender = v4.1  |  mint = v4.2 (the 2027–28 inputs link to sheet 11)</t>
  </si>
  <si>
    <t>[B] Main model: five scenarios × three years (blue on the left = raw inputs; pink on the right = HBM basis-corrected comparison) ▲ v4.2: the mint 2027–28 inputs (wafer growth, node uplift, HBM share, demand) link to sheet 11: v4.1 value + recalibration.</t>
  </si>
  <si>
    <t>IDC +16% (production) / Micron mid-20s (shipments, FQ4) — the model's production sits between; the rest is inventory (sheet 11 [C])</t>
  </si>
  <si>
    <t>Micron FQ4: industry shipments 'approximately in the low-20s'; TrendForce +24%; new capacity ramps from 2H27</t>
  </si>
  <si>
    <t>46% of the 2026–28 additions land in 2028 — ▲ v4.2: on Micron's calendar most of them produce in 2029</t>
  </si>
  <si>
    <t>★ Conclusion: at the current settings (v4.2) the correction revises DRAM supply up by about 1.1pp (2026) and 1.8pp (2027); on the stock basis it moves the 2028 probability-weighted level from −10.3% to −8.4% (at the v1.0 weights it turned 2028 from break-even to a small surplus). A formal version should default the console switch to 1 and state the basis in the text.</t>
  </si>
  <si>
    <t>Aligned to TrendForce: 2026 sufficiency −1~−2%, the 2027 gap widens further, new capacity lands in 2028. ▲ v4.2: 2027 supply and demand recalibrated to Micron's FQ4 guidance and 2028 wafer growth moved later (sheet 11).</t>
  </si>
  <si>
    <t>Four scenarios × three years  |  the key difference from DRAM: layer stacking and QLC add bits without new wafer starts, though each layer step still needs tools and cleanroom space  |  ▼ every parameter is driven by the [G] PARAMETER CONSOLE at the bottom  |  amber rows are v4.0 additions, lavender v4.1  |  mint = v4.2 (the 2027–28 inputs link to sheet 11)</t>
  </si>
  <si>
    <t>[A] Main model: four scenarios × three years ▲ v4.2: the mint 2027–28 layer and demand inputs and the 2028 wafer inputs link to sheet 11.</t>
  </si>
  <si>
    <t xml:space="preserve">   N2 Base case (probability set in console [G]): 2026 aligned to TrendForce (gap −4~−5%). SK hynix 321-layer at ~50% of its Korean capacity, Samsung 400+ layer in production, Kioxia BiCS9. ▲ v4.2: recalibrated toward Micron's FQ4 guidance (CY2027–28 industry NAND shipments 'approximately in the mid-20s', supply constrained in both years): layers −2pp and demand +4pp in 2027–28, so N2 no longer turns in 2027. TrendForce's turn in 2H27 now sits in N3 and N4. ⚠ v4.0: KB Securities' view — see block [F].</t>
  </si>
  <si>
    <t>2026 aligned to TrendForce (gap −4~−5%). ▲ v4.2: 2027–28 recalibrated toward Micron's guidance (mid-20s shipments, supply constrained); TrendForce's 2H27 turn is carried by N3 and N4.</t>
  </si>
  <si>
    <t>TrendForce 2026-08-25: 2027 server DRAM + HBM combined bit supply +27%; 2026-07-09: RDIMM bit supply only +15~20%, 'materially behind server CPU shipment growth'. Demand side taken at 30% because supply is the binding constraint. ▲ v4.2: the 2027 growth links to sheet 11 row 48 (v4.1 30% + switch B5, the agentic CPU-server uplift, default 0).</t>
  </si>
  <si>
    <t>The part of the NVIDIA 8-high request that is genuinely technical (thermal limits, power, packaging yield) rather than supply-driven, expressed as a cap on 2027 unconstrained demand. v4.0 puts it at −2 to −3pp. Applied to 2027 only. ▲ v4.1: derived as −2.4pp on sheet 09 [F]. ▲ v4.2: switch B2 on sheet 11 row 17 sets this to zero (the de-spec read as rationing, kept out of unconstrained demand); default off.</t>
  </si>
  <si>
    <t>What has been added or promoted since v3.0 (▲ v4.1: customer inventory and the spot–contract spread) and what has been retained ▲ v4.2: items 18–22 and the readings from Micron’s FQ4 FY26 results (2026-09-30).</t>
  </si>
  <si>
    <t>Below 10 days (KB, 2026 Q3) · Micron FQ4 DIO 129 days (not comparable, item 21)</t>
  </si>
  <si>
    <t>30% at end-2027 (TrendForce, top three); Samsung: about 20% of industry DRAM wafers now, nearly 30% in 2027 (Reuters 9/29; basis unconfirmed, switch B3)</t>
  </si>
  <si>
    <t>Blended ASP +121% for 2027 (TrendForce 9/29); Micron: agreements for 'the vast majority' of its CY2027 HBM bits</t>
  </si>
  <si>
    <t>Mid-CY2027 (confirmed 9/30); ID2 and Hiroshima late CY2028; Tongluo meaningful mid-2027</t>
  </si>
  <si>
    <t>Micron (FQ4 FY26): 26 SCAs, RPO about $150bn, $32bn of customer commitments (mostly cash deposits), about 35% of DRAM volume and a little more of NAND; three-quarters of the SCA revenue has a pricing framework, mostly floor-and-ceiling bands; over 35% of revenue through 2030 (FQ3: 16 SCAs, ~20% of DRAM). Samsung reportedly targets 60–70% of capacity under 5-year LTAs with floors. Sandisk NBM ~50% of FY27 bits</t>
  </si>
  <si>
    <t>1Q26 +93~98% → 2Q26 +58~63% → 3Q26 +13~18% → 4Q26 +10~15% (TrendForce 9/30)</t>
  </si>
  <si>
    <t>18</t>
  </si>
  <si>
    <t>HBM trade ratio for HBM4 / HBM4E (a number)</t>
  </si>
  <si>
    <t>Direction confirmed, no number (Micron 9/30: 'future, more complex HBM having higher trade ratios')</t>
  </si>
  <si>
    <t>supply</t>
  </si>
  <si>
    <t>▲ v4.2 new. A stated ratio for HBM4 or HBM4E replaces the +0.5× / +0.8× steps on sheet 09 rows 11–12.</t>
  </si>
  <si>
    <t>19</t>
  </si>
  <si>
    <t>External level anchors</t>
  </si>
  <si>
    <t>SemiAnalysis −7~−9% (2026), −11~−15% (2027); TrendForce −1~−2% (2026, cleared); Goldman −5.9% (2027) and Morgan Stanley ≈ −17% / −15% (secondary)</t>
  </si>
  <si>
    <t>level</t>
  </si>
  <si>
    <t>▲ v4.2 new. Only the year-on-year steps are the model’s own; a move in the anchor moves the level one for one (sheet 09 [C], sheet 11 [G]).</t>
  </si>
  <si>
    <t>20</t>
  </si>
  <si>
    <t>Contract-price growth, quarter on quarter (the second derivative)</t>
  </si>
  <si>
    <t>Micron FQ4 realised: DRAM +high-teens, NAND ~+30%; TrendForce 4Q26: conventional DRAM +10~15%, NAND +15~20%</t>
  </si>
  <si>
    <t>price</t>
  </si>
  <si>
    <t>▲ v4.2 new. Prices still rising, the rate slowing. A quarter of falling contract prices is a trigger in the write-up; a price layer is a v5.0 item.</t>
  </si>
  <si>
    <t>21</t>
  </si>
  <si>
    <t>Micron DIO versus KB’s days of finished goods</t>
  </si>
  <si>
    <t>Micron DIO 129 days (FQ4, +9: end-of-life build-ahead, incentive pay); KB: Samsung and SK hynix below 10 days (3Q26)</t>
  </si>
  <si>
    <t>▲ v4.2 new. Not comparable: DIO is inventory over cost of goods sold and includes work in process (about three months for DRAM); at an 87% gross margin cost of goods is small, so the same inventory shows as many days. Watch the direction: Micron expects DIO to decline.</t>
  </si>
  <si>
    <t>22</t>
  </si>
  <si>
    <t>Micron’s industry bit-shipment guidance</t>
  </si>
  <si>
    <t>DRAM: CY26 mid-20s, CY27–28 low-20s; NAND: CY26 low-20s, CY27–28 mid-20s; supply constrained in both years</t>
  </si>
  <si>
    <t>▲ v4.2 new. Sheet 11 [C] checks the model against it; repeat at every Micron print.</t>
  </si>
  <si>
    <t>New sheet, 2026-09-28  |  the v4.1 levers sit in console [A], except the 8-high relief (06 row 10) and the scenario weights (01 and 02 consoles), and sheets 01, 02 and 06 read from it  |  set φ = 1, coverage = 1, both trade-ratio steps = 0, the stock convention = 0 and the base-die switch (09 row 13) = 1, then put sheet 06 row 10 back to 20 and the weights back to 16/40/27/17/0 and 25/46/29/0, and every v4.0 number reappears  |  sheet 10 lists each change  |  ▲ v4.2 (2026-10-01): the inputs these levers act on were recalibrated on sheet 11; set its master switch to 0 first to reproduce v4.1</t>
  </si>
  <si>
    <t>DRAM supply bit growth 2027 (base case, live)</t>
  </si>
  <si>
    <t>DRAM supply bit growth 2027 (S3 relief, live)</t>
  </si>
  <si>
    <t>Between IDC's +16% production figure and Micron's shipment figure (mid-20s in FQ4, low-to-mid 20s in FQ3); the gap between those two is roughly the inventory release (block [E]).</t>
  </si>
  <si>
    <t>Micron FQ4 FY26 prepared remarks (2026-09-30): 'In DRAM, for calendar 2026, we expect industry bit shipments to grow in the mid-20s percentage range.' 25% taken; editable. (FQ3, 6/24: 'low- to mid-20s', 22.5% in v4.1.)</t>
  </si>
  <si>
    <t>Why weeks are not converted one-for-one. Weeks of inventory = inventory ÷ forward weekly demand, and that denominator has been rising fast. Apply the v4.0 method to 2025 (13–17 weeks at end-2024 down to 3.3 weeks at end-3Q25 = 19–26% of annual supply) and 2026 shipment growth would have to be −2% to +5%, against Micron's mid-20s (FQ4; low-to-mid 20s in FQ3). So the release is carried as a range and inventory weeks are kept as a tracking signal (sheet 08 item 1), not as the source of the level.</t>
  </si>
  <si>
    <t xml:space="preserve">2027 growth gap
(flow, all corrections)</t>
  </si>
  <si>
    <t xml:space="preserve">2027 supply
(shipments)</t>
  </si>
  <si>
    <t xml:space="preserve">2027 demand
(after de-spec)</t>
  </si>
  <si>
    <t>2028 supply</t>
  </si>
  <si>
    <t>▲ v4.2: the checks against Micron's FQ4 guidance (industry bit shipments 2026–28, DRAM and NAND) and Samsung's HBM-share statement are on sheet 11 [C]; outside level estimates incl. Goldman Sachs and Morgan Stanley (secondary) on sheet 11 [G].</t>
  </si>
  <si>
    <t>Since v1.0 the demand inputs of the looser scenarios were raised by 2–10pp and both tails were set to zero weight. Each change can be argued, but together they make the weighted result tighter, and table 18 of the write-up attributed the difference to weights, the HBM basis, the 2.8× penalty and the demand shift only. A collapse case at zero weight is hard to defend while hyperscaler free cash flow is turning negative (Alphabet 2Q26 −$5.9bn, Oracle FQ1 FY27 −$5.4bn); the output-cut truncation on sheet 05 already keeps the tail from dominating. ▲ v4.2: the 2027–28 inputs moved again on 2026-10-01, this time to Micron’s guidance and in both directions (supply and demand up in 2027, 2028 wafer growth down); sheet 11 [B] shows each one.</t>
  </si>
  <si>
    <t>[H] v4.0 as sent vs the live workbook (v4.1 corrections; v4.2 inputs since 2026-10-01): the headline numbers side by side</t>
  </si>
  <si>
    <t xml:space="preserve">Live
(v4.2 inputs)</t>
  </si>
  <si>
    <t>▲ v4.2: since 2026-10-01 the live column also carries the Micron recalibration (sheet 11); the 'What moved it' notes describe the v4.1 corrections only. Sheet 11 [E] lists v4.1 as published next to the live values.</t>
  </si>
  <si>
    <t>10 · Change log: v4.0 (sent 2026-09-19) → v4.1 (2026-09-28) → v4.2 (2026-10-01)</t>
  </si>
  <si>
    <t>Each row: where, what changed, why. References P0-x / P1-x point to the 2026-09-28 correction plan. Corrections change a number or a formula; supplements add a block; text fixes bring a note into line with the cell it describes. To reproduce v4.0 exactly: sheet 09 φ = 1, coverage = 1, both trade-ratio steps = 0, stock convention = 0, base-die switch (09 row 13) = 1; sheet 06 row 10 = 20; weights 16/40/27/17/0 and 25/46/29/0. ▲ v4.2 entries (#51 onward) follow the review of Micron’s FQ4 FY26 results; plan refs A1–C4 point to that review.</t>
  </si>
  <si>
    <t>v4.1 → v4.2 (2026-10-01) · recalibration to Micron’s FQ4 FY26 results</t>
  </si>
  <si>
    <t>A1</t>
  </si>
  <si>
    <t>11 rows 10–11 · 01!C21:D21, C26:D26, C31:D31, C36:D36, C41:D41 (links)</t>
  </si>
  <si>
    <t>2027 DRAM wafer growth +2.0pp and node uplift +3.0pp in all five scenarios: base-case 2027 supply 16.7% → 22.0% (production), 15.1% → 20.4% (shipments).</t>
  </si>
  <si>
    <t>Micron FQ4 FY26: CY2027 industry DRAM bit shipments 'approximately in the low-20s', supply constrained; TrendForce +24%. Test 1 of the write-up's Table 27 triggered.</t>
  </si>
  <si>
    <t>Recalibration (lever)</t>
  </si>
  <si>
    <t>A2</t>
  </si>
  <si>
    <t>11 row 12 · 01!K21, K26, K31, K36, K41 (links)</t>
  </si>
  <si>
    <t>2027 DRAM demand +6.0pp in all five scenarios: base case 24.5% → 30.5% after the de-spec ceiling. 2027 weighted growth gap −3.1% → −3.7%; P(widening) 53% and P(short) 95% unchanged.</t>
  </si>
  <si>
    <t>Micron: 'much tighter in calendar 2027 and 2028 than they were in 2026'; demand exceeding supply in both years. Raising supply alone would have turned the 2027 weighted gap to about +2.3%.</t>
  </si>
  <si>
    <t>A3</t>
  </si>
  <si>
    <t>11 row 13 · 01!C22, C27, C32, C37, C42 (links)</t>
  </si>
  <si>
    <t>2028 DRAM wafer growth −4.0pp in all five scenarios (base case 16% → 12%): base-case 2028 growth gap +1.0% → −3.4%, anchored level −14.3% → −17.4%; weighted 2028 gap +10.6% → +6.2%.</t>
  </si>
  <si>
    <t>Micron's fab calendar: ID2 and Hiroshima output in late CY2028, Singapore NAND 2H CY2028, extra FY27 capex for cleanroom space in late 2028; Table 6 read with a one-year lag gives about +13% for 2028.</t>
  </si>
  <si>
    <t>A4</t>
  </si>
  <si>
    <t>11 rows 14–15 · 02!D8:D9, F8:F9, D13:D14, F13:F14, D18:D19, F18:F19, D23:D24, F23:F24 (links)</t>
  </si>
  <si>
    <t>NAND 2027–28 layer uplift −2.0pp and demand +4.0pp in all four scenarios: N2 2027 gap +5.6% → −0.5%; weighted 2027 +7.8% → +1.6%; DRAM–NAND flow divergence 2027 11.0 → 5.4pp.</t>
  </si>
  <si>
    <t>Micron: CY2027–28 industry NAND bit shipments 'approximately in the mid-20s', supply constrained in both years. TrendForce still expects a turn in 2H27; N3 and N4 carry it.</t>
  </si>
  <si>
    <t>A5</t>
  </si>
  <si>
    <t>00!A47:D48, A53 · 01!A28, J152 · 02!A15, J84 · 04!F36 · 05!G54 · 06!E46 · 09!A47, A52:A53, I52, I56, A139</t>
  </si>
  <si>
    <t>Conclusions rewritten: the base-case growth gap no longer turns positive in 2028 (on Micron's calendar the turn moves to about 2029, beyond the model's horizon); NAND no longer turns first in the base case.</t>
  </si>
  <si>
    <t>Follows from A3 and A4.</t>
  </si>
  <si>
    <t>Text</t>
  </si>
  <si>
    <t>B1–B5</t>
  </si>
  <si>
    <t>11 rows 17–23 · 06!B11 · 03!C7 · 01!E22, E27, E32, E37, E42 · 02!C9, C14, C19, C24 (links)</t>
  </si>
  <si>
    <t>Switches, default off: B2 de-spec as rationing (06 row 11), B3 Samsung's 'nearly 30%' as a global share (2027–28 top-three share +6pp), B4 cap on S3–S5 2028 wafer growth, B5 agentic CPU-server uplift (sheet 03), NAND 2028 wafer timing; B1 points to the coverage slider on 09 row 10.</t>
  </si>
  <si>
    <t>Judgements whose evidence is not in yet (Samsung and SK hynix third-quarter results, the 10-K, the 2027 Rubin configurations). The result of each is in 11 [F].</t>
  </si>
  <si>
    <t>Supplement (switches)</t>
  </si>
  <si>
    <t>Sheet 11 [A]–[B] · links on 01, 02, 03</t>
  </si>
  <si>
    <t>New sheet 11: master switch and six levers with scroll bars; 51 inputs on sheets 01–03 now link to 'in use' cells (the v4.1 value typed on sheet 11 + shift × switch). Master switch 0 reproduces v4.1 on sheets 00–10 cell for cell, except the two fact cells 09!B71 and B73 (Micron's 2026 shipment guidance).</t>
  </si>
  <si>
    <t>Every recalibration reversible in one move; no v4.1 value is lost.</t>
  </si>
  <si>
    <t>Supplement</t>
  </si>
  <si>
    <t>C1</t>
  </si>
  <si>
    <t>09!B71, C71, A74, I51 · 08!C6, C11, C12, C17, C20, C21 · 00!A105</t>
  </si>
  <si>
    <t>Facts from Micron FQ4 FY26: CY2026 DRAM shipments mid-20s (09!B71 22.5% → 25%); 26 SCAs, about 35% of DRAM volume, RPO about $150bn; HBM4E 2H CY2027 on a foundry base die for custom and JEDEC parts; DIO 129; capex FQ1 about $11.5bn, 1H about $25bn. TrendForce 4Q26 prices; Samsung's HBM share statement.</t>
  </si>
  <si>
    <t>Micron prepared remarks, call and analyst session (9/30); TrendForce 9/29, 9/30; Reuters 9/29.</t>
  </si>
  <si>
    <t>Text / value</t>
  </si>
  <si>
    <t>C2</t>
  </si>
  <si>
    <t>08 rows 26–30 (the closing statement moves to rows 32–36) · 11 [D]</t>
  </si>
  <si>
    <t>Tracking list: HBM trade ratio, external level anchors, contract-price growth (the second derivative), Micron DIO versus KB's days, Micron's bit-shipment guidance. Table 27 of the write-up turned into an outcomes table.</t>
  </si>
  <si>
    <t>The pre-registered tests and the signals they showed were missing.</t>
  </si>
  <si>
    <t>C3</t>
  </si>
  <si>
    <t>11 [G] · 09!A62</t>
  </si>
  <si>
    <t>Goldman Sachs (−5.9% for 2027, via TechFlow) and Morgan Stanley (about −17% / −15%, via BigGo) added as reference rows; the anchors are unchanged.</t>
  </si>
  <si>
    <t>Secondary sources, shown for the range only.</t>
  </si>
  <si>
    <t>C4</t>
  </si>
  <si>
    <t>08 row 29 · 11 [D]</t>
  </si>
  <si>
    <t>DIO noted as cost-based and including work in process, not comparable with KB's sub-10-day finished-goods reading.</t>
  </si>
  <si>
    <t>Keeps Micron's 129 days from being read as a stock build.</t>
  </si>
  <si>
    <t>01!J78:J81, A95 · 03!H17, C28 · 05!G6, G7 · 06!J13 · 08!E23</t>
  </si>
  <si>
    <t>Notes that quoted numbers now compute them (sensitivity moves, the sheet 03 reconciliation gap, stock depth); 01!A95 restated at the v4.2 defaults.</t>
  </si>
  <si>
    <t>They would have gone stale with the recalibration.</t>
  </si>
  <si>
    <t>00!A2, row 3, A5, E91 · 01!A2, A17, F71:F73 · 02!A2, A4 · 03!G7 · 06!J11 · 09!A2, C24, C36:E36, A121, A123, C124, row 140 · 10!A1:A2 · charts 13 and 14 · file properties</t>
  </si>
  <si>
    <t>Edition line (v4.2, cut-off 2026-09-30), mint legend, labels and pointers.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</si>
</sst>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0&quot; wk&quot;"/>
    <numFmt numFmtId="177" formatCode="0.0%;[Red]\-0.0%;0.0%"/>
    <numFmt numFmtId="178" formatCode="\+0.0&quot;pp&quot;;[Red]\-0.0&quot;pp&quot;;0.0&quot;pp&quot;"/>
    <numFmt numFmtId="179" formatCode="0.0&quot;pp&quot;"/>
    <numFmt numFmtId="180" formatCode="0.0\×"/>
    <numFmt numFmtId="181" formatCode="0.0"/>
    <numFmt numFmtId="182" formatCode="0.0000"/>
    <numFmt numFmtId="183" formatCode="\+0.00&quot;pp&quot;;[Red]\-0.00&quot;pp&quot;;0.00&quot;pp&quot;"/>
    <numFmt numFmtId="184" formatCode="\+0.0%;[Red]\-0.0%;0.0%"/>
    <numFmt numFmtId="185" formatCode="0.00\×"/>
    <numFmt numFmtId="186" formatCode="0.00%;[Red]\-0.00%;0.00%"/>
    <numFmt numFmtId="187" formatCode="0.000"/>
    <numFmt numFmtId="188" formatCode="\+0.00\×;\-0.00\×;0.00\×"/>
    <numFmt numFmtId="189" formatCode="0.00%"/>
    <numFmt numFmtId="190" formatCode="&quot;φ = &quot;0.00"/>
    <numFmt numFmtId="191" formatCode="0.0%&quot; of 2026 shipments&quot;"/>
    <numFmt numFmtId="192" formatCode="\+0.0;\-0.0;0.0"/>
    <numFmt numFmtId="193" formatCode="\+0.0;[Red]\-0.0;0.0"/>
  </numFmts>
  <fonts count="65" x14ac:knownFonts="1">
    <font>
      <sz val="11"/>
      <color theme="1"/>
      <name val="Calibri"/>
      <family val="2"/>
      <charset val="1"/>
    </font>
    <font>
      <b/>
      <sz val="16"/>
      <color rgb="FFFFFFFF"/>
      <name val="Arial"/>
      <family val="2"/>
    </font>
    <font>
      <i/>
      <sz val="9"/>
      <color rgb="FF7A7A7A"/>
      <name val="Arial"/>
      <family val="2"/>
    </font>
    <font>
      <b/>
      <sz val="11"/>
      <color rgb="FFFFFFFF"/>
      <name val="Arial"/>
      <family val="2"/>
    </font>
    <font>
      <sz val="9"/>
      <color rgb="FF3D3D3D"/>
      <name val="Arial"/>
      <family val="2"/>
    </font>
    <font>
      <b/>
      <sz val="9"/>
      <color rgb="FF0000FF"/>
      <name val="Arial"/>
      <family val="2"/>
    </font>
    <font>
      <sz val="9"/>
      <color rgb="FF000000"/>
      <name val="Arial"/>
      <family val="2"/>
    </font>
    <font>
      <b/>
      <sz val="9"/>
      <color rgb="FFB35C00"/>
      <name val="Arial"/>
      <family val="2"/>
    </font>
    <font>
      <b/>
      <sz val="9"/>
      <color rgb="FF16305B"/>
      <name val="Arial"/>
      <family val="2"/>
    </font>
    <font>
      <b/>
      <sz val="9"/>
      <color rgb="FF000000"/>
      <name val="Arial"/>
      <family val="2"/>
    </font>
    <font>
      <b/>
      <sz val="13"/>
      <color rgb="FF44688F"/>
      <name val="Arial"/>
      <family val="2"/>
    </font>
    <font>
      <b/>
      <sz val="11"/>
      <color rgb="FFB3202C"/>
      <name val="Arial"/>
      <family val="2"/>
    </font>
    <font>
      <b/>
      <sz val="11"/>
      <color rgb="FF44688F"/>
      <name val="Arial"/>
      <family val="2"/>
    </font>
    <font>
      <b/>
      <sz val="11"/>
      <color rgb="FFB35C00"/>
      <name val="Arial"/>
      <family val="2"/>
    </font>
    <font>
      <b/>
      <sz val="10"/>
      <color rgb="FF16305B"/>
      <name val="Arial"/>
      <family val="2"/>
    </font>
    <font>
      <sz val="9"/>
      <color rgb="FF7A7A7A"/>
      <name val="Arial"/>
      <family val="2"/>
    </font>
    <font>
      <b/>
      <sz val="10"/>
      <color rgb="FF008000"/>
      <name val="Arial"/>
      <family val="2"/>
    </font>
    <font>
      <b/>
      <sz val="9"/>
      <color rgb="FFC00000"/>
      <name val="Arial"/>
      <family val="2"/>
    </font>
    <font>
      <b/>
      <sz val="10"/>
      <color rgb="FFC00000"/>
      <name val="Arial"/>
      <family val="2"/>
    </font>
    <font>
      <sz val="10"/>
      <color rgb="FF008000"/>
      <name val="Arial"/>
      <family val="2"/>
    </font>
    <font>
      <sz val="8"/>
      <color rgb="FF000000"/>
      <name val="Arial"/>
      <family val="2"/>
    </font>
    <font>
      <b/>
      <sz val="11"/>
      <color rgb="FFC00000"/>
      <name val="Arial"/>
      <family val="2"/>
    </font>
    <font>
      <b/>
      <sz val="11"/>
      <color rgb="FF008000"/>
      <name val="Arial"/>
      <family val="2"/>
    </font>
    <font>
      <sz val="9"/>
      <color rgb="FF404040"/>
      <name val="Arial"/>
      <family val="2"/>
    </font>
    <font>
      <b/>
      <sz val="11"/>
      <color rgb="FF000000"/>
      <name val="Arial"/>
      <family val="2"/>
    </font>
    <font>
      <b/>
      <sz val="11"/>
      <color rgb="FF0000FF"/>
      <name val="Arial"/>
      <family val="2"/>
    </font>
    <font>
      <b/>
      <i/>
      <sz val="9"/>
      <color rgb="FF000000"/>
      <name val="Arial"/>
      <family val="2"/>
    </font>
    <font>
      <sz val="9"/>
      <color rgb="FFB0B0B0"/>
      <name val="Arial"/>
      <family val="2"/>
    </font>
    <font>
      <sz val="9"/>
      <color rgb="FF0000FF"/>
      <name val="Arial"/>
      <family val="2"/>
    </font>
    <font>
      <b/>
      <sz val="10"/>
      <color rgb="FFB3202C"/>
      <name val="Arial"/>
      <family val="2"/>
    </font>
    <font>
      <b/>
      <sz val="9"/>
      <color rgb="FFB3202C"/>
      <name val="Arial"/>
      <family val="2"/>
    </font>
    <font>
      <sz val="9"/>
      <color rgb="FF606060"/>
      <name val="Arial"/>
      <family val="2"/>
    </font>
    <font>
      <i/>
      <sz val="8"/>
      <color rgb="FF6E6E6E"/>
      <name val="Arial"/>
      <family val="2"/>
    </font>
    <font>
      <b/>
      <sz val="9"/>
      <color rgb="FF008000"/>
      <name val="Arial"/>
      <family val="2"/>
    </font>
    <font>
      <sz val="9"/>
      <color rgb="FF8A8A8A"/>
      <name val="Arial"/>
      <family val="2"/>
    </font>
    <font>
      <sz val="10"/>
      <color rgb="FF000000"/>
      <name val="Arial"/>
      <family val="2"/>
    </font>
    <font>
      <b/>
      <sz val="10"/>
      <color rgb="FF000000"/>
      <name val="Arial"/>
      <family val="2"/>
    </font>
    <font>
      <b/>
      <sz val="9"/>
      <color rgb="FFFFFFFF"/>
      <name val="Arial"/>
      <family val="2"/>
    </font>
    <font>
      <sz val="8"/>
      <color rgb="FF7A7A7A"/>
      <name val="Arial"/>
      <family val="2"/>
    </font>
    <font>
      <b/>
      <sz val="12"/>
      <color rgb="FFB3202C"/>
      <name val="Arial"/>
      <family val="2"/>
    </font>
    <font>
      <sz val="10"/>
      <color rgb="FFB3202C"/>
      <name val="Arial"/>
      <family val="2"/>
    </font>
    <font>
      <sz val="9"/>
      <color rgb="FF6E6E6E"/>
      <name val="Arial"/>
      <family val="2"/>
    </font>
    <font>
      <sz val="8"/>
      <color rgb="FF404040"/>
      <name val="Arial"/>
      <family val="2"/>
    </font>
    <font>
      <b/>
      <sz val="10"/>
      <color rgb="FF0000FF"/>
      <name val="Arial"/>
      <family val="2"/>
    </font>
    <font>
      <b/>
      <sz val="12"/>
      <color rgb="FF16305B"/>
      <name val="Arial"/>
      <family val="2"/>
    </font>
    <font>
      <b/>
      <sz val="12"/>
      <color rgb="FF44688F"/>
      <name val="Arial"/>
      <family val="2"/>
    </font>
    <font>
      <sz val="8"/>
      <color rgb="FF4A4A4A"/>
      <name val="Arial"/>
      <family val="2"/>
    </font>
    <font>
      <b/>
      <sz val="10"/>
      <color rgb="FFFFFFFF"/>
      <name val="Arial"/>
      <family val="2"/>
    </font>
    <font>
      <b/>
      <sz val="13"/>
      <color rgb="FFFFFFFF"/>
      <name val="Arial"/>
      <family val="2"/>
    </font>
    <font>
      <b/>
      <sz val="13"/>
      <color rgb="FFB3202C"/>
      <name val="Arial"/>
      <family val="2"/>
    </font>
    <font>
      <sz val="9"/>
      <color rgb="FF008000"/>
      <name val="Arial"/>
      <family val="2"/>
    </font>
    <font>
      <b/>
      <sz val="9"/>
      <color rgb="FF44688F"/>
      <name val="Arial"/>
      <family val="2"/>
    </font>
    <font>
      <b/>
      <sz val="10"/>
      <color rgb="FF44688F"/>
      <name val="Arial"/>
      <family val="2"/>
    </font>
    <font>
      <sz val="10"/>
      <color rgb="FF0000FF"/>
      <name val="Arial"/>
      <family val="2"/>
    </font>
    <font>
      <b/>
      <sz val="12"/>
      <color rgb="FFB35C00"/>
      <name val="Arial"/>
      <family val="2"/>
    </font>
    <font>
      <b/>
      <sz val="12"/>
      <color rgb="FFC00000"/>
      <name val="Arial"/>
      <family val="2"/>
    </font>
    <font>
      <b/>
      <sz val="12"/>
      <color rgb="FF000000"/>
      <name val="Arial"/>
      <family val="2"/>
    </font>
    <font>
      <sz val="9"/>
      <color rgb="FF909090"/>
      <name val="Arial"/>
      <family val="2"/>
    </font>
    <font>
      <b/>
      <sz val="9"/>
      <color rgb="FF7A7A7A"/>
      <name val="Arial"/>
      <family val="2"/>
    </font>
    <font>
      <sz val="9"/>
      <name val="宋体"/>
      <family val="3"/>
      <charset val="134"/>
    </font>
    <font>
      <b/>
      <sz val="9"/>
      <color rgb="FF4B3A7A"/>
      <name val="Arial"/>
      <family val="2"/>
    </font>
    <font>
      <b/>
      <sz val="11"/>
      <color rgb="FF008000"/>
      <name val="Arial"/>
      <family val="2"/>
    </font>
    <font>
      <b/>
      <sz val="11"/>
      <color rgb="FF008000"/>
      <name val="Arial"/>
      <family val="2"/>
    </font>
    <font>
      <b/>
      <sz val="9"/>
      <color rgb="FF0B5345"/>
      <name val="Arial"/>
      <family val="2"/>
    </font>
    <font>
      <b/>
      <sz val="9"/>
      <color rgb="FFFFFFFF"/>
      <name val="Arial"/>
      <family val="2"/>
    </font>
  </fonts>
  <fills count="20">
    <fill>
      <patternFill patternType="none"/>
    </fill>
    <fill>
      <patternFill patternType="gray125"/>
    </fill>
    <fill>
      <patternFill patternType="solid">
        <fgColor rgb="FF16305B"/>
        <bgColor rgb="FF3D3D3D"/>
      </patternFill>
    </fill>
    <fill>
      <patternFill patternType="solid">
        <fgColor rgb="FFF4F7FB"/>
        <bgColor rgb="FFF5F5F5"/>
      </patternFill>
    </fill>
    <fill>
      <patternFill patternType="solid">
        <fgColor rgb="FF2E5C8A"/>
        <bgColor rgb="FF44688F"/>
      </patternFill>
    </fill>
    <fill>
      <patternFill patternType="solid">
        <fgColor rgb="FFEAF1FB"/>
        <bgColor rgb="FFE6EAF0"/>
      </patternFill>
    </fill>
    <fill>
      <patternFill patternType="solid">
        <fgColor rgb="FFFDEFE0"/>
        <bgColor rgb="FFFFF4D6"/>
      </patternFill>
    </fill>
    <fill>
      <patternFill patternType="solid">
        <fgColor rgb="FFDCE6F2"/>
        <bgColor rgb="FFE6EAF0"/>
      </patternFill>
    </fill>
    <fill>
      <patternFill patternType="solid">
        <fgColor rgb="FFE4F0E2"/>
        <bgColor rgb="FFE6EAF0"/>
      </patternFill>
    </fill>
    <fill>
      <patternFill patternType="solid">
        <fgColor rgb="FFB35C00"/>
        <bgColor rgb="FFC0392B"/>
      </patternFill>
    </fill>
    <fill>
      <patternFill patternType="solid">
        <fgColor rgb="FFF7E2CC"/>
        <bgColor rgb="FFFBE7EA"/>
      </patternFill>
    </fill>
    <fill>
      <patternFill patternType="solid">
        <fgColor rgb="FFFBE7EA"/>
        <bgColor rgb="FFFDEFE0"/>
      </patternFill>
    </fill>
    <fill>
      <patternFill patternType="solid">
        <fgColor rgb="FFFFF4D6"/>
        <bgColor rgb="FFFDEFE0"/>
      </patternFill>
    </fill>
    <fill>
      <patternFill patternType="solid">
        <fgColor rgb="FFF5F5F5"/>
        <bgColor rgb="FFF4F7FB"/>
      </patternFill>
    </fill>
    <fill>
      <patternFill patternType="solid">
        <fgColor rgb="FFFFFFFF"/>
        <bgColor rgb="FFF4F7FB"/>
      </patternFill>
    </fill>
    <fill>
      <patternFill patternType="solid">
        <fgColor rgb="FF44688F"/>
        <bgColor rgb="FF2E5C8A"/>
      </patternFill>
    </fill>
    <fill>
      <patternFill patternType="solid">
        <fgColor rgb="FF5B4A8B"/>
        <bgColor indexed="64"/>
      </patternFill>
    </fill>
    <fill>
      <patternFill patternType="solid">
        <fgColor rgb="FFEDE7F6"/>
        <bgColor indexed="64"/>
      </patternFill>
    </fill>
    <fill>
      <patternFill patternType="solid">
        <fgColor rgb="FF0E6655"/>
        <bgColor indexed="64"/>
      </patternFill>
    </fill>
    <fill>
      <patternFill patternType="solid">
        <fgColor rgb="FFE2F3EB"/>
        <bgColor indexed="64"/>
      </patternFill>
    </fill>
  </fills>
  <borders count="5">
    <border>
      <left/>
      <right/>
      <top/>
      <bottom/>
      <diagonal/>
    </border>
    <border>
      <left style="thin">
        <color rgb="FFC9D2DD"/>
      </left>
      <right style="thin">
        <color rgb="FFC9D2DD"/>
      </right>
      <top style="thin">
        <color rgb="FFC9D2DD"/>
      </top>
      <bottom style="thin">
        <color rgb="FFC9D2DD"/>
      </bottom>
      <diagonal/>
    </border>
    <border>
      <left style="thin">
        <color rgb="FFC9D2DD"/>
      </left>
      <right/>
      <top style="thin">
        <color rgb="FFC9D2DD"/>
      </top>
      <bottom style="thin">
        <color rgb="FFC9D2DD"/>
      </bottom>
      <diagonal/>
    </border>
    <border>
      <left style="thin">
        <color rgb="FFC9D2DD"/>
      </left>
      <right style="thin">
        <color rgb="FFC9D2DD"/>
      </right>
      <top style="thin">
        <color rgb="FFC9D2DD"/>
      </top>
      <bottom style="medium">
        <color rgb="FF44688F"/>
      </bottom>
      <diagonal/>
    </border>
    <border>
      <left style="thin">
        <color rgb="FFC9D2DD"/>
      </left>
      <right style="thin">
        <color rgb="FFC9D2DD"/>
      </right>
      <top style="thin">
        <color rgb="FFC9D2DD"/>
      </top>
      <bottom style="medium">
        <color rgb="FFB35C00"/>
      </bottom>
      <diagonal/>
    </border>
  </borders>
  <cellStyleXfs count="1">
    <xf numFmtId="0" fontId="0" fillId="0" borderId="0"/>
  </cellStyleXfs>
  <cellXfs count="360">
    <xf numFmtId="0" fontId="0" fillId="0" borderId="0" xfId="0"/>
    <xf numFmtId="0" fontId="7" fillId="10" borderId="4"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5"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6" fillId="3" borderId="1" xfId="0" applyFont="1" applyFill="1" applyBorder="1" applyAlignment="1">
      <alignment horizontal="center" vertical="center"/>
    </xf>
    <xf numFmtId="0" fontId="10" fillId="0" borderId="1" xfId="0" applyFont="1" applyBorder="1" applyAlignment="1">
      <alignment horizontal="center" vertical="center"/>
    </xf>
    <xf numFmtId="0" fontId="8" fillId="7" borderId="1" xfId="0" applyFont="1" applyFill="1" applyBorder="1" applyAlignment="1">
      <alignment horizontal="center" vertical="center" wrapText="1"/>
    </xf>
    <xf numFmtId="0" fontId="6" fillId="0" borderId="1" xfId="0" applyFont="1" applyBorder="1" applyAlignment="1">
      <alignment horizontal="left" vertical="center" indent="1"/>
    </xf>
    <xf numFmtId="176" fontId="12" fillId="0" borderId="1" xfId="0" applyNumberFormat="1" applyFont="1" applyBorder="1" applyAlignment="1">
      <alignment horizontal="center" vertical="center"/>
    </xf>
    <xf numFmtId="0" fontId="6" fillId="6" borderId="1" xfId="0" applyFont="1" applyFill="1" applyBorder="1" applyAlignment="1">
      <alignment horizontal="left" vertical="center" indent="1"/>
    </xf>
    <xf numFmtId="176" fontId="13" fillId="6" borderId="1" xfId="0" applyNumberFormat="1" applyFont="1" applyFill="1" applyBorder="1" applyAlignment="1">
      <alignment horizontal="center" vertical="center"/>
    </xf>
    <xf numFmtId="0" fontId="14" fillId="0" borderId="1" xfId="0" applyFont="1" applyBorder="1" applyAlignment="1">
      <alignment horizontal="center" vertical="center"/>
    </xf>
    <xf numFmtId="0" fontId="6" fillId="0" borderId="1" xfId="0" applyFont="1" applyBorder="1" applyAlignment="1">
      <alignment horizontal="left" vertical="center" wrapText="1" indent="1"/>
    </xf>
    <xf numFmtId="0" fontId="15" fillId="0" borderId="1" xfId="0" applyFont="1" applyBorder="1" applyAlignment="1">
      <alignment horizontal="center" vertical="center"/>
    </xf>
    <xf numFmtId="177" fontId="16" fillId="0" borderId="1" xfId="0" applyNumberFormat="1" applyFont="1" applyBorder="1" applyAlignment="1">
      <alignment horizontal="center" vertical="center"/>
    </xf>
    <xf numFmtId="0" fontId="17" fillId="0" borderId="1" xfId="0" applyFont="1" applyBorder="1" applyAlignment="1">
      <alignment horizontal="center" vertical="center"/>
    </xf>
    <xf numFmtId="0" fontId="6" fillId="6" borderId="1" xfId="0" applyFont="1" applyFill="1" applyBorder="1" applyAlignment="1">
      <alignment horizontal="left" vertical="center" wrapText="1" indent="1"/>
    </xf>
    <xf numFmtId="177" fontId="16" fillId="6" borderId="1" xfId="0" applyNumberFormat="1" applyFont="1" applyFill="1" applyBorder="1" applyAlignment="1">
      <alignment horizontal="center" vertical="center"/>
    </xf>
    <xf numFmtId="178" fontId="18" fillId="0" borderId="1" xfId="0" applyNumberFormat="1" applyFont="1" applyBorder="1" applyAlignment="1">
      <alignment horizontal="center" vertical="center"/>
    </xf>
    <xf numFmtId="0" fontId="8" fillId="0" borderId="1" xfId="0" applyFont="1" applyBorder="1" applyAlignment="1">
      <alignment horizontal="center" vertical="center"/>
    </xf>
    <xf numFmtId="177" fontId="19" fillId="0" borderId="1" xfId="0" applyNumberFormat="1" applyFont="1" applyBorder="1" applyAlignment="1">
      <alignment horizontal="center" vertical="center"/>
    </xf>
    <xf numFmtId="179" fontId="18"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21" fillId="11" borderId="1" xfId="0" applyFont="1" applyFill="1" applyBorder="1" applyAlignment="1">
      <alignment horizontal="center" vertical="center"/>
    </xf>
    <xf numFmtId="0" fontId="9" fillId="12" borderId="1" xfId="0" applyFont="1" applyFill="1" applyBorder="1" applyAlignment="1">
      <alignment horizontal="left" vertical="center" wrapText="1"/>
    </xf>
    <xf numFmtId="180" fontId="22" fillId="12" borderId="1" xfId="0" applyNumberFormat="1" applyFont="1" applyFill="1" applyBorder="1" applyAlignment="1">
      <alignment horizontal="center" vertical="center"/>
    </xf>
    <xf numFmtId="0" fontId="6" fillId="0" borderId="1" xfId="0" applyFont="1" applyBorder="1" applyAlignment="1">
      <alignment horizontal="center" vertical="center"/>
    </xf>
    <xf numFmtId="0" fontId="9" fillId="6" borderId="1" xfId="0" applyFont="1" applyFill="1" applyBorder="1" applyAlignment="1">
      <alignment horizontal="left" vertical="center" wrapText="1"/>
    </xf>
    <xf numFmtId="180" fontId="22" fillId="6"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180" fontId="24" fillId="6" borderId="1" xfId="0" applyNumberFormat="1" applyFont="1" applyFill="1" applyBorder="1" applyAlignment="1">
      <alignment horizontal="center" vertical="center"/>
    </xf>
    <xf numFmtId="1" fontId="24" fillId="12" borderId="1" xfId="0" applyNumberFormat="1" applyFont="1" applyFill="1" applyBorder="1" applyAlignment="1">
      <alignment horizontal="center" vertical="center"/>
    </xf>
    <xf numFmtId="0" fontId="9" fillId="3" borderId="1" xfId="0" applyFont="1" applyFill="1" applyBorder="1" applyAlignment="1">
      <alignment horizontal="left" vertical="center" wrapText="1"/>
    </xf>
    <xf numFmtId="181" fontId="25" fillId="3" borderId="1" xfId="0" applyNumberFormat="1" applyFont="1" applyFill="1" applyBorder="1" applyAlignment="1">
      <alignment horizontal="center" vertical="center"/>
    </xf>
    <xf numFmtId="176" fontId="25" fillId="6" borderId="1" xfId="0" applyNumberFormat="1" applyFont="1" applyFill="1" applyBorder="1" applyAlignment="1">
      <alignment horizontal="center" vertical="center"/>
    </xf>
    <xf numFmtId="177" fontId="24" fillId="3" borderId="1" xfId="0" applyNumberFormat="1" applyFont="1" applyFill="1" applyBorder="1" applyAlignment="1">
      <alignment horizontal="center" vertical="center"/>
    </xf>
    <xf numFmtId="177" fontId="22" fillId="12" borderId="1" xfId="0" applyNumberFormat="1" applyFont="1" applyFill="1" applyBorder="1" applyAlignment="1">
      <alignment horizontal="center" vertical="center"/>
    </xf>
    <xf numFmtId="0" fontId="8" fillId="13" borderId="1" xfId="0" applyFont="1" applyFill="1" applyBorder="1" applyAlignment="1">
      <alignment horizontal="center" vertical="center"/>
    </xf>
    <xf numFmtId="0" fontId="26" fillId="13" borderId="1" xfId="0" applyFont="1" applyFill="1" applyBorder="1" applyAlignment="1">
      <alignment horizontal="center" vertical="center"/>
    </xf>
    <xf numFmtId="177" fontId="27" fillId="13" borderId="1" xfId="0" applyNumberFormat="1" applyFont="1" applyFill="1" applyBorder="1" applyAlignment="1">
      <alignment horizontal="center" vertical="center"/>
    </xf>
    <xf numFmtId="177" fontId="28" fillId="13" borderId="1" xfId="0" applyNumberFormat="1" applyFont="1" applyFill="1" applyBorder="1" applyAlignment="1">
      <alignment horizontal="center" vertical="center"/>
    </xf>
    <xf numFmtId="177" fontId="6" fillId="13" borderId="1" xfId="0" applyNumberFormat="1" applyFont="1" applyFill="1" applyBorder="1" applyAlignment="1">
      <alignment horizontal="center" vertical="center"/>
    </xf>
    <xf numFmtId="182" fontId="6" fillId="13" borderId="1" xfId="0" applyNumberFormat="1" applyFont="1" applyFill="1" applyBorder="1" applyAlignment="1">
      <alignment horizontal="center" vertical="center"/>
    </xf>
    <xf numFmtId="177" fontId="29" fillId="12" borderId="1" xfId="0" applyNumberFormat="1" applyFont="1" applyFill="1" applyBorder="1" applyAlignment="1">
      <alignment horizontal="center" vertical="center"/>
    </xf>
    <xf numFmtId="177" fontId="6" fillId="0" borderId="1" xfId="0" applyNumberFormat="1" applyFont="1" applyBorder="1" applyAlignment="1">
      <alignment horizontal="center" vertical="center"/>
    </xf>
    <xf numFmtId="182" fontId="6" fillId="0" borderId="1" xfId="0" applyNumberFormat="1" applyFont="1" applyBorder="1" applyAlignment="1">
      <alignment horizontal="center" vertical="center"/>
    </xf>
    <xf numFmtId="177" fontId="27" fillId="0" borderId="1" xfId="0" applyNumberFormat="1" applyFont="1" applyBorder="1" applyAlignment="1">
      <alignment horizontal="center" vertical="center"/>
    </xf>
    <xf numFmtId="177" fontId="30" fillId="0" borderId="1" xfId="0" applyNumberFormat="1" applyFont="1" applyBorder="1" applyAlignment="1">
      <alignment horizontal="center" vertical="center"/>
    </xf>
    <xf numFmtId="0" fontId="6" fillId="13" borderId="1" xfId="0" applyFont="1" applyFill="1" applyBorder="1" applyAlignment="1">
      <alignment horizontal="center" vertical="center"/>
    </xf>
    <xf numFmtId="177" fontId="8" fillId="13" borderId="1" xfId="0" applyNumberFormat="1" applyFont="1" applyFill="1" applyBorder="1" applyAlignment="1">
      <alignment horizontal="center" vertical="center"/>
    </xf>
    <xf numFmtId="177" fontId="30" fillId="13" borderId="1" xfId="0" applyNumberFormat="1" applyFont="1" applyFill="1" applyBorder="1" applyAlignment="1">
      <alignment horizontal="center" vertical="center"/>
    </xf>
    <xf numFmtId="177" fontId="31" fillId="0" borderId="1" xfId="0" applyNumberFormat="1" applyFont="1" applyBorder="1" applyAlignment="1">
      <alignment horizontal="center" vertical="center"/>
    </xf>
    <xf numFmtId="182" fontId="31" fillId="0" borderId="1" xfId="0" applyNumberFormat="1" applyFont="1" applyBorder="1" applyAlignment="1">
      <alignment horizontal="center" vertical="center"/>
    </xf>
    <xf numFmtId="177" fontId="7" fillId="0" borderId="1" xfId="0" applyNumberFormat="1" applyFont="1" applyBorder="1" applyAlignment="1">
      <alignment horizontal="center" vertical="center"/>
    </xf>
    <xf numFmtId="9" fontId="33" fillId="12" borderId="1" xfId="0" applyNumberFormat="1" applyFont="1" applyFill="1" applyBorder="1" applyAlignment="1">
      <alignment horizontal="center" vertical="center"/>
    </xf>
    <xf numFmtId="9" fontId="34" fillId="0" borderId="1" xfId="0" applyNumberFormat="1" applyFont="1" applyBorder="1" applyAlignment="1">
      <alignment horizontal="center" vertical="center"/>
    </xf>
    <xf numFmtId="177" fontId="35" fillId="0" borderId="1" xfId="0" applyNumberFormat="1" applyFont="1" applyBorder="1" applyAlignment="1">
      <alignment horizontal="center" vertical="center"/>
    </xf>
    <xf numFmtId="0" fontId="9" fillId="0" borderId="1" xfId="0" applyFont="1" applyBorder="1" applyAlignment="1">
      <alignment horizontal="center" vertical="center"/>
    </xf>
    <xf numFmtId="177" fontId="36" fillId="0" borderId="1" xfId="0" applyNumberFormat="1" applyFont="1" applyBorder="1" applyAlignment="1">
      <alignment horizontal="center" vertical="center"/>
    </xf>
    <xf numFmtId="0" fontId="37" fillId="4" borderId="1" xfId="0" applyFont="1" applyFill="1" applyBorder="1" applyAlignment="1">
      <alignment horizontal="center" vertical="center"/>
    </xf>
    <xf numFmtId="0" fontId="38" fillId="0" borderId="1" xfId="0" applyFont="1" applyBorder="1" applyAlignment="1">
      <alignment horizontal="center" vertical="center"/>
    </xf>
    <xf numFmtId="177" fontId="39" fillId="8" borderId="1" xfId="0" applyNumberFormat="1" applyFont="1" applyFill="1" applyBorder="1" applyAlignment="1">
      <alignment horizontal="center" vertical="center"/>
    </xf>
    <xf numFmtId="177" fontId="40" fillId="0" borderId="1" xfId="0" applyNumberFormat="1" applyFont="1" applyBorder="1" applyAlignment="1">
      <alignment horizontal="center" vertical="center"/>
    </xf>
    <xf numFmtId="177" fontId="14" fillId="0" borderId="1" xfId="0" applyNumberFormat="1" applyFont="1" applyBorder="1" applyAlignment="1">
      <alignment horizontal="center" vertical="center"/>
    </xf>
    <xf numFmtId="177" fontId="34" fillId="0" borderId="1" xfId="0" applyNumberFormat="1" applyFont="1" applyBorder="1" applyAlignment="1">
      <alignment horizontal="center" vertical="center"/>
    </xf>
    <xf numFmtId="177" fontId="9" fillId="0" borderId="1" xfId="0" applyNumberFormat="1" applyFont="1" applyBorder="1" applyAlignment="1">
      <alignment horizontal="center" vertical="center"/>
    </xf>
    <xf numFmtId="183" fontId="9" fillId="0" borderId="1" xfId="0" applyNumberFormat="1" applyFont="1" applyBorder="1" applyAlignment="1">
      <alignment horizontal="center" vertical="center"/>
    </xf>
    <xf numFmtId="178" fontId="30" fillId="0" borderId="1" xfId="0" applyNumberFormat="1" applyFont="1" applyBorder="1" applyAlignment="1">
      <alignment horizontal="center" vertical="center"/>
    </xf>
    <xf numFmtId="0" fontId="37" fillId="4" borderId="1" xfId="0" applyFont="1" applyFill="1" applyBorder="1" applyAlignment="1">
      <alignment horizontal="center" vertical="center" wrapText="1"/>
    </xf>
    <xf numFmtId="0" fontId="9" fillId="8" borderId="1" xfId="0" applyFont="1" applyFill="1" applyBorder="1" applyAlignment="1">
      <alignment horizontal="center" vertical="center"/>
    </xf>
    <xf numFmtId="183" fontId="29" fillId="8" borderId="1" xfId="0" applyNumberFormat="1" applyFont="1" applyFill="1" applyBorder="1" applyAlignment="1">
      <alignment horizontal="center" vertical="center"/>
    </xf>
    <xf numFmtId="0" fontId="9" fillId="12" borderId="1" xfId="0" applyFont="1" applyFill="1" applyBorder="1" applyAlignment="1">
      <alignment horizontal="left" vertical="center" indent="1"/>
    </xf>
    <xf numFmtId="177" fontId="43" fillId="12" borderId="1" xfId="0" applyNumberFormat="1" applyFont="1" applyFill="1" applyBorder="1" applyAlignment="1">
      <alignment horizontal="center" vertical="center"/>
    </xf>
    <xf numFmtId="0" fontId="9" fillId="8" borderId="1" xfId="0" applyFont="1" applyFill="1" applyBorder="1" applyAlignment="1">
      <alignment horizontal="left" vertical="center" wrapText="1" indent="1"/>
    </xf>
    <xf numFmtId="0" fontId="37" fillId="9" borderId="1" xfId="0" applyFont="1" applyFill="1" applyBorder="1" applyAlignment="1">
      <alignment horizontal="center" vertical="center"/>
    </xf>
    <xf numFmtId="177" fontId="39" fillId="6" borderId="1" xfId="0" applyNumberFormat="1" applyFont="1" applyFill="1" applyBorder="1" applyAlignment="1">
      <alignment horizontal="center" vertical="center"/>
    </xf>
    <xf numFmtId="9" fontId="44" fillId="8" borderId="1" xfId="0" applyNumberFormat="1" applyFont="1" applyFill="1" applyBorder="1" applyAlignment="1">
      <alignment horizontal="center" vertical="center"/>
    </xf>
    <xf numFmtId="9" fontId="39" fillId="6" borderId="1" xfId="0" applyNumberFormat="1" applyFont="1" applyFill="1" applyBorder="1" applyAlignment="1">
      <alignment horizontal="center" vertical="center"/>
    </xf>
    <xf numFmtId="0" fontId="8" fillId="3" borderId="1" xfId="0" applyFont="1" applyFill="1" applyBorder="1" applyAlignment="1">
      <alignment horizontal="left" vertical="center" wrapText="1" indent="1"/>
    </xf>
    <xf numFmtId="180" fontId="45" fillId="12" borderId="1" xfId="0" applyNumberFormat="1" applyFont="1" applyFill="1" applyBorder="1" applyAlignment="1">
      <alignment horizontal="center" vertical="center"/>
    </xf>
    <xf numFmtId="0" fontId="43" fillId="5" borderId="1" xfId="0" applyFont="1" applyFill="1" applyBorder="1" applyAlignment="1">
      <alignment horizontal="center" vertical="center"/>
    </xf>
    <xf numFmtId="0" fontId="38" fillId="0" borderId="1" xfId="0" applyFont="1" applyBorder="1" applyAlignment="1">
      <alignment horizontal="center" vertical="center" wrapText="1"/>
    </xf>
    <xf numFmtId="177" fontId="45" fillId="12" borderId="1" xfId="0" applyNumberFormat="1" applyFont="1" applyFill="1" applyBorder="1" applyAlignment="1">
      <alignment horizontal="center" vertical="center"/>
    </xf>
    <xf numFmtId="1" fontId="45" fillId="12" borderId="1" xfId="0" applyNumberFormat="1" applyFont="1" applyFill="1" applyBorder="1" applyAlignment="1">
      <alignment horizontal="center" vertical="center"/>
    </xf>
    <xf numFmtId="184" fontId="45" fillId="12" borderId="1" xfId="0" applyNumberFormat="1" applyFont="1" applyFill="1" applyBorder="1" applyAlignment="1">
      <alignment horizontal="center" vertical="center"/>
    </xf>
    <xf numFmtId="9" fontId="45" fillId="12" borderId="1" xfId="0" applyNumberFormat="1" applyFont="1" applyFill="1" applyBorder="1" applyAlignment="1">
      <alignment horizontal="center" vertical="center"/>
    </xf>
    <xf numFmtId="0" fontId="47" fillId="2" borderId="1" xfId="0" applyFont="1" applyFill="1" applyBorder="1" applyAlignment="1">
      <alignment horizontal="left" vertical="center" wrapText="1" indent="1"/>
    </xf>
    <xf numFmtId="9" fontId="48" fillId="2" borderId="1" xfId="0" applyNumberFormat="1" applyFont="1" applyFill="1" applyBorder="1" applyAlignment="1">
      <alignment horizontal="center" vertical="center"/>
    </xf>
    <xf numFmtId="177" fontId="49" fillId="8" borderId="1" xfId="0" applyNumberFormat="1" applyFont="1" applyFill="1" applyBorder="1" applyAlignment="1">
      <alignment horizontal="center" vertical="center"/>
    </xf>
    <xf numFmtId="177" fontId="49" fillId="6" borderId="1" xfId="0" applyNumberFormat="1" applyFont="1" applyFill="1" applyBorder="1" applyAlignment="1">
      <alignment horizontal="center" vertical="center"/>
    </xf>
    <xf numFmtId="9" fontId="49" fillId="6" borderId="1" xfId="0" applyNumberFormat="1" applyFont="1" applyFill="1" applyBorder="1" applyAlignment="1">
      <alignment horizontal="center" vertical="center"/>
    </xf>
    <xf numFmtId="0" fontId="27" fillId="13" borderId="1" xfId="0" applyFont="1" applyFill="1" applyBorder="1" applyAlignment="1">
      <alignment horizontal="center" vertical="center"/>
    </xf>
    <xf numFmtId="177" fontId="50" fillId="0" borderId="1" xfId="0" applyNumberFormat="1" applyFont="1" applyBorder="1" applyAlignment="1">
      <alignment horizontal="center" vertical="center"/>
    </xf>
    <xf numFmtId="185" fontId="51" fillId="0" borderId="1" xfId="0" applyNumberFormat="1" applyFont="1" applyBorder="1" applyAlignment="1">
      <alignment horizontal="center" vertical="center"/>
    </xf>
    <xf numFmtId="179" fontId="17" fillId="0" borderId="1" xfId="0" applyNumberFormat="1" applyFont="1" applyBorder="1" applyAlignment="1">
      <alignment horizontal="center" vertical="center"/>
    </xf>
    <xf numFmtId="185" fontId="52" fillId="0" borderId="1" xfId="0" applyNumberFormat="1" applyFont="1" applyBorder="1" applyAlignment="1">
      <alignment horizontal="center" vertical="center"/>
    </xf>
    <xf numFmtId="177" fontId="29" fillId="6" borderId="1" xfId="0" applyNumberFormat="1" applyFont="1" applyFill="1" applyBorder="1" applyAlignment="1">
      <alignment horizontal="center" vertical="center"/>
    </xf>
    <xf numFmtId="0" fontId="37" fillId="15" borderId="1" xfId="0" applyFont="1" applyFill="1" applyBorder="1" applyAlignment="1">
      <alignment horizontal="left" vertical="center" indent="1"/>
    </xf>
    <xf numFmtId="177" fontId="53" fillId="0" borderId="1" xfId="0" applyNumberFormat="1" applyFont="1" applyBorder="1" applyAlignment="1">
      <alignment horizontal="center" vertical="center"/>
    </xf>
    <xf numFmtId="177" fontId="24" fillId="12" borderId="1" xfId="0" applyNumberFormat="1" applyFont="1" applyFill="1" applyBorder="1" applyAlignment="1">
      <alignment horizontal="center" vertical="center"/>
    </xf>
    <xf numFmtId="177" fontId="29" fillId="0" borderId="1" xfId="0" applyNumberFormat="1" applyFont="1" applyBorder="1" applyAlignment="1">
      <alignment horizontal="center" vertical="center"/>
    </xf>
    <xf numFmtId="179" fontId="29" fillId="0" borderId="1" xfId="0" applyNumberFormat="1" applyFont="1" applyBorder="1" applyAlignment="1">
      <alignment horizontal="center" vertical="center"/>
    </xf>
    <xf numFmtId="0" fontId="9" fillId="6" borderId="1" xfId="0" applyFont="1" applyFill="1" applyBorder="1" applyAlignment="1">
      <alignment horizontal="left" vertical="center" wrapText="1" indent="1"/>
    </xf>
    <xf numFmtId="0" fontId="9" fillId="0" borderId="1" xfId="0" applyFont="1" applyBorder="1" applyAlignment="1">
      <alignment horizontal="left" vertical="center" wrapText="1" indent="1"/>
    </xf>
    <xf numFmtId="177" fontId="24" fillId="0" borderId="1" xfId="0" applyNumberFormat="1" applyFont="1" applyBorder="1" applyAlignment="1">
      <alignment horizontal="center" vertical="center"/>
    </xf>
    <xf numFmtId="177" fontId="25" fillId="12" borderId="1" xfId="0" applyNumberFormat="1" applyFont="1" applyFill="1" applyBorder="1" applyAlignment="1">
      <alignment horizontal="center" vertical="center"/>
    </xf>
    <xf numFmtId="0" fontId="54" fillId="6" borderId="1" xfId="0" applyFont="1" applyFill="1" applyBorder="1" applyAlignment="1">
      <alignment horizontal="center" vertical="center"/>
    </xf>
    <xf numFmtId="9" fontId="9" fillId="12" borderId="1" xfId="0" applyNumberFormat="1" applyFont="1" applyFill="1" applyBorder="1" applyAlignment="1">
      <alignment horizontal="center" vertical="center"/>
    </xf>
    <xf numFmtId="177" fontId="11" fillId="8" borderId="1" xfId="0" applyNumberFormat="1" applyFont="1" applyFill="1" applyBorder="1" applyAlignment="1">
      <alignment horizontal="center" vertical="center"/>
    </xf>
    <xf numFmtId="177" fontId="22" fillId="0" borderId="1" xfId="0" applyNumberFormat="1" applyFont="1" applyBorder="1" applyAlignment="1">
      <alignment horizontal="center" vertical="center"/>
    </xf>
    <xf numFmtId="179" fontId="55" fillId="8" borderId="1" xfId="0" applyNumberFormat="1" applyFont="1" applyFill="1" applyBorder="1" applyAlignment="1">
      <alignment horizontal="center" vertical="center"/>
    </xf>
    <xf numFmtId="0" fontId="7" fillId="6" borderId="1" xfId="0" applyFont="1" applyFill="1" applyBorder="1" applyAlignment="1">
      <alignment horizontal="left" vertical="center" wrapText="1" indent="1"/>
    </xf>
    <xf numFmtId="176" fontId="45" fillId="12" borderId="1" xfId="0" applyNumberFormat="1" applyFont="1" applyFill="1" applyBorder="1" applyAlignment="1">
      <alignment horizontal="center" vertical="center"/>
    </xf>
    <xf numFmtId="177" fontId="48" fillId="2" borderId="1" xfId="0" applyNumberFormat="1" applyFont="1" applyFill="1" applyBorder="1" applyAlignment="1">
      <alignment horizontal="center" vertical="center"/>
    </xf>
    <xf numFmtId="177" fontId="29" fillId="8" borderId="1" xfId="0" applyNumberFormat="1" applyFont="1" applyFill="1" applyBorder="1" applyAlignment="1">
      <alignment horizontal="center" vertical="center"/>
    </xf>
    <xf numFmtId="0" fontId="37" fillId="2" borderId="1" xfId="0" applyFont="1" applyFill="1" applyBorder="1" applyAlignment="1">
      <alignment horizontal="center" vertical="center" wrapText="1"/>
    </xf>
    <xf numFmtId="9" fontId="49" fillId="8" borderId="1" xfId="0" applyNumberFormat="1" applyFont="1" applyFill="1" applyBorder="1" applyAlignment="1">
      <alignment horizontal="center" vertical="center"/>
    </xf>
    <xf numFmtId="177" fontId="57" fillId="0" borderId="1" xfId="0" applyNumberFormat="1" applyFont="1" applyBorder="1" applyAlignment="1">
      <alignment horizontal="center" vertical="center"/>
    </xf>
    <xf numFmtId="178" fontId="21" fillId="0" borderId="1" xfId="0" applyNumberFormat="1" applyFont="1" applyBorder="1" applyAlignment="1">
      <alignment horizontal="center" vertical="center"/>
    </xf>
    <xf numFmtId="178" fontId="21" fillId="6" borderId="1" xfId="0" applyNumberFormat="1" applyFont="1" applyFill="1" applyBorder="1" applyAlignment="1">
      <alignment horizontal="center" vertical="center"/>
    </xf>
    <xf numFmtId="176" fontId="25" fillId="12" borderId="1" xfId="0" applyNumberFormat="1" applyFont="1" applyFill="1" applyBorder="1" applyAlignment="1">
      <alignment horizontal="center" vertical="center"/>
    </xf>
    <xf numFmtId="176" fontId="22" fillId="6" borderId="1" xfId="0" applyNumberFormat="1" applyFont="1" applyFill="1" applyBorder="1" applyAlignment="1">
      <alignment horizontal="center" vertical="center"/>
    </xf>
    <xf numFmtId="176" fontId="24" fillId="0" borderId="1" xfId="0" applyNumberFormat="1" applyFont="1" applyBorder="1" applyAlignment="1">
      <alignment horizontal="center" vertical="center"/>
    </xf>
    <xf numFmtId="177" fontId="24" fillId="6" borderId="1" xfId="0" applyNumberFormat="1" applyFont="1" applyFill="1" applyBorder="1" applyAlignment="1">
      <alignment horizontal="center" vertical="center"/>
    </xf>
    <xf numFmtId="177" fontId="11" fillId="0" borderId="1" xfId="0" applyNumberFormat="1" applyFont="1" applyBorder="1" applyAlignment="1">
      <alignment horizontal="center" vertical="center"/>
    </xf>
    <xf numFmtId="0" fontId="8" fillId="6" borderId="1" xfId="0" applyFont="1" applyFill="1" applyBorder="1" applyAlignment="1">
      <alignment horizontal="center" vertical="center"/>
    </xf>
    <xf numFmtId="0" fontId="6" fillId="0" borderId="1" xfId="0" applyFont="1" applyBorder="1" applyAlignment="1">
      <alignment horizontal="center" vertical="center" wrapText="1"/>
    </xf>
    <xf numFmtId="186" fontId="36" fillId="0" borderId="1" xfId="0" applyNumberFormat="1" applyFont="1" applyBorder="1" applyAlignment="1">
      <alignment horizontal="center" vertical="center"/>
    </xf>
    <xf numFmtId="186" fontId="29" fillId="0" borderId="1" xfId="0" applyNumberFormat="1" applyFont="1" applyBorder="1" applyAlignment="1">
      <alignment horizontal="center" vertical="center"/>
    </xf>
    <xf numFmtId="187" fontId="43" fillId="0" borderId="1" xfId="0" applyNumberFormat="1" applyFont="1" applyBorder="1" applyAlignment="1">
      <alignment horizontal="center" vertical="center"/>
    </xf>
    <xf numFmtId="186" fontId="35" fillId="0" borderId="1" xfId="0" applyNumberFormat="1" applyFont="1" applyBorder="1" applyAlignment="1">
      <alignment horizontal="center" vertical="center"/>
    </xf>
    <xf numFmtId="186" fontId="16" fillId="0" borderId="1" xfId="0" applyNumberFormat="1" applyFont="1" applyBorder="1" applyAlignment="1">
      <alignment horizontal="center" vertical="center"/>
    </xf>
    <xf numFmtId="186" fontId="40" fillId="0" borderId="1" xfId="0" applyNumberFormat="1" applyFont="1" applyBorder="1" applyAlignment="1">
      <alignment horizontal="center" vertical="center"/>
    </xf>
    <xf numFmtId="186" fontId="11" fillId="8" borderId="1" xfId="0" applyNumberFormat="1" applyFont="1" applyFill="1" applyBorder="1" applyAlignment="1">
      <alignment horizontal="center" vertical="center"/>
    </xf>
    <xf numFmtId="180" fontId="52" fillId="0" borderId="1" xfId="0" applyNumberFormat="1" applyFont="1" applyBorder="1" applyAlignment="1">
      <alignment horizontal="center" vertical="center"/>
    </xf>
    <xf numFmtId="187" fontId="43" fillId="6" borderId="1" xfId="0" applyNumberFormat="1" applyFont="1" applyFill="1" applyBorder="1" applyAlignment="1">
      <alignment horizontal="center" vertical="center"/>
    </xf>
    <xf numFmtId="186" fontId="11" fillId="6" borderId="1" xfId="0" applyNumberFormat="1" applyFont="1" applyFill="1" applyBorder="1" applyAlignment="1">
      <alignment horizontal="center" vertical="center"/>
    </xf>
    <xf numFmtId="187" fontId="45" fillId="12" borderId="1" xfId="0" applyNumberFormat="1" applyFont="1" applyFill="1" applyBorder="1" applyAlignment="1">
      <alignment horizontal="center" vertical="center"/>
    </xf>
    <xf numFmtId="186" fontId="24" fillId="0" borderId="1" xfId="0" applyNumberFormat="1" applyFont="1" applyBorder="1" applyAlignment="1">
      <alignment horizontal="center" vertical="center"/>
    </xf>
    <xf numFmtId="180" fontId="24" fillId="0" borderId="1" xfId="0" applyNumberFormat="1" applyFont="1" applyBorder="1" applyAlignment="1">
      <alignment horizontal="center" vertical="center"/>
    </xf>
    <xf numFmtId="180" fontId="11" fillId="8" borderId="1" xfId="0" applyNumberFormat="1" applyFont="1" applyFill="1" applyBorder="1" applyAlignment="1">
      <alignment horizontal="center" vertical="center"/>
    </xf>
    <xf numFmtId="182" fontId="35" fillId="0" borderId="1" xfId="0" applyNumberFormat="1" applyFont="1" applyBorder="1" applyAlignment="1">
      <alignment horizontal="center" vertical="center"/>
    </xf>
    <xf numFmtId="186" fontId="11" fillId="0" borderId="1" xfId="0" applyNumberFormat="1" applyFont="1" applyBorder="1" applyAlignment="1">
      <alignment horizontal="center" vertical="center"/>
    </xf>
    <xf numFmtId="183" fontId="18"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8" fillId="0" borderId="1" xfId="0" applyFont="1" applyBorder="1" applyAlignment="1">
      <alignment horizontal="center" vertical="center"/>
    </xf>
    <xf numFmtId="0" fontId="51" fillId="0" borderId="1" xfId="0" applyFont="1" applyBorder="1" applyAlignment="1">
      <alignment horizontal="center" vertical="center"/>
    </xf>
    <xf numFmtId="0" fontId="4" fillId="8" borderId="0" xfId="0" applyFont="1" applyFill="1" applyAlignment="1">
      <alignment horizontal="left" vertical="center" wrapText="1" indent="1"/>
    </xf>
    <xf numFmtId="0" fontId="6" fillId="0" borderId="2" xfId="0" applyFont="1" applyBorder="1" applyAlignment="1">
      <alignment horizontal="left" vertical="center" wrapText="1" indent="1"/>
    </xf>
    <xf numFmtId="0" fontId="23" fillId="0" borderId="2" xfId="0" applyFont="1" applyBorder="1" applyAlignment="1">
      <alignment horizontal="left" vertical="center" wrapText="1" indent="1"/>
    </xf>
    <xf numFmtId="0" fontId="6" fillId="6" borderId="2" xfId="0" applyFont="1" applyFill="1" applyBorder="1" applyAlignment="1">
      <alignment horizontal="left" vertical="center" wrapText="1" indent="1"/>
    </xf>
    <xf numFmtId="0" fontId="23" fillId="6" borderId="2" xfId="0" applyFont="1" applyFill="1" applyBorder="1" applyAlignment="1">
      <alignment horizontal="left" vertical="center" wrapText="1" indent="1"/>
    </xf>
    <xf numFmtId="0" fontId="3" fillId="4" borderId="0" xfId="0" applyFont="1" applyFill="1" applyAlignment="1">
      <alignment horizontal="left" vertical="center" indent="1"/>
    </xf>
    <xf numFmtId="0" fontId="8" fillId="7" borderId="3" xfId="0" applyFont="1" applyFill="1" applyBorder="1" applyAlignment="1">
      <alignment horizontal="center" vertical="center" wrapText="1"/>
    </xf>
    <xf numFmtId="0" fontId="6" fillId="0" borderId="2" xfId="0" applyFont="1" applyBorder="1" applyAlignment="1">
      <alignment horizontal="left" vertical="center" indent="1"/>
    </xf>
    <xf numFmtId="0" fontId="6" fillId="0" borderId="2" xfId="0" applyFont="1" applyBorder="1" applyAlignment="1">
      <alignment horizontal="center" vertical="center"/>
    </xf>
    <xf numFmtId="0" fontId="37" fillId="4" borderId="2" xfId="0" applyFont="1" applyFill="1" applyBorder="1" applyAlignment="1">
      <alignment horizontal="left" vertical="center" indent="1"/>
    </xf>
    <xf numFmtId="0" fontId="37" fillId="2" borderId="2" xfId="0" applyFont="1" applyFill="1" applyBorder="1" applyAlignment="1">
      <alignment horizontal="left" vertical="center" indent="1"/>
    </xf>
    <xf numFmtId="0" fontId="56" fillId="8" borderId="2" xfId="0" applyFont="1" applyFill="1" applyBorder="1" applyAlignment="1">
      <alignment horizontal="center" vertical="center"/>
    </xf>
    <xf numFmtId="0" fontId="4" fillId="3" borderId="0" xfId="0" applyFont="1" applyFill="1" applyAlignment="1">
      <alignment horizontal="left" vertical="center" wrapText="1" indent="1"/>
    </xf>
    <xf numFmtId="0" fontId="9" fillId="12" borderId="2" xfId="0" applyFont="1" applyFill="1" applyBorder="1" applyAlignment="1">
      <alignment horizontal="left" vertical="center" indent="1"/>
    </xf>
    <xf numFmtId="0" fontId="9" fillId="8" borderId="2" xfId="0" applyFont="1" applyFill="1" applyBorder="1" applyAlignment="1">
      <alignment horizontal="left" vertical="center" wrapText="1" indent="1"/>
    </xf>
    <xf numFmtId="0" fontId="9" fillId="0" borderId="2" xfId="0" applyFont="1" applyBorder="1" applyAlignment="1">
      <alignment horizontal="left" vertical="top" wrapText="1"/>
    </xf>
    <xf numFmtId="0" fontId="6" fillId="0" borderId="2" xfId="0" applyFont="1" applyBorder="1" applyAlignment="1">
      <alignment horizontal="left" vertical="top" wrapText="1"/>
    </xf>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4" fillId="11" borderId="0" xfId="0" applyFont="1" applyFill="1" applyAlignment="1">
      <alignment horizontal="left" vertical="center" wrapText="1" indent="1"/>
    </xf>
    <xf numFmtId="0" fontId="4" fillId="6" borderId="0" xfId="0" applyFont="1" applyFill="1" applyAlignment="1">
      <alignment horizontal="left" vertical="center" wrapText="1" indent="1"/>
    </xf>
    <xf numFmtId="0" fontId="3" fillId="9" borderId="0" xfId="0" applyFont="1" applyFill="1" applyAlignment="1">
      <alignment horizontal="left" vertical="center" indent="1"/>
    </xf>
    <xf numFmtId="0" fontId="7" fillId="10" borderId="4" xfId="0" applyFont="1" applyFill="1" applyBorder="1" applyAlignment="1">
      <alignment horizontal="center" vertical="center" wrapText="1"/>
    </xf>
    <xf numFmtId="0" fontId="6" fillId="0" borderId="2" xfId="0" applyFont="1" applyBorder="1" applyAlignment="1">
      <alignment horizontal="left" vertical="center" wrapText="1"/>
    </xf>
    <xf numFmtId="0" fontId="11" fillId="0" borderId="2" xfId="0" applyFont="1" applyBorder="1" applyAlignment="1">
      <alignment horizontal="center" vertical="center"/>
    </xf>
    <xf numFmtId="0" fontId="6" fillId="0" borderId="2" xfId="0" applyFont="1" applyBorder="1" applyAlignment="1">
      <alignment horizontal="center" vertical="center" wrapText="1"/>
    </xf>
    <xf numFmtId="0" fontId="9" fillId="0" borderId="2" xfId="0" applyFont="1" applyBorder="1" applyAlignment="1">
      <alignment horizontal="left" vertical="center" indent="1"/>
    </xf>
    <xf numFmtId="0" fontId="6" fillId="14" borderId="2" xfId="0" applyFont="1" applyFill="1" applyBorder="1" applyAlignment="1">
      <alignment horizontal="center" vertical="center"/>
    </xf>
    <xf numFmtId="0" fontId="46" fillId="0" borderId="2" xfId="0" applyFont="1" applyBorder="1" applyAlignment="1">
      <alignment horizontal="left" vertical="center" wrapText="1"/>
    </xf>
    <xf numFmtId="0" fontId="24" fillId="0" borderId="2" xfId="0" applyFont="1" applyBorder="1" applyAlignment="1">
      <alignment horizontal="left" vertical="center" indent="1"/>
    </xf>
    <xf numFmtId="0" fontId="37" fillId="15" borderId="0" xfId="0" applyFont="1" applyFill="1" applyAlignment="1">
      <alignment horizontal="left" vertical="center" indent="1"/>
    </xf>
    <xf numFmtId="0" fontId="3" fillId="2" borderId="0" xfId="0" applyFont="1" applyFill="1" applyAlignment="1">
      <alignment horizontal="left" vertical="center" indent="1"/>
    </xf>
    <xf numFmtId="0" fontId="4" fillId="12" borderId="0" xfId="0" applyFont="1" applyFill="1" applyAlignment="1">
      <alignment horizontal="left" vertical="center" wrapText="1" indent="1"/>
    </xf>
    <xf numFmtId="0" fontId="23" fillId="0" borderId="2" xfId="0" applyFont="1" applyBorder="1" applyAlignment="1">
      <alignment horizontal="left" vertical="center" indent="1"/>
    </xf>
    <xf numFmtId="0" fontId="23" fillId="0" borderId="2" xfId="0" applyFont="1" applyBorder="1" applyAlignment="1">
      <alignment horizontal="left" vertical="center" wrapText="1"/>
    </xf>
    <xf numFmtId="0" fontId="42" fillId="0" borderId="2" xfId="0" applyFont="1" applyBorder="1" applyAlignment="1">
      <alignment horizontal="left" vertical="center" wrapText="1"/>
    </xf>
    <xf numFmtId="0" fontId="41" fillId="0" borderId="2" xfId="0" applyFont="1" applyBorder="1" applyAlignment="1">
      <alignment horizontal="left" vertical="center" indent="1"/>
    </xf>
    <xf numFmtId="0" fontId="32" fillId="3" borderId="2" xfId="0" applyFont="1" applyFill="1" applyBorder="1" applyAlignment="1">
      <alignment horizontal="left" vertical="center" wrapText="1"/>
    </xf>
    <xf numFmtId="0" fontId="23" fillId="6" borderId="2" xfId="0" applyFont="1" applyFill="1" applyBorder="1" applyAlignment="1">
      <alignment horizontal="left" vertical="center" wrapText="1"/>
    </xf>
    <xf numFmtId="0" fontId="2" fillId="3" borderId="0" xfId="0" applyFont="1" applyFill="1" applyAlignment="1">
      <alignment horizontal="left" vertical="center" indent="1"/>
    </xf>
    <xf numFmtId="0" fontId="20" fillId="0" borderId="2" xfId="0" applyFont="1" applyBorder="1" applyAlignment="1">
      <alignment horizontal="center" vertical="center" wrapText="1"/>
    </xf>
    <xf numFmtId="0" fontId="42" fillId="0" borderId="2" xfId="0" applyFont="1" applyBorder="1" applyAlignment="1">
      <alignment horizontal="left" vertical="center" wrapText="1" indent="1"/>
    </xf>
    <xf numFmtId="0" fontId="6" fillId="6" borderId="2" xfId="0" applyFont="1" applyFill="1" applyBorder="1" applyAlignment="1">
      <alignment horizontal="left" vertical="top" wrapText="1"/>
    </xf>
    <xf numFmtId="0" fontId="9" fillId="0" borderId="2" xfId="0" applyFont="1" applyBorder="1" applyAlignment="1">
      <alignment horizontal="left" vertical="center" wrapText="1" indent="1"/>
    </xf>
    <xf numFmtId="0" fontId="6" fillId="6" borderId="2" xfId="0" applyFont="1" applyFill="1" applyBorder="1" applyAlignment="1">
      <alignment horizontal="left" vertical="center" indent="1"/>
    </xf>
    <xf numFmtId="0" fontId="7" fillId="0" borderId="2" xfId="0" applyFont="1" applyBorder="1" applyAlignment="1">
      <alignment horizontal="center" vertical="center" wrapText="1"/>
    </xf>
    <xf numFmtId="0" fontId="8" fillId="0" borderId="2" xfId="0" applyFont="1" applyBorder="1" applyAlignment="1">
      <alignment horizontal="left" vertical="top" wrapText="1"/>
    </xf>
    <xf numFmtId="0" fontId="17" fillId="0" borderId="2" xfId="0" applyFont="1" applyBorder="1" applyAlignment="1">
      <alignment horizontal="left" vertical="top" wrapText="1"/>
    </xf>
    <xf numFmtId="0" fontId="9" fillId="6" borderId="2" xfId="0" applyFont="1" applyFill="1" applyBorder="1" applyAlignment="1">
      <alignment horizontal="left" vertical="center" wrapText="1" indent="1"/>
    </xf>
    <xf numFmtId="0" fontId="36" fillId="0" borderId="2" xfId="0" applyFont="1" applyBorder="1" applyAlignment="1">
      <alignment horizontal="left" vertical="center" wrapText="1" indent="1"/>
    </xf>
    <xf numFmtId="0" fontId="6" fillId="0" borderId="2" xfId="0" applyFont="1" applyBorder="1" applyAlignment="1">
      <alignment horizontal="left" vertical="top" wrapText="1" indent="1"/>
    </xf>
    <xf numFmtId="0" fontId="17" fillId="0" borderId="2" xfId="0" applyFont="1" applyBorder="1" applyAlignment="1">
      <alignment horizontal="left" vertical="center" indent="1"/>
    </xf>
    <xf numFmtId="0" fontId="8" fillId="0" borderId="2" xfId="0" applyFont="1" applyBorder="1" applyAlignment="1">
      <alignment horizontal="left" vertical="center" indent="1"/>
    </xf>
    <xf numFmtId="0" fontId="3" fillId="16" borderId="0" xfId="0" applyFont="1" applyFill="1" applyAlignment="1">
      <alignment horizontal="left" vertical="center" indent="1"/>
    </xf>
    <xf numFmtId="0" fontId="60" fillId="17" borderId="4" xfId="0" applyFont="1" applyFill="1" applyBorder="1" applyAlignment="1">
      <alignment horizontal="center" vertical="center" wrapText="1"/>
    </xf>
    <xf numFmtId="0" fontId="60" fillId="17" borderId="4" xfId="0" applyFont="1" applyFill="1" applyBorder="1" applyAlignment="1">
      <alignment horizontal="center" vertical="center" wrapText="1"/>
    </xf>
    <xf numFmtId="0" fontId="60" fillId="17" borderId="1" xfId="0" applyFont="1" applyFill="1" applyBorder="1" applyAlignment="1">
      <alignment horizontal="left" vertical="center" wrapText="1" indent="1"/>
    </xf>
    <xf numFmtId="0" fontId="4" fillId="17" borderId="0" xfId="0" applyFont="1" applyFill="1" applyAlignment="1">
      <alignment horizontal="left" vertical="center" wrapText="1" indent="1"/>
    </xf>
    <xf numFmtId="0" fontId="4" fillId="17" borderId="0" xfId="0" applyFont="1" applyFill="1" applyAlignment="1">
      <alignment horizontal="left" vertical="center" wrapText="1" indent="1"/>
    </xf>
    <xf numFmtId="0" fontId="2" fillId="17" borderId="0" xfId="0" applyFont="1" applyFill="1" applyAlignment="1">
      <alignment horizontal="left" vertical="center" wrapText="1" indent="1"/>
    </xf>
    <xf numFmtId="2" fontId="45" fillId="12" borderId="1" xfId="0" applyNumberFormat="1" applyFont="1" applyFill="1" applyBorder="1" applyAlignment="1">
      <alignment horizontal="center" vertical="center"/>
    </xf>
    <xf numFmtId="188" fontId="45" fillId="12" borderId="1" xfId="0" applyNumberFormat="1" applyFont="1" applyFill="1" applyBorder="1" applyAlignment="1">
      <alignment horizontal="center" vertical="center"/>
    </xf>
    <xf numFmtId="0" fontId="47" fillId="16" borderId="1" xfId="0" applyFont="1" applyFill="1" applyBorder="1" applyAlignment="1">
      <alignment horizontal="left" vertical="center" wrapText="1" indent="1"/>
    </xf>
    <xf numFmtId="189" fontId="48" fillId="16" borderId="1" xfId="0" applyNumberFormat="1" applyFont="1" applyFill="1" applyBorder="1" applyAlignment="1">
      <alignment horizontal="center" vertical="center"/>
    </xf>
    <xf numFmtId="185" fontId="48" fillId="16" borderId="1" xfId="0" applyNumberFormat="1" applyFont="1" applyFill="1" applyBorder="1" applyAlignment="1">
      <alignment horizontal="center" vertical="center"/>
    </xf>
    <xf numFmtId="0" fontId="36" fillId="17" borderId="2" xfId="0" applyFont="1" applyBorder="1" applyAlignment="1" applyFill="1">
      <alignment horizontal="left" vertical="center" wrapText="1" indent="1"/>
    </xf>
    <xf numFmtId="0" fontId="6" fillId="17" borderId="1" xfId="0" applyFont="1" applyFill="1" applyBorder="1" applyAlignment="1">
      <alignment horizontal="left" vertical="center" indent="1"/>
    </xf>
    <xf numFmtId="0" fontId="9" fillId="17" borderId="2" xfId="0" applyFont="1" applyBorder="1" applyAlignment="1" applyFill="1">
      <alignment horizontal="left" vertical="center" wrapText="1" indent="1"/>
    </xf>
    <xf numFmtId="9" fontId="19" fillId="0" borderId="1" xfId="0" applyNumberFormat="1" applyFont="1" applyBorder="1" applyAlignment="1">
      <alignment horizontal="center" vertical="center"/>
    </xf>
    <xf numFmtId="185" fontId="19" fillId="0" borderId="1" xfId="0" applyNumberFormat="1" applyFont="1" applyBorder="1" applyAlignment="1">
      <alignment horizontal="center" vertical="center"/>
    </xf>
    <xf numFmtId="177" fontId="29" fillId="17" borderId="1" xfId="0" applyNumberFormat="1" applyFont="1" applyFill="1" applyBorder="1" applyAlignment="1">
      <alignment horizontal="center" vertical="center"/>
    </xf>
    <xf numFmtId="0" fontId="37" fillId="16" borderId="1" xfId="0" applyFont="1" applyFill="1" applyBorder="1" applyAlignment="1">
      <alignment horizontal="center" vertical="center"/>
    </xf>
    <xf numFmtId="177" fontId="39" fillId="17" borderId="1" xfId="0" applyNumberFormat="1" applyFont="1" applyFill="1" applyBorder="1" applyAlignment="1">
      <alignment horizontal="center" vertical="center"/>
    </xf>
    <xf numFmtId="9" fontId="49" fillId="17" borderId="1" xfId="0" applyNumberFormat="1" applyFont="1" applyFill="1" applyBorder="1" applyAlignment="1">
      <alignment horizontal="center" vertical="center"/>
    </xf>
    <xf numFmtId="9" fontId="39" fillId="17" borderId="1" xfId="0" applyNumberFormat="1" applyFont="1" applyFill="1" applyBorder="1" applyAlignment="1">
      <alignment horizontal="center" vertical="center"/>
    </xf>
    <xf numFmtId="185" fontId="53" fillId="0" borderId="1" xfId="0" applyNumberFormat="1" applyFont="1" applyBorder="1" applyAlignment="1">
      <alignment horizontal="center" vertical="center"/>
    </xf>
    <xf numFmtId="176" fontId="53" fillId="0" borderId="1" xfId="0" applyNumberFormat="1" applyFont="1" applyBorder="1" applyAlignment="1">
      <alignment horizontal="center" vertical="center"/>
    </xf>
    <xf numFmtId="2" fontId="53" fillId="0" borderId="1" xfId="0" applyNumberFormat="1" applyFont="1" applyBorder="1" applyAlignment="1">
      <alignment horizontal="center" vertical="center"/>
    </xf>
    <xf numFmtId="178" fontId="18" fillId="17" borderId="1" xfId="0" applyNumberFormat="1" applyFont="1" applyBorder="1" applyAlignment="1" applyFill="1">
      <alignment horizontal="center" vertical="center"/>
    </xf>
    <xf numFmtId="0" fontId="6" fillId="17" borderId="2" xfId="0" applyFont="1" applyBorder="1" applyAlignment="1" applyFill="1">
      <alignment horizontal="left" vertical="center" wrapText="1" indent="1"/>
    </xf>
    <xf numFmtId="0" fontId="6" fillId="17" borderId="2" xfId="0" applyFont="1" applyBorder="1" applyAlignment="1" applyFill="1">
      <alignment horizontal="center" vertical="center" wrapText="1"/>
    </xf>
    <xf numFmtId="185" fontId="35" fillId="0" borderId="1" xfId="0" applyNumberFormat="1" applyFont="1" applyBorder="1" applyAlignment="1">
      <alignment horizontal="center" vertical="center"/>
    </xf>
    <xf numFmtId="178" fontId="35" fillId="0" borderId="1" xfId="0" applyNumberFormat="1" applyFont="1" applyBorder="1" applyAlignment="1">
      <alignment horizontal="center" vertical="center"/>
    </xf>
    <xf numFmtId="178" fontId="19" fillId="0" borderId="1" xfId="0" applyNumberFormat="1" applyFont="1" applyBorder="1" applyAlignment="1">
      <alignment horizontal="center" vertical="center"/>
    </xf>
    <xf numFmtId="190" fontId="60" fillId="17" borderId="4" xfId="0" applyFont="1" applyFill="1" applyBorder="1" applyAlignment="1" applyNumberFormat="1">
      <alignment horizontal="center" vertical="center" wrapText="1"/>
    </xf>
    <xf numFmtId="191" fontId="6" fillId="17" borderId="1" xfId="0" applyFont="1" applyFill="1" applyBorder="1" applyAlignment="1" applyNumberFormat="1">
      <alignment horizontal="left" vertical="center" indent="1"/>
    </xf>
    <xf numFmtId="192" fontId="35" fillId="0" borderId="1" xfId="0" applyNumberFormat="1" applyFont="1" applyBorder="1" applyAlignment="1">
      <alignment horizontal="center" vertical="center"/>
    </xf>
    <xf numFmtId="0" fontId="60" fillId="17" borderId="1" xfId="0" applyFont="1" applyFill="1" applyBorder="1" applyAlignment="1">
      <alignment horizontal="center" vertical="center"/>
    </xf>
    <xf numFmtId="0" fontId="8" fillId="17" borderId="1" xfId="0" applyFont="1" applyBorder="1" applyAlignment="1" applyFill="1">
      <alignment horizontal="center" vertical="center"/>
    </xf>
    <xf numFmtId="188" fontId="35" fillId="0" borderId="1" xfId="0" applyNumberFormat="1" applyFont="1" applyBorder="1" applyAlignment="1">
      <alignment horizontal="center" vertical="center"/>
    </xf>
    <xf numFmtId="176" fontId="19" fillId="0" borderId="1" xfId="0" applyNumberFormat="1" applyFont="1" applyBorder="1" applyAlignment="1">
      <alignment horizontal="center" vertical="center"/>
    </xf>
    <xf numFmtId="9" fontId="6" fillId="0" borderId="1" xfId="0" applyNumberFormat="1" applyFont="1" applyBorder="1" applyAlignment="1">
      <alignment horizontal="center" vertical="center"/>
    </xf>
    <xf numFmtId="0" fontId="2" fillId="17" borderId="0" xfId="0" applyFont="1" applyFill="1" applyAlignment="1">
      <alignment horizontal="left" vertical="center" indent="1"/>
    </xf>
    <xf numFmtId="0" fontId="2" fillId="17" borderId="0" xfId="0" applyFont="1" applyFill="1" applyAlignment="1">
      <alignment horizontal="left" vertical="center" indent="1" wrapText="1"/>
    </xf>
    <xf numFmtId="0" fontId="4" fillId="17" borderId="0" xfId="0" applyFont="1" applyFill="1" applyAlignment="1">
      <alignment horizontal="left" vertical="center" wrapText="1" indent="1"/>
    </xf>
    <xf numFmtId="0" fontId="46" fillId="17" borderId="2" xfId="0" applyFont="1" applyBorder="1" applyAlignment="1" applyFill="1">
      <alignment horizontal="left" vertical="center" wrapText="1"/>
    </xf>
    <xf numFmtId="0" fontId="3" fillId="16" borderId="0" xfId="0" applyFont="1" applyFill="1" applyAlignment="1">
      <alignment horizontal="left" vertical="center" indent="1"/>
    </xf>
    <xf numFmtId="0" fontId="7" fillId="17" borderId="4" xfId="0" applyFont="1" applyFill="1" applyBorder="1" applyAlignment="1">
      <alignment horizontal="center" vertical="center" wrapText="1"/>
    </xf>
    <xf numFmtId="177" fontId="35" fillId="17" borderId="1" xfId="0" applyNumberFormat="1" applyFont="1" applyBorder="1" applyAlignment="1" applyFill="1">
      <alignment horizontal="center" vertical="center"/>
    </xf>
    <xf numFmtId="0" fontId="20" fillId="17" borderId="1" xfId="0" applyFont="1" applyBorder="1" applyAlignment="1" applyFill="1">
      <alignment horizontal="center" vertical="center" wrapText="1"/>
    </xf>
    <xf numFmtId="177" fontId="19" fillId="17" borderId="1" xfId="0" applyNumberFormat="1" applyFont="1" applyBorder="1" applyAlignment="1" applyFill="1">
      <alignment horizontal="center" vertical="center"/>
    </xf>
    <xf numFmtId="177" fontId="57" fillId="17" borderId="1" xfId="0" applyNumberFormat="1" applyFont="1" applyBorder="1" applyAlignment="1" applyFill="1">
      <alignment horizontal="center" vertical="center"/>
    </xf>
    <xf numFmtId="0" fontId="20" fillId="17" borderId="2" xfId="0" applyFont="1" applyBorder="1" applyAlignment="1" applyFill="1">
      <alignment horizontal="center" vertical="center" wrapText="1"/>
    </xf>
    <xf numFmtId="0" fontId="37" fillId="16" borderId="1" xfId="0" applyFont="1" applyFill="1" applyBorder="1" applyAlignment="1">
      <alignment horizontal="center" vertical="center" wrapText="1"/>
    </xf>
    <xf numFmtId="0" fontId="23" fillId="17" borderId="2" xfId="0" applyFont="1" applyBorder="1" applyAlignment="1" applyFill="1">
      <alignment horizontal="left" vertical="center" wrapText="1" indent="1"/>
    </xf>
    <xf numFmtId="0" fontId="9" fillId="17" borderId="2" xfId="0" applyFont="1" applyFill="1" applyBorder="1" applyAlignment="1">
      <alignment horizontal="left" vertical="center" wrapText="1" indent="1"/>
    </xf>
    <xf numFmtId="0" fontId="23" fillId="17" borderId="2" xfId="0" applyFont="1" applyFill="1" applyBorder="1" applyAlignment="1">
      <alignment horizontal="left" vertical="center" wrapText="1" indent="1"/>
    </xf>
    <xf numFmtId="0" fontId="6" fillId="17" borderId="1" xfId="0" applyFont="1" applyBorder="1" applyAlignment="1" applyFill="1">
      <alignment horizontal="left" vertical="center" wrapText="1" indent="1"/>
    </xf>
    <xf numFmtId="177" fontId="11" fillId="17" borderId="1" xfId="0" applyNumberFormat="1" applyFont="1" applyBorder="1" applyAlignment="1" applyFill="1">
      <alignment horizontal="center" vertical="center"/>
    </xf>
    <xf numFmtId="0" fontId="4" fillId="17" borderId="0" xfId="0" applyFont="1" applyFill="1" applyAlignment="1">
      <alignment horizontal="left" vertical="center" wrapText="1" indent="1"/>
    </xf>
    <xf numFmtId="0" fontId="3" fillId="16" borderId="0" xfId="0" applyFont="1" applyFill="1" applyAlignment="1">
      <alignment horizontal="left" vertical="center" indent="1"/>
    </xf>
    <xf numFmtId="0" fontId="6" fillId="17" borderId="2" xfId="0" applyFont="1" applyBorder="1" applyAlignment="1" applyFill="1">
      <alignment horizontal="left" vertical="top" wrapText="1"/>
    </xf>
    <xf numFmtId="0" fontId="21" fillId="17" borderId="1" xfId="0" applyFont="1" applyFill="1" applyBorder="1" applyAlignment="1">
      <alignment horizontal="center" vertical="center"/>
    </xf>
    <xf numFmtId="0" fontId="9" fillId="17" borderId="2" xfId="0" applyFont="1" applyBorder="1" applyAlignment="1" applyFill="1">
      <alignment horizontal="left" vertical="top" wrapText="1"/>
    </xf>
    <xf numFmtId="0" fontId="4" fillId="17" borderId="0" xfId="0" applyFont="1" applyFill="1" applyAlignment="1">
      <alignment horizontal="left" vertical="center" wrapText="1" indent="1"/>
    </xf>
    <xf numFmtId="1" fontId="19" fillId="17" borderId="1" xfId="0" applyNumberFormat="1" applyFont="1" applyBorder="1" applyAlignment="1" applyFill="1">
      <alignment horizontal="center" vertical="center"/>
    </xf>
    <xf numFmtId="0" fontId="8" fillId="17" borderId="3" xfId="0" applyFont="1" applyFill="1" applyBorder="1" applyAlignment="1">
      <alignment horizontal="center" vertical="center" wrapText="1"/>
    </xf>
    <xf numFmtId="186" fontId="40" fillId="17" borderId="1" xfId="0" applyNumberFormat="1" applyFont="1" applyBorder="1" applyAlignment="1" applyFill="1">
      <alignment horizontal="center" vertical="center"/>
    </xf>
    <xf numFmtId="186" fontId="24" fillId="17" borderId="1" xfId="0" applyNumberFormat="1" applyFont="1" applyBorder="1" applyAlignment="1" applyFill="1">
      <alignment horizontal="center" vertical="center"/>
    </xf>
    <xf numFmtId="0" fontId="6" fillId="17" borderId="2" xfId="0" applyFont="1" applyBorder="1" applyAlignment="1" applyFill="1">
      <alignment horizontal="left" vertical="top" wrapText="1" indent="1"/>
    </xf>
    <xf numFmtId="0" fontId="32" fillId="17" borderId="2" xfId="0" applyFont="1" applyFill="1" applyBorder="1" applyAlignment="1">
      <alignment horizontal="left" vertical="center" wrapText="1"/>
    </xf>
    <xf numFmtId="0" fontId="23" fillId="17" borderId="2" xfId="0" applyFont="1" applyBorder="1" applyAlignment="1" applyFill="1">
      <alignment horizontal="left" vertical="center" wrapText="1"/>
    </xf>
    <xf numFmtId="0" fontId="23" fillId="17" borderId="2" xfId="0" applyFont="1" applyFill="1" applyBorder="1" applyAlignment="1">
      <alignment horizontal="left" vertical="center" wrapText="1"/>
    </xf>
    <xf numFmtId="0" fontId="9" fillId="17" borderId="1" xfId="0" applyFont="1" applyFill="1" applyBorder="1" applyAlignment="1">
      <alignment horizontal="left" vertical="center" wrapText="1"/>
    </xf>
    <xf numFmtId="180" fontId="61" fillId="17" borderId="1" xfId="0" applyNumberFormat="1" applyFont="1" applyFill="1" applyBorder="1" applyAlignment="1">
      <alignment horizontal="center" vertical="center"/>
    </xf>
    <xf numFmtId="0" fontId="4" fillId="17" borderId="0" xfId="0" applyFont="1" applyFill="1" applyAlignment="1">
      <alignment horizontal="left" vertical="center" wrapText="1" indent="1"/>
    </xf>
    <xf numFmtId="0" fontId="6" fillId="17" borderId="1" xfId="0" applyFont="1" applyFill="1" applyBorder="1" applyAlignment="1">
      <alignment horizontal="left" vertical="center" wrapText="1" indent="1"/>
    </xf>
    <xf numFmtId="0" fontId="6" fillId="17" borderId="1" xfId="0" applyFont="1" applyFill="1" applyBorder="1" applyAlignment="1">
      <alignment horizontal="left" vertical="center" wrapText="1" indent="1"/>
    </xf>
    <xf numFmtId="0" fontId="15" fillId="17" borderId="1" xfId="0" applyFont="1" applyBorder="1" applyAlignment="1" applyFill="1">
      <alignment horizontal="center" vertical="center"/>
    </xf>
    <xf numFmtId="0" fontId="6" fillId="17" borderId="2" xfId="0" applyFont="1" applyBorder="1" applyAlignment="1" applyFill="1">
      <alignment horizontal="center" vertical="center"/>
    </xf>
    <xf numFmtId="0" fontId="42" fillId="17" borderId="2" xfId="0" applyFont="1" applyBorder="1" applyAlignment="1" applyFill="1">
      <alignment horizontal="left" vertical="center" wrapText="1" indent="1"/>
    </xf>
    <xf numFmtId="0" fontId="6" fillId="17" borderId="2" xfId="0" applyFont="1" applyFill="1" applyBorder="1" applyAlignment="1">
      <alignment horizontal="left" vertical="top" wrapText="1"/>
    </xf>
    <xf numFmtId="0" fontId="6" fillId="17" borderId="2" xfId="0" applyFont="1" applyFill="1" applyBorder="1" applyAlignment="1">
      <alignment horizontal="left" vertical="center" wrapText="1" indent="1"/>
    </xf>
    <xf numFmtId="0" fontId="6" fillId="17" borderId="2" xfId="0" applyFont="1" applyFill="1" applyBorder="1" applyAlignment="1">
      <alignment horizontal="left" vertical="center" wrapText="1" indent="1"/>
    </xf>
    <xf numFmtId="177" fontId="16" fillId="17" borderId="1" xfId="0" applyNumberFormat="1" applyFont="1" applyFill="1" applyBorder="1" applyAlignment="1">
      <alignment horizontal="center" vertical="center"/>
    </xf>
    <xf numFmtId="0" fontId="23" fillId="17" borderId="2" xfId="0" applyFont="1" applyFill="1" applyBorder="1" applyAlignment="1">
      <alignment horizontal="left" vertical="center" wrapText="1" indent="1"/>
    </xf>
    <xf numFmtId="176" fontId="62" fillId="17" borderId="1" xfId="0" applyNumberFormat="1" applyFont="1" applyBorder="1" applyAlignment="1" applyFill="1">
      <alignment horizontal="center" vertical="center"/>
    </xf>
    <xf numFmtId="0" fontId="6" fillId="17" borderId="1" xfId="0" applyFont="1" applyBorder="1" applyAlignment="1" applyFill="1">
      <alignment horizontal="left" vertical="center" indent="1"/>
    </xf>
    <xf numFmtId="176" fontId="12" fillId="17" borderId="1" xfId="0" applyNumberFormat="1" applyFont="1" applyBorder="1" applyAlignment="1" applyFill="1">
      <alignment horizontal="center" vertical="center"/>
    </xf>
    <xf numFmtId="0" fontId="17" fillId="17" borderId="1" xfId="0" applyFont="1" applyBorder="1" applyAlignment="1" applyFill="1">
      <alignment horizontal="center" vertical="center"/>
    </xf>
    <xf numFmtId="177" fontId="16" fillId="17" borderId="1" xfId="0" applyNumberFormat="1" applyFont="1" applyBorder="1" applyAlignment="1" applyFill="1">
      <alignment horizontal="center" vertical="center"/>
    </xf>
    <xf numFmtId="0" fontId="54" fillId="17" borderId="1" xfId="0" applyFont="1" applyFill="1" applyBorder="1" applyAlignment="1">
      <alignment horizontal="center" vertical="center"/>
    </xf>
    <xf numFmtId="0" fontId="9" fillId="17" borderId="1" xfId="0" applyFont="1" applyBorder="1" applyAlignment="1" applyFill="1">
      <alignment horizontal="left" vertical="center" wrapText="1" indent="1"/>
    </xf>
    <xf numFmtId="0" fontId="7" fillId="17" borderId="1" xfId="0" applyFont="1" applyFill="1" applyBorder="1" applyAlignment="1">
      <alignment horizontal="center" vertical="center"/>
    </xf>
    <xf numFmtId="0" fontId="51" fillId="17" borderId="1" xfId="0" applyFont="1" applyBorder="1" applyAlignment="1" applyFill="1">
      <alignment horizontal="center" vertical="center"/>
    </xf>
    <xf numFmtId="0" fontId="3" fillId="18" borderId="0" xfId="0" applyFont="1" applyFill="1" applyAlignment="1">
      <alignment horizontal="left" vertical="center" indent="1"/>
    </xf>
    <xf numFmtId="0" fontId="47" fillId="18" borderId="1" xfId="0" applyFont="1" applyFill="1" applyBorder="1" applyAlignment="1">
      <alignment horizontal="left" vertical="center" wrapText="1" indent="1"/>
    </xf>
    <xf numFmtId="0" fontId="63" fillId="19" borderId="4" xfId="0" applyFont="1" applyFill="1" applyBorder="1" applyAlignment="1">
      <alignment horizontal="center" vertical="center" wrapText="1"/>
    </xf>
    <xf numFmtId="0" fontId="63" fillId="19" borderId="4" xfId="0" applyFont="1" applyFill="1" applyBorder="1" applyAlignment="1">
      <alignment horizontal="center" vertical="center" wrapText="1"/>
    </xf>
    <xf numFmtId="0" fontId="63" fillId="19" borderId="1" xfId="0" applyFont="1" applyFill="1" applyBorder="1" applyAlignment="1">
      <alignment horizontal="left" vertical="center" wrapText="1" indent="1"/>
    </xf>
    <xf numFmtId="0" fontId="4" fillId="19" borderId="0" xfId="0" applyFont="1" applyFill="1" applyAlignment="1">
      <alignment horizontal="left" vertical="center" wrapText="1" indent="1"/>
    </xf>
    <xf numFmtId="0" fontId="2" fillId="19" borderId="0" xfId="0" applyFont="1" applyFill="1" applyAlignment="1">
      <alignment horizontal="left" vertical="center" wrapText="1" indent="1"/>
    </xf>
    <xf numFmtId="2" fontId="45" fillId="12" borderId="1" xfId="0" applyNumberFormat="1" applyFont="1" applyFill="1" applyBorder="1" applyAlignment="1">
      <alignment horizontal="center" vertical="center"/>
    </xf>
    <xf numFmtId="0" fontId="36" fillId="19" borderId="2" xfId="0" applyFont="1" applyBorder="1" applyAlignment="1" applyFill="1">
      <alignment horizontal="left" vertical="center" wrapText="1" indent="1"/>
    </xf>
    <xf numFmtId="0" fontId="6" fillId="19" borderId="1" xfId="0" applyFont="1" applyFill="1" applyBorder="1" applyAlignment="1">
      <alignment horizontal="left" vertical="center" indent="1" wrapText="1"/>
    </xf>
    <xf numFmtId="0" fontId="9" fillId="19" borderId="2" xfId="0" applyFont="1" applyBorder="1" applyAlignment="1" applyFill="1">
      <alignment horizontal="left" vertical="center" wrapText="1" indent="1"/>
    </xf>
    <xf numFmtId="193" fontId="53" fillId="0" borderId="1" xfId="0" applyNumberFormat="1" applyFont="1" applyBorder="1" applyAlignment="1">
      <alignment horizontal="center" vertical="center"/>
    </xf>
    <xf numFmtId="9" fontId="19" fillId="0" borderId="1" xfId="0" applyNumberFormat="1" applyFont="1" applyBorder="1" applyAlignment="1">
      <alignment horizontal="center" vertical="center"/>
    </xf>
    <xf numFmtId="178" fontId="19" fillId="0" borderId="1" xfId="0" applyNumberFormat="1" applyFont="1" applyBorder="1" applyAlignment="1">
      <alignment horizontal="center" vertical="center"/>
    </xf>
    <xf numFmtId="186" fontId="35" fillId="0" borderId="1" xfId="0" applyNumberFormat="1" applyFont="1" applyBorder="1" applyAlignment="1">
      <alignment horizontal="center" vertical="center"/>
    </xf>
    <xf numFmtId="193" fontId="35" fillId="0" borderId="1" xfId="0" applyNumberFormat="1" applyFont="1" applyBorder="1" applyAlignment="1">
      <alignment horizontal="center" vertical="center"/>
    </xf>
    <xf numFmtId="178" fontId="35" fillId="0" borderId="1" xfId="0" applyNumberFormat="1" applyFont="1" applyBorder="1" applyAlignment="1">
      <alignment horizontal="center" vertical="center"/>
    </xf>
    <xf numFmtId="177" fontId="29" fillId="19" borderId="1" xfId="0" applyNumberFormat="1" applyFont="1" applyFill="1" applyBorder="1" applyAlignment="1">
      <alignment horizontal="center" vertical="center"/>
    </xf>
    <xf numFmtId="9" fontId="29" fillId="19" borderId="1" xfId="0" applyNumberFormat="1" applyFont="1" applyFill="1" applyBorder="1" applyAlignment="1">
      <alignment horizontal="center" vertical="center"/>
    </xf>
    <xf numFmtId="177" fontId="53" fillId="19" borderId="1" xfId="0" applyNumberFormat="1" applyFont="1" applyBorder="1" applyAlignment="1" applyFill="1">
      <alignment horizontal="center" vertical="center"/>
    </xf>
    <xf numFmtId="9" fontId="53" fillId="0" borderId="1" xfId="0" applyNumberFormat="1" applyFont="1" applyBorder="1" applyAlignment="1">
      <alignment horizontal="center" vertical="center"/>
    </xf>
    <xf numFmtId="2" fontId="53" fillId="0" borderId="1" xfId="0" applyNumberFormat="1" applyFont="1" applyBorder="1" applyAlignment="1">
      <alignment horizontal="center" vertical="center"/>
    </xf>
    <xf numFmtId="1" fontId="53" fillId="0" borderId="1" xfId="0" applyNumberFormat="1" applyFont="1" applyBorder="1" applyAlignment="1">
      <alignment horizontal="center" vertical="center"/>
    </xf>
    <xf numFmtId="0" fontId="6" fillId="19" borderId="2" xfId="0" applyFont="1" applyBorder="1" applyAlignment="1" applyFill="1">
      <alignment horizontal="left" vertical="center" wrapText="1" indent="1"/>
    </xf>
    <xf numFmtId="0" fontId="6" fillId="19" borderId="2" xfId="0" applyFont="1" applyBorder="1" applyAlignment="1" applyFill="1">
      <alignment horizontal="center" vertical="center" wrapText="1"/>
    </xf>
    <xf numFmtId="9" fontId="49" fillId="19" borderId="1" xfId="0" applyNumberFormat="1" applyFont="1" applyFill="1" applyBorder="1" applyAlignment="1">
      <alignment horizontal="center" vertical="center"/>
    </xf>
    <xf numFmtId="0" fontId="37" fillId="18" borderId="1" xfId="0" applyFont="1" applyFill="1" applyBorder="1" applyAlignment="1">
      <alignment horizontal="center" vertical="center"/>
    </xf>
    <xf numFmtId="0" fontId="8" fillId="19" borderId="1" xfId="0" applyFont="1" applyBorder="1" applyAlignment="1" applyFill="1">
      <alignment horizontal="center" vertical="center"/>
    </xf>
    <xf numFmtId="0" fontId="63" fillId="19" borderId="1" xfId="0" applyFont="1" applyFill="1" applyBorder="1" applyAlignment="1">
      <alignment horizontal="center" vertical="center"/>
    </xf>
    <xf numFmtId="177" fontId="19" fillId="19" borderId="1" xfId="0" applyNumberFormat="1" applyFont="1" applyFill="1" applyBorder="1" applyAlignment="1">
      <alignment horizontal="center" vertical="center"/>
    </xf>
    <xf numFmtId="177" fontId="19" fillId="19" borderId="1" xfId="0" applyNumberFormat="1" applyFont="1" applyBorder="1" applyAlignment="1" applyFill="1">
      <alignment horizontal="center" vertical="center"/>
    </xf>
    <xf numFmtId="184" fontId="45" fillId="19" borderId="1" xfId="0" applyNumberFormat="1" applyFont="1" applyFill="1" applyBorder="1" applyAlignment="1">
      <alignment horizontal="center" vertical="center"/>
    </xf>
    <xf numFmtId="0" fontId="2" fillId="19" borderId="0" xfId="0" applyFont="1" applyFill="1" applyAlignment="1">
      <alignment horizontal="left" vertical="center" wrapText="1" indent="1"/>
    </xf>
    <xf numFmtId="0" fontId="4" fillId="19" borderId="0" xfId="0" applyFont="1" applyFill="1" applyAlignment="1">
      <alignment horizontal="left" vertical="center" wrapText="1" indent="1"/>
    </xf>
    <xf numFmtId="0" fontId="3" fillId="19" borderId="0" xfId="0" applyFont="1" applyFill="1" applyAlignment="1">
      <alignment horizontal="left" vertical="center" indent="1"/>
    </xf>
    <xf numFmtId="0" fontId="7" fillId="19" borderId="4" xfId="0" applyFont="1" applyFill="1" applyBorder="1" applyAlignment="1">
      <alignment horizontal="center" vertical="center" wrapText="1"/>
    </xf>
    <xf numFmtId="0" fontId="4" fillId="19" borderId="0" xfId="0" applyFont="1" applyFill="1" applyAlignment="1">
      <alignment horizontal="left" vertical="center" wrapText="1" indent="1"/>
    </xf>
    <xf numFmtId="0" fontId="6" fillId="19" borderId="2" xfId="0" applyFont="1" applyBorder="1" applyAlignment="1" applyFill="1">
      <alignment horizontal="left" vertical="top" wrapText="1"/>
    </xf>
    <xf numFmtId="0" fontId="2" fillId="19" borderId="0" xfId="0" applyFont="1" applyFill="1" applyAlignment="1">
      <alignment horizontal="left" vertical="center" indent="1" wrapText="1"/>
    </xf>
    <xf numFmtId="0" fontId="3" fillId="19" borderId="0" xfId="0" applyFont="1" applyFill="1" applyAlignment="1">
      <alignment horizontal="left" vertical="center" indent="1"/>
    </xf>
    <xf numFmtId="0" fontId="32" fillId="19" borderId="2" xfId="0" applyFont="1" applyFill="1" applyBorder="1" applyAlignment="1">
      <alignment horizontal="left" vertical="center" wrapText="1"/>
    </xf>
    <xf numFmtId="0" fontId="41" fillId="19" borderId="2" xfId="0" applyFont="1" applyBorder="1" applyAlignment="1" applyFill="1">
      <alignment horizontal="left" vertical="center" indent="1"/>
    </xf>
    <xf numFmtId="0" fontId="42" fillId="19" borderId="2" xfId="0" applyFont="1" applyBorder="1" applyAlignment="1" applyFill="1">
      <alignment horizontal="left" vertical="center" wrapText="1"/>
    </xf>
    <xf numFmtId="0" fontId="4" fillId="19" borderId="0" xfId="0" applyFont="1" applyFill="1" applyAlignment="1">
      <alignment horizontal="left" vertical="center" wrapText="1" indent="1"/>
    </xf>
    <xf numFmtId="0" fontId="46" fillId="19" borderId="2" xfId="0" applyFont="1" applyBorder="1" applyAlignment="1" applyFill="1">
      <alignment horizontal="left" vertical="center" wrapText="1"/>
    </xf>
    <xf numFmtId="0" fontId="9" fillId="19" borderId="2" xfId="0" applyFont="1" applyBorder="1" applyAlignment="1" applyFill="1">
      <alignment horizontal="left" vertical="center" wrapText="1" indent="1"/>
    </xf>
    <xf numFmtId="0" fontId="23" fillId="19" borderId="2" xfId="0" applyFont="1" applyBorder="1" applyAlignment="1" applyFill="1">
      <alignment horizontal="left" vertical="center" wrapText="1" indent="1"/>
    </xf>
    <xf numFmtId="0" fontId="6" fillId="19" borderId="2" xfId="0" applyFont="1" applyBorder="1" applyAlignment="1" applyFill="1">
      <alignment horizontal="left" vertical="top" wrapText="1"/>
    </xf>
    <xf numFmtId="0" fontId="23" fillId="19" borderId="2" xfId="0" applyFont="1" applyFill="1" applyBorder="1" applyAlignment="1">
      <alignment horizontal="left" vertical="center" wrapText="1" indent="1"/>
    </xf>
    <xf numFmtId="0" fontId="46" fillId="19" borderId="2" xfId="0" applyFont="1" applyBorder="1" applyAlignment="1" applyFill="1">
      <alignment horizontal="left" vertical="center" wrapText="1"/>
    </xf>
    <xf numFmtId="0" fontId="23" fillId="19" borderId="2" xfId="0" applyFont="1" applyBorder="1" applyAlignment="1" applyFill="1">
      <alignment horizontal="left" vertical="center" wrapText="1" indent="1"/>
    </xf>
    <xf numFmtId="0" fontId="2" fillId="19" borderId="0" xfId="0" applyFont="1" applyFill="1" applyAlignment="1">
      <alignment horizontal="left" vertical="center" indent="1"/>
    </xf>
    <xf numFmtId="0" fontId="6" fillId="19" borderId="1" xfId="0" applyFont="1" applyBorder="1" applyAlignment="1" applyFill="1">
      <alignment horizontal="left" vertical="center" wrapText="1" indent="1"/>
    </xf>
    <xf numFmtId="0" fontId="6" fillId="19" borderId="1" xfId="0" applyFont="1" applyBorder="1" applyAlignment="1" applyFill="1">
      <alignment horizontal="left" vertical="center" wrapText="1" indent="1"/>
    </xf>
    <xf numFmtId="0" fontId="6" fillId="19" borderId="2" xfId="0" applyFont="1" applyBorder="1" applyAlignment="1" applyFill="1">
      <alignment horizontal="left" vertical="top" wrapText="1" indent="1"/>
    </xf>
    <xf numFmtId="0" fontId="51" fillId="19" borderId="1" xfId="0" applyFont="1" applyBorder="1" applyAlignment="1" applyFill="1">
      <alignment horizontal="center" vertical="center"/>
    </xf>
    <xf numFmtId="0" fontId="9" fillId="19" borderId="2" xfId="0" applyFont="1" applyBorder="1" applyAlignment="1" applyFill="1">
      <alignment horizontal="left" vertical="center" wrapText="1" indent="1"/>
    </xf>
    <xf numFmtId="0" fontId="4" fillId="19" borderId="0" xfId="0" applyFont="1" applyFill="1" applyAlignment="1">
      <alignment horizontal="left" vertical="center" wrapText="1" indent="1"/>
    </xf>
    <xf numFmtId="0" fontId="36" fillId="19" borderId="2" xfId="0" applyFont="1" applyBorder="1" applyAlignment="1" applyFill="1">
      <alignment horizontal="left" vertical="center" wrapText="1" indent="1"/>
    </xf>
    <xf numFmtId="0" fontId="60" fillId="19" borderId="4" xfId="0" applyFont="1" applyFill="1" applyBorder="1" applyAlignment="1">
      <alignment horizontal="center" vertical="center" wrapText="1"/>
    </xf>
    <xf numFmtId="0" fontId="3" fillId="19" borderId="0" xfId="0" applyFont="1" applyFill="1" applyAlignment="1">
      <alignment horizontal="left" vertical="center" indent="1"/>
    </xf>
    <xf numFmtId="0" fontId="36" fillId="19" borderId="2" xfId="0" applyFont="1" applyBorder="1" applyAlignment="1" applyFill="1">
      <alignment horizontal="left" vertical="center" wrapText="1" indent="1"/>
    </xf>
    <xf numFmtId="0" fontId="1" fillId="19" borderId="0" xfId="0" applyFont="1" applyFill="1" applyAlignment="1">
      <alignment horizontal="left" vertical="center" indent="1"/>
    </xf>
    <xf numFmtId="0" fontId="64" fillId="18" borderId="3" xfId="0" applyFont="1" applyFill="1" applyBorder="1" applyAlignment="1">
      <alignment horizontal="center" vertical="center" wrapText="1"/>
    </xf>
    <xf numFmtId="0" fontId="8" fillId="19" borderId="1" xfId="0" applyFont="1" applyBorder="1" applyAlignment="1" applyFill="1">
      <alignment horizontal="center" vertical="center"/>
    </xf>
  </cellXfs>
  <cellStyles count="1">
    <cellStyle name="常规" xfId="0" builtinId="0"/>
  </cellStyles>
  <dxfs count="0"/>
  <tableStyles count="0" defaultTableStyle="TableStyleMedium2" defaultPivotStyle="PivotStyleLight16"/>
  <colors>
    <indexedColors>
      <rgbColor rgb="FF000000"/>
      <rgbColor rgb="FFFFFFFF"/>
      <rgbColor rgb="FFC00000"/>
      <rgbColor rgb="FF00FF00"/>
      <rgbColor rgb="FF0000FF"/>
      <rgbColor rgb="FFF5F5F5"/>
      <rgbColor rgb="FFFF00FF"/>
      <rgbColor rgb="FF00FFFF"/>
      <rgbColor rgb="FF800000"/>
      <rgbColor rgb="FF008000"/>
      <rgbColor rgb="FF000080"/>
      <rgbColor rgb="FFB35C00"/>
      <rgbColor rgb="FF800080"/>
      <rgbColor rgb="FF44688F"/>
      <rgbColor rgb="FFB7C0CC"/>
      <rgbColor rgb="FF7A7A7A"/>
      <rgbColor rgb="FF9AA7B5"/>
      <rgbColor rgb="FF8E44AD"/>
      <rgbColor rgb="FFFFF4D6"/>
      <rgbColor rgb="FFEAF1FB"/>
      <rgbColor rgb="FF660066"/>
      <rgbColor rgb="FF8A8A8A"/>
      <rgbColor rgb="FF606060"/>
      <rgbColor rgb="FFC9D2DD"/>
      <rgbColor rgb="FF000080"/>
      <rgbColor rgb="FFFF00FF"/>
      <rgbColor rgb="FFE6EAF0"/>
      <rgbColor rgb="FF00FFFF"/>
      <rgbColor rgb="FF800080"/>
      <rgbColor rgb="FF800000"/>
      <rgbColor rgb="FF595959"/>
      <rgbColor rgb="FF0000FF"/>
      <rgbColor rgb="FF00CCFF"/>
      <rgbColor rgb="FFDCE6F2"/>
      <rgbColor rgb="FFE4F0E2"/>
      <rgbColor rgb="FFFDEFE0"/>
      <rgbColor rgb="FFD9D9D9"/>
      <rgbColor rgb="FFFBE7EA"/>
      <rgbColor rgb="FFB0B0B0"/>
      <rgbColor rgb="FFF7E2CC"/>
      <rgbColor rgb="FF4472C4"/>
      <rgbColor rgb="FF33CCCC"/>
      <rgbColor rgb="FF99CC00"/>
      <rgbColor rgb="FFF4F7FB"/>
      <rgbColor rgb="FFE08A1E"/>
      <rgbColor rgb="FFFF6600"/>
      <rgbColor rgb="FF6E6E6E"/>
      <rgbColor rgb="FF909090"/>
      <rgbColor rgb="FF16305B"/>
      <rgbColor rgb="FF2E9B57"/>
      <rgbColor rgb="FF4A4A4A"/>
      <rgbColor rgb="FF404040"/>
      <rgbColor rgb="FFB3202C"/>
      <rgbColor rgb="FFC0392B"/>
      <rgbColor rgb="FF2E5C8A"/>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DRAM × NAND: horizontal adequacy, probability weighted</a:t>
            </a:r>
          </a:p>
        </c:rich>
      </c:tx>
      <c:overlay val="0"/>
      <c:spPr>
        <a:noFill/>
        <a:ln w="0">
          <a:noFill/>
        </a:ln>
      </c:spPr>
    </c:title>
    <c:autoTitleDeleted val="0"/>
    <c:plotArea>
      <c:layout/>
      <c:lineChart>
        <c:grouping val="standard"/>
        <c:varyColors val="0"/>
        <c:ser>
          <c:idx val="0"/>
          <c:order val="0"/>
          <c:tx>
            <c:strRef>
              <c:f>'00-Overview'!$E$55</c:f>
              <c:strCache>
                <c:ptCount val="1"/>
                <c:pt idx="0">
                  <c:v>DRAM stock</c:v>
                </c:pt>
              </c:strCache>
            </c:strRef>
          </c:tx>
          <c:spPr>
            <a:ln w="3816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'00-Overview'!$A$56:$A$58</c:f>
              <c:strCache>
                <c:ptCount val="3"/>
                <c:pt idx="0">
                  <c:v>2026</c:v>
                </c:pt>
                <c:pt idx="1">
                  <c:v>2027</c:v>
                </c:pt>
                <c:pt idx="2">
                  <c:v>2028</c:v>
                </c:pt>
              </c:strCache>
            </c:strRef>
          </c:cat>
          <c:val>
            <c:numRef>
              <c:f>'00-Overview'!$E$56:$E$58</c:f>
              <c:numCache>
                <c:formatCode>0.0%;[Red]\-0.0%;0.0%</c:formatCode>
                <c:ptCount val="3"/>
                <c:pt idx="0">
                  <c:v>-0.1360617840503</c:v>
                </c:pt>
                <c:pt idx="1">
                  <c:v>-0.156827528879081</c:v>
                </c:pt>
                <c:pt idx="2">
                  <c:v>-0.0841245031891783</c:v>
                </c:pt>
              </c:numCache>
            </c:numRef>
          </c:val>
          <c:smooth val="0"/>
          <c:extLst>
            <c:ext xmlns:c16="http://schemas.microsoft.com/office/drawing/2014/chart" uri="{C3380CC4-5D6E-409C-BE32-E72D297353CC}">
              <c16:uniqueId val="{00000000-0C0C-4F34-A238-D132048BCB55}"/>
            </c:ext>
          </c:extLst>
        </c:ser>
        <c:ser>
          <c:idx val="1"/>
          <c:order val="1"/>
          <c:tx>
            <c:strRef>
              <c:f>'00-Overview'!$F$55</c:f>
              <c:strCache>
                <c:ptCount val="1"/>
                <c:pt idx="0">
                  <c:v>NAND stock</c:v>
                </c:pt>
              </c:strCache>
            </c:strRef>
          </c:tx>
          <c:spPr>
            <a:ln w="3816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'00-Overview'!$A$56:$A$58</c:f>
              <c:strCache>
                <c:ptCount val="3"/>
                <c:pt idx="0">
                  <c:v>2026</c:v>
                </c:pt>
                <c:pt idx="1">
                  <c:v>2027</c:v>
                </c:pt>
                <c:pt idx="2">
                  <c:v>2028</c:v>
                </c:pt>
              </c:strCache>
            </c:strRef>
          </c:cat>
          <c:val>
            <c:numRef>
              <c:f>'00-Overview'!$F$56:$F$58</c:f>
              <c:numCache>
                <c:formatCode>0.0%;[Red]\-0.0%;0.0%</c:formatCode>
                <c:ptCount val="3"/>
                <c:pt idx="0">
                  <c:v>-0.0723347834396486</c:v>
                </c:pt>
                <c:pt idx="1">
                  <c:v>-0.0580103628752265</c:v>
                </c:pt>
                <c:pt idx="2">
                  <c:v>0.012515496894063</c:v>
                </c:pt>
              </c:numCache>
            </c:numRef>
          </c:val>
          <c:smooth val="0"/>
          <c:extLst>
            <c:ext xmlns:c16="http://schemas.microsoft.com/office/drawing/2014/chart" uri="{C3380CC4-5D6E-409C-BE32-E72D297353CC}">
              <c16:uniqueId val="{00000001-0C0C-4F34-A238-D132048BCB55}"/>
            </c:ext>
          </c:extLst>
        </c:ser>
        <c:dLbls>
          <c:showLegendKey val="0"/>
          <c:showVal val="0"/>
          <c:showCatName val="0"/>
          <c:showSerName val="0"/>
          <c:showPercent val="0"/>
          <c:showBubbleSize val="0"/>
        </c:dLbls>
        <c:hiLowLines>
          <c:spPr>
            <a:ln w="0">
              <a:noFill/>
            </a:ln>
          </c:spPr>
        </c:hiLowLines>
        <c:marker val="1"/>
        <c:smooth val="0"/>
        <c:axId val="56354506"/>
        <c:axId val="85051026"/>
      </c:lineChart>
      <c:catAx>
        <c:axId val="5635450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85051026"/>
        <c:crosses val="autoZero"/>
        <c:auto val="1"/>
        <c:lblAlgn val="ctr"/>
        <c:lblOffset val="100"/>
        <c:noMultiLvlLbl val="0"/>
      </c:catAx>
      <c:valAx>
        <c:axId val="85051026"/>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635450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Chart 1 · Growth gap across five scenarios (flow basis): below zero is shortage</a:t>
            </a:r>
          </a:p>
        </c:rich>
      </c:tx>
      <c:overlay val="0"/>
      <c:spPr>
        <a:noFill/>
        <a:ln w="0">
          <a:noFill/>
        </a:ln>
      </c:spPr>
    </c:title>
    <c:autoTitleDeleted val="0"/>
    <c:plotArea>
      <c:layout/>
      <c:lineChart>
        <c:grouping val="standard"/>
        <c:varyColors val="0"/>
        <c:ser>
          <c:idx val="0"/>
          <c:order val="0"/>
          <c:tx>
            <c:strRef>
              <c:f>'01-DRAM-Model'!$A$48</c:f>
              <c:strCache>
                <c:ptCount val="1"/>
                <c:pt idx="0">
                  <c:v>S1 Extreme tightness</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'01-DRAM-Model'!$D$48:$F$48</c:f>
              <c:numCache>
                <c:formatCode>0.0%;[Red]\-0.0%;0.0%</c:formatCode>
                <c:ptCount val="3"/>
                <c:pt idx="0">
                  <c:v>-0.125010969195974</c:v>
                </c:pt>
                <c:pt idx="1">
                  <c:v>-0.202815688371965</c:v>
                </c:pt>
                <c:pt idx="2">
                  <c:v>-0.146223409716144</c:v>
                </c:pt>
              </c:numCache>
            </c:numRef>
          </c:val>
          <c:smooth val="0"/>
          <c:extLst>
            <c:ext xmlns:c16="http://schemas.microsoft.com/office/drawing/2014/chart" uri="{C3380CC4-5D6E-409C-BE32-E72D297353CC}">
              <c16:uniqueId val="{00000000-5E3F-43DA-9E04-F20081794DBD}"/>
            </c:ext>
          </c:extLst>
        </c:ser>
        <c:ser>
          <c:idx val="1"/>
          <c:order val="1"/>
          <c:tx>
            <c:strRef>
              <c:f>'01-DRAM-Model'!$A$49</c:f>
              <c:strCache>
                <c:ptCount val="1"/>
                <c:pt idx="0">
                  <c:v>S2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'01-DRAM-Model'!$D$49:$F$49</c:f>
              <c:numCache>
                <c:formatCode>0.0%;[Red]\-0.0%;0.0%</c:formatCode>
                <c:ptCount val="3"/>
                <c:pt idx="0">
                  <c:v>-0.105010969195974</c:v>
                </c:pt>
                <c:pt idx="1">
                  <c:v>-0.101392376794098</c:v>
                </c:pt>
                <c:pt idx="2">
                  <c:v>-0.0211315955109548</c:v>
                </c:pt>
              </c:numCache>
            </c:numRef>
          </c:val>
          <c:smooth val="0"/>
          <c:extLst>
            <c:ext xmlns:c16="http://schemas.microsoft.com/office/drawing/2014/chart" uri="{C3380CC4-5D6E-409C-BE32-E72D297353CC}">
              <c16:uniqueId val="{00000001-5E3F-43DA-9E04-F20081794DBD}"/>
            </c:ext>
          </c:extLst>
        </c:ser>
        <c:ser>
          <c:idx val="2"/>
          <c:order val="2"/>
          <c:tx>
            <c:strRef>
              <c:f>'01-DRAM-Model'!$A$50</c:f>
              <c:strCache>
                <c:ptCount val="1"/>
                <c:pt idx="0">
                  <c:v>S3 Relief</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'01-DRAM-Model'!$D$50:$F$50</c:f>
              <c:numCache>
                <c:formatCode>0.0%;[Red]\-0.0%;0.0%</c:formatCode>
                <c:ptCount val="3"/>
                <c:pt idx="0">
                  <c:v>-0.085010969195974</c:v>
                </c:pt>
                <c:pt idx="1">
                  <c:v>0.0182059958344727</c:v>
                </c:pt>
                <c:pt idx="2">
                  <c:v>0.138017255188453</c:v>
                </c:pt>
              </c:numCache>
            </c:numRef>
          </c:val>
          <c:smooth val="0"/>
          <c:extLst>
            <c:ext xmlns:c16="http://schemas.microsoft.com/office/drawing/2014/chart" uri="{C3380CC4-5D6E-409C-BE32-E72D297353CC}">
              <c16:uniqueId val="{00000002-5E3F-43DA-9E04-F20081794DBD}"/>
            </c:ext>
          </c:extLst>
        </c:ser>
        <c:ser>
          <c:idx val="3"/>
          <c:order val="3"/>
          <c:tx>
            <c:strRef>
              <c:f>'01-DRAM-Model'!$A$51</c:f>
              <c:strCache>
                <c:ptCount val="1"/>
                <c:pt idx="0">
                  <c:v>S4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'01-DRAM-Model'!$D$51:$F$51</c:f>
              <c:numCache>
                <c:formatCode>0.0%;[Red]\-0.0%;0.0%</c:formatCode>
                <c:ptCount val="3"/>
                <c:pt idx="0">
                  <c:v>-0.0650109691959739</c:v>
                </c:pt>
                <c:pt idx="1">
                  <c:v>0.0929870357274054</c:v>
                </c:pt>
                <c:pt idx="2">
                  <c:v>0.244078698646713</c:v>
                </c:pt>
              </c:numCache>
            </c:numRef>
          </c:val>
          <c:smooth val="0"/>
          <c:extLst>
            <c:ext xmlns:c16="http://schemas.microsoft.com/office/drawing/2014/chart" uri="{C3380CC4-5D6E-409C-BE32-E72D297353CC}">
              <c16:uniqueId val="{00000003-5E3F-43DA-9E04-F20081794DBD}"/>
            </c:ext>
          </c:extLst>
        </c:ser>
        <c:ser>
          <c:idx val="4"/>
          <c:order val="4"/>
          <c:tx>
            <c:strRef>
              <c:f>'01-DRAM-Model'!$A$52</c:f>
              <c:strCache>
                <c:ptCount val="1"/>
                <c:pt idx="0">
                  <c:v>S5 Collapse</c:v>
                </c:pt>
              </c:strCache>
            </c:strRef>
          </c:tx>
          <c:spPr>
            <a:ln w="22320">
              <a:solidFill>
                <a:srgbClr val="8E44AD"/>
              </a:solidFill>
              <a:round/>
            </a:ln>
          </c:spPr>
          <c:marker>
            <c:symbol val="circle"/>
            <c:size val="7"/>
            <c:spPr>
              <a:solidFill>
                <a:srgbClr val="8E44AD"/>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'01-DRAM-Model'!$D$52:$F$52</c:f>
              <c:numCache>
                <c:formatCode>0.0%;[Red]\-0.0%;0.0%</c:formatCode>
                <c:ptCount val="3"/>
                <c:pt idx="0">
                  <c:v>-0.00501096919597394</c:v>
                </c:pt>
                <c:pt idx="1">
                  <c:v>0.20907775165108</c:v>
                </c:pt>
                <c:pt idx="2">
                  <c:v>0.527449919366428</c:v>
                </c:pt>
              </c:numCache>
            </c:numRef>
          </c:val>
          <c:smooth val="0"/>
          <c:extLst>
            <c:ext xmlns:c16="http://schemas.microsoft.com/office/drawing/2014/chart" uri="{C3380CC4-5D6E-409C-BE32-E72D297353CC}">
              <c16:uniqueId val="{00000004-5E3F-43DA-9E04-F20081794DBD}"/>
            </c:ext>
          </c:extLst>
        </c:ser>
        <c:ser>
          <c:idx val="5"/>
          <c:order val="5"/>
          <c:tx>
            <c:strRef>
              <c:f>'01-DRAM-Model'!$A$53</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'01-DRAM-Model'!$D$47:$F$47</c:f>
              <c:strCache>
                <c:ptCount val="3"/>
                <c:pt idx="0">
                  <c:v>2026</c:v>
                </c:pt>
                <c:pt idx="1">
                  <c:v>2027</c:v>
                </c:pt>
                <c:pt idx="2">
                  <c:v>2028</c:v>
                </c:pt>
              </c:strCache>
            </c:strRef>
          </c:cat>
          <c:val>
            <c:numRef>
              <c:f>'01-DRAM-Model'!$D$53:$F$53</c:f>
              <c:numCache>
                <c:formatCode>0.0%;[Red]\-0.0%;0.0%</c:formatCode>
                <c:ptCount val="3"/>
                <c:pt idx="0">
                  <c:v>-0.091210969195974</c:v>
                </c:pt>
                <c:pt idx="1">
                  <c:v>-0.0381382738227208</c:v>
                </c:pt>
                <c:pt idx="2">
                  <c:v>0.0724066707837913</c:v>
                </c:pt>
              </c:numCache>
            </c:numRef>
          </c:val>
          <c:smooth val="0"/>
          <c:extLst>
            <c:ext xmlns:c16="http://schemas.microsoft.com/office/drawing/2014/chart" uri="{C3380CC4-5D6E-409C-BE32-E72D297353CC}">
              <c16:uniqueId val="{00000005-5E3F-43DA-9E04-F20081794DBD}"/>
            </c:ext>
          </c:extLst>
        </c:ser>
        <c:dLbls>
          <c:showLegendKey val="0"/>
          <c:showVal val="0"/>
          <c:showCatName val="0"/>
          <c:showSerName val="0"/>
          <c:showPercent val="0"/>
          <c:showBubbleSize val="0"/>
        </c:dLbls>
        <c:hiLowLines>
          <c:spPr>
            <a:ln w="0">
              <a:noFill/>
            </a:ln>
          </c:spPr>
        </c:hiLowLines>
        <c:marker val="1"/>
        <c:smooth val="0"/>
        <c:axId val="39877936"/>
        <c:axId val="54018878"/>
      </c:lineChart>
      <c:catAx>
        <c:axId val="3987793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4018878"/>
        <c:crosses val="autoZero"/>
        <c:auto val="1"/>
        <c:lblAlgn val="ctr"/>
        <c:lblOffset val="100"/>
        <c:noMultiLvlLbl val="0"/>
      </c:catAx>
      <c:valAx>
        <c:axId val="54018878"/>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987793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 Horizontal adequacy across five scenarios (stock basis)</a:t>
            </a:r>
          </a:p>
        </c:rich>
      </c:tx>
      <c:overlay val="0"/>
      <c:spPr>
        <a:noFill/>
        <a:ln w="0">
          <a:noFill/>
        </a:ln>
      </c:spPr>
    </c:title>
    <c:autoTitleDeleted val="0"/>
    <c:plotArea>
      <c:layout/>
      <c:lineChart>
        <c:grouping val="standard"/>
        <c:varyColors val="0"/>
        <c:ser>
          <c:idx val="0"/>
          <c:order val="0"/>
          <c:tx>
            <c:strRef>
              <c:f>'01-DRAM-Model'!$A$59</c:f>
              <c:strCache>
                <c:ptCount val="1"/>
                <c:pt idx="0">
                  <c:v>S1 Extreme tightness</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'01-DRAM-Model'!$D$59:$G$59</c:f>
              <c:numCache>
                <c:formatCode>0.0%;[Red]\-0.0%;0.0%</c:formatCode>
                <c:ptCount val="4"/>
                <c:pt idx="0">
                  <c:v>-0.07</c:v>
                </c:pt>
                <c:pt idx="1">
                  <c:v>-0.158748245307066</c:v>
                </c:pt>
                <c:pt idx="2">
                  <c:v>-0.281495765970498</c:v>
                </c:pt>
                <c:pt idx="3">
                  <c:v>-0.36293928457149</c:v>
                </c:pt>
              </c:numCache>
            </c:numRef>
          </c:val>
          <c:smooth val="0"/>
          <c:extLst>
            <c:ext xmlns:c16="http://schemas.microsoft.com/office/drawing/2014/chart" uri="{C3380CC4-5D6E-409C-BE32-E72D297353CC}">
              <c16:uniqueId val="{00000000-6C33-44E7-A9F6-7A6A7831F313}"/>
            </c:ext>
          </c:extLst>
        </c:ser>
        <c:ser>
          <c:idx val="1"/>
          <c:order val="1"/>
          <c:tx>
            <c:strRef>
              <c:f>'01-DRAM-Model'!$A$60</c:f>
              <c:strCache>
                <c:ptCount val="1"/>
                <c:pt idx="0">
                  <c:v>S2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'01-DRAM-Model'!$D$60:$G$60</c:f>
              <c:numCache>
                <c:formatCode>0.0%;[Red]\-0.0%;0.0%</c:formatCode>
                <c:ptCount val="4"/>
                <c:pt idx="0">
                  <c:v>-0.07</c:v>
                </c:pt>
                <c:pt idx="1">
                  <c:v>-0.145705582443609</c:v>
                </c:pt>
                <c:pt idx="2">
                  <c:v>-0.210832606111257</c:v>
                </c:pt>
                <c:pt idx="3">
                  <c:v>-0.22417369903773</c:v>
                </c:pt>
              </c:numCache>
            </c:numRef>
          </c:val>
          <c:smooth val="0"/>
          <c:extLst>
            <c:ext xmlns:c16="http://schemas.microsoft.com/office/drawing/2014/chart" uri="{C3380CC4-5D6E-409C-BE32-E72D297353CC}">
              <c16:uniqueId val="{00000001-6C33-44E7-A9F6-7A6A7831F313}"/>
            </c:ext>
          </c:extLst>
        </c:ser>
        <c:ser>
          <c:idx val="2"/>
          <c:order val="2"/>
          <c:tx>
            <c:strRef>
              <c:f>'01-DRAM-Model'!$A$61</c:f>
              <c:strCache>
                <c:ptCount val="1"/>
                <c:pt idx="0">
                  <c:v>S3 Relief</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'01-DRAM-Model'!$D$61:$G$61</c:f>
              <c:numCache>
                <c:formatCode>0.0%;[Red]\-0.0%;0.0%</c:formatCode>
                <c:ptCount val="4"/>
                <c:pt idx="0">
                  <c:v>-0.07</c:v>
                </c:pt>
                <c:pt idx="1">
                  <c:v>-0.13225212704902</c:v>
                </c:pt>
                <c:pt idx="2">
                  <c:v>-0.119812588340108</c:v>
                </c:pt>
                <c:pt idx="3">
                  <c:v>-0.0177276718621864</c:v>
                </c:pt>
              </c:numCache>
            </c:numRef>
          </c:val>
          <c:smooth val="0"/>
          <c:extLst>
            <c:ext xmlns:c16="http://schemas.microsoft.com/office/drawing/2014/chart" uri="{C3380CC4-5D6E-409C-BE32-E72D297353CC}">
              <c16:uniqueId val="{00000002-6C33-44E7-A9F6-7A6A7831F313}"/>
            </c:ext>
          </c:extLst>
        </c:ser>
        <c:ser>
          <c:idx val="3"/>
          <c:order val="3"/>
          <c:tx>
            <c:strRef>
              <c:f>'01-DRAM-Model'!$A$62</c:f>
              <c:strCache>
                <c:ptCount val="1"/>
                <c:pt idx="0">
                  <c:v>S4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'01-DRAM-Model'!$D$62:$G$62</c:f>
              <c:numCache>
                <c:formatCode>0.0%;[Red]\-0.0%;0.0%</c:formatCode>
                <c:ptCount val="4"/>
                <c:pt idx="0">
                  <c:v>-0.07</c:v>
                </c:pt>
                <c:pt idx="1">
                  <c:v>-0.118368161081805</c:v>
                </c:pt>
                <c:pt idx="2">
                  <c:v>-0.0527838960386813</c:v>
                </c:pt>
                <c:pt idx="3">
                  <c:v>0.144818902245155</c:v>
                </c:pt>
              </c:numCache>
            </c:numRef>
          </c:val>
          <c:smooth val="0"/>
          <c:extLst>
            <c:ext xmlns:c16="http://schemas.microsoft.com/office/drawing/2014/chart" uri="{C3380CC4-5D6E-409C-BE32-E72D297353CC}">
              <c16:uniqueId val="{00000003-6C33-44E7-A9F6-7A6A7831F313}"/>
            </c:ext>
          </c:extLst>
        </c:ser>
        <c:ser>
          <c:idx val="4"/>
          <c:order val="4"/>
          <c:tx>
            <c:strRef>
              <c:f>'01-DRAM-Model'!$A$63</c:f>
              <c:strCache>
                <c:ptCount val="1"/>
                <c:pt idx="0">
                  <c:v>S5 Collapse</c:v>
                </c:pt>
              </c:strCache>
            </c:strRef>
          </c:tx>
          <c:spPr>
            <a:ln w="22320">
              <a:solidFill>
                <a:srgbClr val="8E44AD"/>
              </a:solidFill>
              <a:round/>
            </a:ln>
          </c:spPr>
          <c:marker>
            <c:symbol val="circle"/>
            <c:size val="7"/>
            <c:spPr>
              <a:solidFill>
                <a:srgbClr val="8E44AD"/>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'01-DRAM-Model'!$D$63:$G$63</c:f>
              <c:numCache>
                <c:formatCode>0.0%;[Red]\-0.0%;0.0%</c:formatCode>
                <c:ptCount val="4"/>
                <c:pt idx="0">
                  <c:v>-0.07</c:v>
                </c:pt>
                <c:pt idx="1">
                  <c:v>-0.0739161355901309</c:v>
                </c:pt>
                <c:pt idx="2">
                  <c:v>0.0887927150074814</c:v>
                </c:pt>
                <c:pt idx="3">
                  <c:v>0.706301994295062</c:v>
                </c:pt>
              </c:numCache>
            </c:numRef>
          </c:val>
          <c:smooth val="0"/>
          <c:extLst>
            <c:ext xmlns:c16="http://schemas.microsoft.com/office/drawing/2014/chart" uri="{C3380CC4-5D6E-409C-BE32-E72D297353CC}">
              <c16:uniqueId val="{00000004-6C33-44E7-A9F6-7A6A7831F313}"/>
            </c:ext>
          </c:extLst>
        </c:ser>
        <c:ser>
          <c:idx val="5"/>
          <c:order val="5"/>
          <c:tx>
            <c:strRef>
              <c:f>'01-DRAM-Model'!$A$64</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'01-DRAM-Model'!$D$58:$G$58</c:f>
              <c:strCache>
                <c:ptCount val="4"/>
                <c:pt idx="0">
                  <c:v>2025 start</c:v>
                </c:pt>
                <c:pt idx="1">
                  <c:v>2026</c:v>
                </c:pt>
                <c:pt idx="2">
                  <c:v>2027</c:v>
                </c:pt>
                <c:pt idx="3">
                  <c:v>2028</c:v>
                </c:pt>
              </c:strCache>
            </c:strRef>
          </c:cat>
          <c:val>
            <c:numRef>
              <c:f>'01-DRAM-Model'!$D$64:$G$64</c:f>
              <c:numCache>
                <c:formatCode>0.0%;[Red]\-0.0%;0.0%</c:formatCode>
                <c:ptCount val="4"/>
                <c:pt idx="0">
                  <c:v>-0.07</c:v>
                </c:pt>
                <c:pt idx="1">
                  <c:v>-0.1360617840503</c:v>
                </c:pt>
                <c:pt idx="2">
                  <c:v>-0.156827528879081</c:v>
                </c:pt>
                <c:pt idx="3">
                  <c:v>-0.0841245031891783</c:v>
                </c:pt>
              </c:numCache>
            </c:numRef>
          </c:val>
          <c:smooth val="0"/>
          <c:extLst>
            <c:ext xmlns:c16="http://schemas.microsoft.com/office/drawing/2014/chart" uri="{C3380CC4-5D6E-409C-BE32-E72D297353CC}">
              <c16:uniqueId val="{00000005-6C33-44E7-A9F6-7A6A7831F313}"/>
            </c:ext>
          </c:extLst>
        </c:ser>
        <c:dLbls>
          <c:showLegendKey val="0"/>
          <c:showVal val="0"/>
          <c:showCatName val="0"/>
          <c:showSerName val="0"/>
          <c:showPercent val="0"/>
          <c:showBubbleSize val="0"/>
        </c:dLbls>
        <c:hiLowLines>
          <c:spPr>
            <a:ln w="0">
              <a:noFill/>
            </a:ln>
          </c:spPr>
        </c:hiLowLines>
        <c:marker val="1"/>
        <c:smooth val="0"/>
        <c:axId val="65756910"/>
        <c:axId val="78527974"/>
      </c:lineChart>
      <c:catAx>
        <c:axId val="65756910"/>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8527974"/>
        <c:crosses val="autoZero"/>
        <c:auto val="1"/>
        <c:lblAlgn val="ctr"/>
        <c:lblOffset val="100"/>
        <c:noMultiLvlLbl val="0"/>
      </c:catAx>
      <c:valAx>
        <c:axId val="78527974"/>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575691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 S2 base case: three-factor decomposition of supply bit growth</a:t>
            </a:r>
          </a:p>
        </c:rich>
      </c:tx>
      <c:overlay val="0"/>
      <c:spPr>
        <a:noFill/>
        <a:ln w="0">
          <a:noFill/>
        </a:ln>
      </c:spPr>
    </c:title>
    <c:autoTitleDeleted val="0"/>
    <c:plotArea>
      <c:layout/>
      <c:barChart>
        <c:barDir val="col"/>
        <c:grouping val="clustered"/>
        <c:varyColors val="0"/>
        <c:ser>
          <c:idx val="0"/>
          <c:order val="0"/>
          <c:tx>
            <c:strRef>
              <c:f>'01-DRAM-Model'!$B$70</c:f>
              <c:strCache>
                <c:ptCount val="1"/>
                <c:pt idx="0">
                  <c:v>Wafer capacity contribution</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'01-DRAM-Model'!$B$71:$B$73</c:f>
              <c:numCache>
                <c:formatCode>0.0%;[Red]\-0.0%;0.0%</c:formatCode>
                <c:ptCount val="3"/>
                <c:pt idx="0">
                  <c:v>0.07</c:v>
                </c:pt>
                <c:pt idx="1">
                  <c:v>0.12</c:v>
                </c:pt>
                <c:pt idx="2">
                  <c:v>0.12</c:v>
                </c:pt>
              </c:numCache>
            </c:numRef>
          </c:val>
          <c:extLst>
            <c:ext xmlns:c16="http://schemas.microsoft.com/office/drawing/2014/chart" uri="{C3380CC4-5D6E-409C-BE32-E72D297353CC}">
              <c16:uniqueId val="{00000000-A5BF-4BA5-9A03-A7D18F38D099}"/>
            </c:ext>
          </c:extLst>
        </c:ser>
        <c:ser>
          <c:idx val="1"/>
          <c:order val="1"/>
          <c:tx>
            <c:strRef>
              <c:f>'01-DRAM-Model'!$C$70</c:f>
              <c:strCache>
                <c:ptCount val="1"/>
                <c:pt idx="0">
                  <c:v>Node migration contribution</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'01-DRAM-Model'!$C$71:$C$73</c:f>
              <c:numCache>
                <c:formatCode>0.0%;[Red]\-0.0%;0.0%</c:formatCode>
                <c:ptCount val="3"/>
                <c:pt idx="0">
                  <c:v>0.1391</c:v>
                </c:pt>
                <c:pt idx="1">
                  <c:v>0.168</c:v>
                </c:pt>
                <c:pt idx="2">
                  <c:v>0.1232</c:v>
                </c:pt>
              </c:numCache>
            </c:numRef>
          </c:val>
          <c:extLst>
            <c:ext xmlns:c16="http://schemas.microsoft.com/office/drawing/2014/chart" uri="{C3380CC4-5D6E-409C-BE32-E72D297353CC}">
              <c16:uniqueId val="{00000001-A5BF-4BA5-9A03-A7D18F38D099}"/>
            </c:ext>
          </c:extLst>
        </c:ser>
        <c:ser>
          <c:idx val="2"/>
          <c:order val="2"/>
          <c:tx>
            <c:strRef>
              <c:f>'01-DRAM-Model'!$D$70</c:f>
              <c:strCache>
                <c:ptCount val="1"/>
                <c:pt idx="0">
                  <c:v>HBM drag</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'01-DRAM-Model'!$A$71:$A$73</c:f>
              <c:strCache>
                <c:ptCount val="3"/>
                <c:pt idx="0">
                  <c:v>2026</c:v>
                </c:pt>
                <c:pt idx="1">
                  <c:v>2027</c:v>
                </c:pt>
                <c:pt idx="2">
                  <c:v>2028</c:v>
                </c:pt>
              </c:strCache>
            </c:strRef>
          </c:cat>
          <c:val>
            <c:numRef>
              <c:f>'01-DRAM-Model'!$D$71:$D$73</c:f>
              <c:numCache>
                <c:formatCode>0.0%;[Red]\-0.0%;0.0%</c:formatCode>
                <c:ptCount val="3"/>
                <c:pt idx="0">
                  <c:v>-0.0241109691959739</c:v>
                </c:pt>
                <c:pt idx="1">
                  <c:v>-0.0593923767940978</c:v>
                </c:pt>
                <c:pt idx="2">
                  <c:v>-0.0143315955109552</c:v>
                </c:pt>
              </c:numCache>
            </c:numRef>
          </c:val>
          <c:extLst>
            <c:ext xmlns:c16="http://schemas.microsoft.com/office/drawing/2014/chart" uri="{C3380CC4-5D6E-409C-BE32-E72D297353CC}">
              <c16:uniqueId val="{00000002-A5BF-4BA5-9A03-A7D18F38D099}"/>
            </c:ext>
          </c:extLst>
        </c:ser>
        <c:dLbls>
          <c:showLegendKey val="0"/>
          <c:showVal val="0"/>
          <c:showCatName val="0"/>
          <c:showSerName val="0"/>
          <c:showPercent val="0"/>
          <c:showBubbleSize val="0"/>
        </c:dLbls>
        <c:gapWidth val="70"/>
        <c:axId val="30531434"/>
        <c:axId val="50137388"/>
      </c:barChart>
      <c:catAx>
        <c:axId val="30531434"/>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0137388"/>
        <c:crosses val="autoZero"/>
        <c:auto val="1"/>
        <c:lblAlgn val="ctr"/>
        <c:lblOffset val="100"/>
        <c:noMultiLvlLbl val="0"/>
      </c:catAx>
      <c:valAx>
        <c:axId val="50137388"/>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0531434"/>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4 · 2027 single-variable sensitivity: effect of ±4pp on the growth gap</a:t>
            </a:r>
          </a:p>
        </c:rich>
      </c:tx>
      <c:overlay val="0"/>
      <c:spPr>
        <a:noFill/>
        <a:ln w="0">
          <a:noFill/>
        </a:ln>
      </c:spPr>
    </c:title>
    <c:autoTitleDeleted val="0"/>
    <c:plotArea>
      <c:layout/>
      <c:barChart>
        <c:barDir val="bar"/>
        <c:grouping val="clustered"/>
        <c:varyColors val="0"/>
        <c:ser>
          <c:idx val="0"/>
          <c:order val="0"/>
          <c:tx>
            <c:strRef>
              <c:f>'01-DRAM-Model'!$C$77</c:f>
              <c:strCache>
                <c:ptCount val="1"/>
                <c:pt idx="0">
                  <c:v>−4pp</c:v>
                </c:pt>
              </c:strCache>
            </c:strRef>
          </c:tx>
          <c:spPr>
            <a:solidFill>
              <a:srgbClr val="C0392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'01-DRAM-Model'!$A$78:$A$81</c:f>
              <c:strCache>
                <c:ptCount val="4"/>
                <c:pt idx="0">
                  <c:v>Wafer capacity growth</c:v>
                </c:pt>
                <c:pt idx="1">
                  <c:v>Node bit uplift</c:v>
                </c:pt>
                <c:pt idx="2">
                  <c:v>HBM wafer share</c:v>
                </c:pt>
                <c:pt idx="3">
                  <c:v>Demand growth</c:v>
                </c:pt>
              </c:strCache>
            </c:strRef>
          </c:cat>
          <c:val>
            <c:numRef>
              <c:f>'01-DRAM-Model'!$C$78:$C$81</c:f>
              <c:numCache>
                <c:formatCode>0.0%;[Red]\-0.0%;0.0%</c:formatCode>
                <c:ptCount val="4"/>
                <c:pt idx="0">
                  <c:v>-0.145271220480023</c:v>
                </c:pt>
                <c:pt idx="1">
                  <c:v>-0.144126554992564</c:v>
                </c:pt>
                <c:pt idx="2">
                  <c:v>-0.0638735032665564</c:v>
                </c:pt>
                <c:pt idx="3">
                  <c:v>-0.0613923767940978</c:v>
                </c:pt>
              </c:numCache>
            </c:numRef>
          </c:val>
          <c:extLst>
            <c:ext xmlns:c16="http://schemas.microsoft.com/office/drawing/2014/chart" uri="{C3380CC4-5D6E-409C-BE32-E72D297353CC}">
              <c16:uniqueId val="{00000000-2097-4744-A4D2-083558D7C17A}"/>
            </c:ext>
          </c:extLst>
        </c:ser>
        <c:ser>
          <c:idx val="1"/>
          <c:order val="1"/>
          <c:tx>
            <c:strRef>
              <c:f>'01-DRAM-Model'!$G$77</c:f>
              <c:strCache>
                <c:ptCount val="1"/>
                <c:pt idx="0">
                  <c:v>+4pp</c:v>
                </c:pt>
              </c:strCache>
            </c:strRef>
          </c:tx>
          <c:spPr>
            <a:solidFill>
              <a:srgbClr val="4472C4"/>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'01-DRAM-Model'!$A$78:$A$81</c:f>
              <c:strCache>
                <c:ptCount val="4"/>
                <c:pt idx="0">
                  <c:v>Wafer capacity growth</c:v>
                </c:pt>
                <c:pt idx="1">
                  <c:v>Node bit uplift</c:v>
                </c:pt>
                <c:pt idx="2">
                  <c:v>HBM wafer share</c:v>
                </c:pt>
                <c:pt idx="3">
                  <c:v>Demand growth</c:v>
                </c:pt>
              </c:strCache>
            </c:strRef>
          </c:cat>
          <c:val>
            <c:numRef>
              <c:f>'01-DRAM-Model'!$G$78:$G$81</c:f>
              <c:numCache>
                <c:formatCode>0.0%;[Red]\-0.0%;0.0%</c:formatCode>
                <c:ptCount val="4"/>
                <c:pt idx="0">
                  <c:v>-0.0575135331081726</c:v>
                </c:pt>
                <c:pt idx="1">
                  <c:v>-0.0586581985956318</c:v>
                </c:pt>
                <c:pt idx="2">
                  <c:v>-0.138911250321639</c:v>
                </c:pt>
                <c:pt idx="3">
                  <c:v>-0.141392376794098</c:v>
                </c:pt>
              </c:numCache>
            </c:numRef>
          </c:val>
          <c:extLst>
            <c:ext xmlns:c16="http://schemas.microsoft.com/office/drawing/2014/chart" uri="{C3380CC4-5D6E-409C-BE32-E72D297353CC}">
              <c16:uniqueId val="{00000001-2097-4744-A4D2-083558D7C17A}"/>
            </c:ext>
          </c:extLst>
        </c:ser>
        <c:dLbls>
          <c:showLegendKey val="0"/>
          <c:showVal val="0"/>
          <c:showCatName val="0"/>
          <c:showSerName val="0"/>
          <c:showPercent val="0"/>
          <c:showBubbleSize val="0"/>
        </c:dLbls>
        <c:gapWidth val="70"/>
        <c:axId val="97421431"/>
        <c:axId val="4131430"/>
      </c:barChart>
      <c:catAx>
        <c:axId val="97421431"/>
        <c:scaling>
          <c:orientation val="minMax"/>
        </c:scaling>
        <c:delete val="0"/>
        <c:axPos val="l"/>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131430"/>
        <c:crosses val="autoZero"/>
        <c:auto val="1"/>
        <c:lblAlgn val="ctr"/>
        <c:lblOffset val="100"/>
        <c:noMultiLvlLbl val="0"/>
      </c:catAx>
      <c:valAx>
        <c:axId val="4131430"/>
        <c:scaling>
          <c:orientation val="minMax"/>
        </c:scaling>
        <c:delete val="0"/>
        <c:axPos val="b"/>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7421431"/>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5 · The same model on four bases: how much the word 'basis' is worth</a:t>
            </a:r>
          </a:p>
        </c:rich>
      </c:tx>
      <c:overlay val="0"/>
      <c:spPr>
        <a:noFill/>
        <a:ln w="0">
          <a:noFill/>
        </a:ln>
      </c:spPr>
    </c:title>
    <c:autoTitleDeleted val="0"/>
    <c:plotArea>
      <c:layout/>
      <c:lineChart>
        <c:grouping val="standard"/>
        <c:varyColors val="0"/>
        <c:ser>
          <c:idx val="0"/>
          <c:order val="0"/>
          <c:tx>
            <c:strRef>
              <c:f>'01-DRAM-Model'!$A$121</c:f>
              <c:strCache>
                <c:ptCount val="1"/>
                <c:pt idx="0">
                  <c:v>v1.0 flow: supply−demand growth gap</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'01-DRAM-Model'!$B$121:$D$121</c:f>
              <c:numCache>
                <c:formatCode>0.0%;[Red]\-0.0%;0.0%</c:formatCode>
                <c:ptCount val="3"/>
                <c:pt idx="0">
                  <c:v>-0.091210969195974</c:v>
                </c:pt>
                <c:pt idx="1">
                  <c:v>-0.0381382738227208</c:v>
                </c:pt>
                <c:pt idx="2">
                  <c:v>0.0724066707837913</c:v>
                </c:pt>
              </c:numCache>
            </c:numRef>
          </c:val>
          <c:smooth val="0"/>
          <c:extLst>
            <c:ext xmlns:c16="http://schemas.microsoft.com/office/drawing/2014/chart" uri="{C3380CC4-5D6E-409C-BE32-E72D297353CC}">
              <c16:uniqueId val="{00000000-705F-49FE-9897-6A9AC70C2633}"/>
            </c:ext>
          </c:extLst>
        </c:ser>
        <c:ser>
          <c:idx val="1"/>
          <c:order val="1"/>
          <c:tx>
            <c:strRef>
              <c:f>'01-DRAM-Model'!$A$122</c:f>
              <c:strCache>
                <c:ptCount val="1"/>
                <c:pt idx="0">
                  <c:v>v2.0 stock: multiplicative recursion</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'01-DRAM-Model'!$B$122:$D$122</c:f>
              <c:numCache>
                <c:formatCode>0.0%;[Red]\-0.0%;0.0%</c:formatCode>
                <c:ptCount val="3"/>
                <c:pt idx="0">
                  <c:v>-0.1360617840503</c:v>
                </c:pt>
                <c:pt idx="1">
                  <c:v>-0.156827528879081</c:v>
                </c:pt>
                <c:pt idx="2">
                  <c:v>-0.0841245031891783</c:v>
                </c:pt>
              </c:numCache>
            </c:numRef>
          </c:val>
          <c:smooth val="0"/>
          <c:extLst>
            <c:ext xmlns:c16="http://schemas.microsoft.com/office/drawing/2014/chart" uri="{C3380CC4-5D6E-409C-BE32-E72D297353CC}">
              <c16:uniqueId val="{00000001-705F-49FE-9897-6A9AC70C2633}"/>
            </c:ext>
          </c:extLst>
        </c:ser>
        <c:ser>
          <c:idx val="2"/>
          <c:order val="2"/>
          <c:tx>
            <c:strRef>
              <c:f>'01-DRAM-Model'!$A$123</c:f>
              <c:strCache>
                <c:ptCount val="1"/>
                <c:pt idx="0">
                  <c:v>After the HBM basis correction</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'01-DRAM-Model'!$B$123:$D$123</c:f>
              <c:numCache>
                <c:formatCode>0.0%;[Red]\-0.0%;0.0%</c:formatCode>
                <c:ptCount val="3"/>
                <c:pt idx="0">
                  <c:v>-0.1360617840503</c:v>
                </c:pt>
                <c:pt idx="1">
                  <c:v>-0.156827528879081</c:v>
                </c:pt>
                <c:pt idx="2">
                  <c:v>-0.0841245031891783</c:v>
                </c:pt>
              </c:numCache>
            </c:numRef>
          </c:val>
          <c:smooth val="0"/>
          <c:extLst>
            <c:ext xmlns:c16="http://schemas.microsoft.com/office/drawing/2014/chart" uri="{C3380CC4-5D6E-409C-BE32-E72D297353CC}">
              <c16:uniqueId val="{00000002-705F-49FE-9897-6A9AC70C2633}"/>
            </c:ext>
          </c:extLst>
        </c:ser>
        <c:ser>
          <c:idx val="3"/>
          <c:order val="3"/>
          <c:tx>
            <c:strRef>
              <c:f>'01-DRAM-Model'!$A$124</c:f>
              <c:strCache>
                <c:ptCount val="1"/>
                <c:pt idx="0">
                  <c:v>True stock: additive accumulation</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'01-DRAM-Model'!$B$120:$D$120</c:f>
              <c:strCache>
                <c:ptCount val="3"/>
                <c:pt idx="0">
                  <c:v>2026</c:v>
                </c:pt>
                <c:pt idx="1">
                  <c:v>2027</c:v>
                </c:pt>
                <c:pt idx="2">
                  <c:v>2028</c:v>
                </c:pt>
              </c:strCache>
            </c:strRef>
          </c:cat>
          <c:val>
            <c:numRef>
              <c:f>'01-DRAM-Model'!$B$124:$D$124</c:f>
              <c:numCache>
                <c:formatCode>0.0%;[Red]\-0.0%;0.0%</c:formatCode>
                <c:ptCount val="3"/>
                <c:pt idx="0">
                  <c:v>-0.125910302642147</c:v>
                </c:pt>
                <c:pt idx="1">
                  <c:v>-0.189553889500564</c:v>
                </c:pt>
                <c:pt idx="2">
                  <c:v>-0.166105705191168</c:v>
                </c:pt>
              </c:numCache>
            </c:numRef>
          </c:val>
          <c:smooth val="0"/>
          <c:extLst>
            <c:ext xmlns:c16="http://schemas.microsoft.com/office/drawing/2014/chart" uri="{C3380CC4-5D6E-409C-BE32-E72D297353CC}">
              <c16:uniqueId val="{00000003-705F-49FE-9897-6A9AC70C2633}"/>
            </c:ext>
          </c:extLst>
        </c:ser>
        <c:dLbls>
          <c:showLegendKey val="0"/>
          <c:showVal val="0"/>
          <c:showCatName val="0"/>
          <c:showSerName val="0"/>
          <c:showPercent val="0"/>
          <c:showBubbleSize val="0"/>
        </c:dLbls>
        <c:hiLowLines>
          <c:spPr>
            <a:ln w="0">
              <a:noFill/>
            </a:ln>
          </c:spPr>
        </c:hiLowLines>
        <c:marker val="1"/>
        <c:smooth val="0"/>
        <c:axId val="54855857"/>
        <c:axId val="95680843"/>
      </c:lineChart>
      <c:catAx>
        <c:axId val="54855857"/>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5680843"/>
        <c:crosses val="autoZero"/>
        <c:auto val="1"/>
        <c:lblAlgn val="ctr"/>
        <c:lblOffset val="100"/>
        <c:noMultiLvlLbl val="0"/>
      </c:catAx>
      <c:valAx>
        <c:axId val="95680843"/>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485585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6 (v4.0 → v4.1) · 2027 growth gap by scenario: before and after the inventory correction</a:t>
            </a:r>
          </a:p>
        </c:rich>
      </c:tx>
      <c:overlay val="0"/>
      <c:spPr>
        <a:noFill/>
        <a:ln w="0">
          <a:noFill/>
        </a:ln>
      </c:spPr>
    </c:title>
    <c:autoTitleDeleted val="0"/>
    <c:plotArea>
      <c:layout/>
      <c:barChart>
        <c:barDir val="col"/>
        <c:grouping val="clustered"/>
        <c:varyColors val="0"/>
        <c:ser>
          <c:idx val="0"/>
          <c:order val="0"/>
          <c:tx>
            <c:strRef>
              <c:f>'01-DRAM-Model'!$C$129</c:f>
              <c:strCache>
                <c:ptCount val="1"/>
                <c:pt idx="0">
                  <c:v>2027 gap · v3.0
(production basis)</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'01-DRAM-Model'!$A$130:$A$134</c:f>
              <c:strCache>
                <c:ptCount val="5"/>
                <c:pt idx="0">
                  <c:v>S1 Extreme tightness</c:v>
                </c:pt>
                <c:pt idx="1">
                  <c:v>S2 Base case</c:v>
                </c:pt>
                <c:pt idx="2">
                  <c:v>S3 Relief</c:v>
                </c:pt>
                <c:pt idx="3">
                  <c:v>S4 Surplus</c:v>
                </c:pt>
                <c:pt idx="4">
                  <c:v>S5 Collapse</c:v>
                </c:pt>
              </c:strCache>
            </c:strRef>
          </c:cat>
          <c:val>
            <c:numRef>
              <c:f>'01-DRAM-Model'!$C$130:$C$134</c:f>
              <c:numCache>
                <c:formatCode>0.0%;[Red]\-0.0%;0.0%</c:formatCode>
                <c:ptCount val="5"/>
                <c:pt idx="0">
                  <c:v>-0.202815688371965</c:v>
                </c:pt>
                <c:pt idx="1">
                  <c:v>-0.101392376794098</c:v>
                </c:pt>
                <c:pt idx="2">
                  <c:v>0.0182059958344727</c:v>
                </c:pt>
                <c:pt idx="3">
                  <c:v>0.0929870357274054</c:v>
                </c:pt>
                <c:pt idx="4">
                  <c:v>0.20907775165108</c:v>
                </c:pt>
              </c:numCache>
            </c:numRef>
          </c:val>
          <c:extLst>
            <c:ext xmlns:c16="http://schemas.microsoft.com/office/drawing/2014/chart" uri="{C3380CC4-5D6E-409C-BE32-E72D297353CC}">
              <c16:uniqueId val="{00000000-056F-45F3-94E9-0403D0AF4EF3}"/>
            </c:ext>
          </c:extLst>
        </c:ser>
        <c:ser>
          <c:idx val="1"/>
          <c:order val="1"/>
          <c:tx>
            <c:strRef>
              <c:f>'01-DRAM-Model'!$D$129</c:f>
              <c:strCache>
                <c:ptCount val="1"/>
                <c:pt idx="0">
                  <c:v>2027 gap · v4.1
(inventory correction)</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'01-DRAM-Model'!$A$130:$A$134</c:f>
              <c:strCache>
                <c:ptCount val="5"/>
                <c:pt idx="0">
                  <c:v>S1 Extreme tightness</c:v>
                </c:pt>
                <c:pt idx="1">
                  <c:v>S2 Base case</c:v>
                </c:pt>
                <c:pt idx="2">
                  <c:v>S3 Relief</c:v>
                </c:pt>
                <c:pt idx="3">
                  <c:v>S4 Surplus</c:v>
                </c:pt>
                <c:pt idx="4">
                  <c:v>S5 Collapse</c:v>
                </c:pt>
              </c:strCache>
            </c:strRef>
          </c:cat>
          <c:val>
            <c:numRef>
              <c:f>'01-DRAM-Model'!$D$130:$D$134</c:f>
              <c:numCache>
                <c:formatCode>0.0%;[Red]\-0.0%;0.0%</c:formatCode>
                <c:ptCount val="5"/>
                <c:pt idx="0">
                  <c:v>-0.21863107298735</c:v>
                </c:pt>
                <c:pt idx="1">
                  <c:v>-0.117207761409482</c:v>
                </c:pt>
                <c:pt idx="2">
                  <c:v>0.00239061121908807</c:v>
                </c:pt>
                <c:pt idx="3">
                  <c:v>0.0771716511120208</c:v>
                </c:pt>
                <c:pt idx="4">
                  <c:v>0.193262367035695</c:v>
                </c:pt>
              </c:numCache>
            </c:numRef>
          </c:val>
          <c:extLst>
            <c:ext xmlns:c16="http://schemas.microsoft.com/office/drawing/2014/chart" uri="{C3380CC4-5D6E-409C-BE32-E72D297353CC}">
              <c16:uniqueId val="{00000001-056F-45F3-94E9-0403D0AF4EF3}"/>
            </c:ext>
          </c:extLst>
        </c:ser>
        <c:dLbls>
          <c:showLegendKey val="0"/>
          <c:showVal val="0"/>
          <c:showCatName val="0"/>
          <c:showSerName val="0"/>
          <c:showPercent val="0"/>
          <c:showBubbleSize val="0"/>
        </c:dLbls>
        <c:gapWidth val="70"/>
        <c:axId val="83366978"/>
        <c:axId val="76908740"/>
      </c:barChart>
      <c:catAx>
        <c:axId val="83366978"/>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6908740"/>
        <c:crosses val="autoZero"/>
        <c:auto val="1"/>
        <c:lblAlgn val="ctr"/>
        <c:lblOffset val="100"/>
        <c:noMultiLvlLbl val="0"/>
      </c:catAx>
      <c:valAx>
        <c:axId val="76908740"/>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8336697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Chart 1 · Growth gap across four scenarios (flow basis)</a:t>
            </a:r>
          </a:p>
        </c:rich>
      </c:tx>
      <c:overlay val="0"/>
      <c:spPr>
        <a:noFill/>
        <a:ln w="0">
          <a:noFill/>
        </a:ln>
      </c:spPr>
    </c:title>
    <c:autoTitleDeleted val="0"/>
    <c:plotArea>
      <c:layout/>
      <c:lineChart>
        <c:grouping val="standard"/>
        <c:varyColors val="0"/>
        <c:ser>
          <c:idx val="0"/>
          <c:order val="0"/>
          <c:tx>
            <c:strRef>
              <c:f>'02-NAND-Model'!$A$30</c:f>
              <c:strCache>
                <c:ptCount val="1"/>
                <c:pt idx="0">
                  <c:v>N1 Stays tight</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'02-NAND-Model'!$D$30:$F$30</c:f>
              <c:numCache>
                <c:formatCode>0.0%;[Red]\-0.0%;0.0%</c:formatCode>
                <c:ptCount val="3"/>
                <c:pt idx="0">
                  <c:v>-0.0673450000000002</c:v>
                </c:pt>
                <c:pt idx="1">
                  <c:v>-0.102544</c:v>
                </c:pt>
                <c:pt idx="2">
                  <c:v>-0.077792</c:v>
                </c:pt>
              </c:numCache>
            </c:numRef>
          </c:val>
          <c:smooth val="0"/>
          <c:extLst>
            <c:ext xmlns:c16="http://schemas.microsoft.com/office/drawing/2014/chart" uri="{C3380CC4-5D6E-409C-BE32-E72D297353CC}">
              <c16:uniqueId val="{00000000-F6FA-4E0A-B44C-3B0D39524D3C}"/>
            </c:ext>
          </c:extLst>
        </c:ser>
        <c:ser>
          <c:idx val="1"/>
          <c:order val="1"/>
          <c:tx>
            <c:strRef>
              <c:f>'02-NAND-Model'!$A$31</c:f>
              <c:strCache>
                <c:ptCount val="1"/>
                <c:pt idx="0">
                  <c:v>N2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'02-NAND-Model'!$D$31:$F$31</c:f>
              <c:numCache>
                <c:formatCode>0.0%;[Red]\-0.0%;0.0%</c:formatCode>
                <c:ptCount val="3"/>
                <c:pt idx="0">
                  <c:v>-0.0673450000000002</c:v>
                </c:pt>
                <c:pt idx="1">
                  <c:v>-0.00546000000000002</c:v>
                </c:pt>
                <c:pt idx="2">
                  <c:v>0.052025</c:v>
                </c:pt>
              </c:numCache>
            </c:numRef>
          </c:val>
          <c:smooth val="0"/>
          <c:extLst>
            <c:ext xmlns:c16="http://schemas.microsoft.com/office/drawing/2014/chart" uri="{C3380CC4-5D6E-409C-BE32-E72D297353CC}">
              <c16:uniqueId val="{00000001-F6FA-4E0A-B44C-3B0D39524D3C}"/>
            </c:ext>
          </c:extLst>
        </c:ser>
        <c:ser>
          <c:idx val="2"/>
          <c:order val="2"/>
          <c:tx>
            <c:strRef>
              <c:f>'02-NAND-Model'!$A$32</c:f>
              <c:strCache>
                <c:ptCount val="1"/>
                <c:pt idx="0">
                  <c:v>N3 Turns to surplus</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'02-NAND-Model'!$D$32:$F$32</c:f>
              <c:numCache>
                <c:formatCode>0.0%;[Red]\-0.0%;0.0%</c:formatCode>
                <c:ptCount val="3"/>
                <c:pt idx="0">
                  <c:v>-0.0473450000000002</c:v>
                </c:pt>
                <c:pt idx="1">
                  <c:v>0.116965</c:v>
                </c:pt>
                <c:pt idx="2">
                  <c:v>0.208388</c:v>
                </c:pt>
              </c:numCache>
            </c:numRef>
          </c:val>
          <c:smooth val="0"/>
          <c:extLst>
            <c:ext xmlns:c16="http://schemas.microsoft.com/office/drawing/2014/chart" uri="{C3380CC4-5D6E-409C-BE32-E72D297353CC}">
              <c16:uniqueId val="{00000002-F6FA-4E0A-B44C-3B0D39524D3C}"/>
            </c:ext>
          </c:extLst>
        </c:ser>
        <c:ser>
          <c:idx val="3"/>
          <c:order val="3"/>
          <c:tx>
            <c:strRef>
              <c:f>'02-NAND-Model'!$A$33</c:f>
              <c:strCache>
                <c:ptCount val="1"/>
                <c:pt idx="0">
                  <c:v>N4 Large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'02-NAND-Model'!$D$33:$F$33</c:f>
              <c:numCache>
                <c:formatCode>0.0%;[Red]\-0.0%;0.0%</c:formatCode>
                <c:ptCount val="3"/>
                <c:pt idx="0">
                  <c:v>-0.0273450000000002</c:v>
                </c:pt>
                <c:pt idx="1">
                  <c:v>0.229832</c:v>
                </c:pt>
                <c:pt idx="2">
                  <c:v>0.3366</c:v>
                </c:pt>
              </c:numCache>
            </c:numRef>
          </c:val>
          <c:smooth val="0"/>
          <c:extLst>
            <c:ext xmlns:c16="http://schemas.microsoft.com/office/drawing/2014/chart" uri="{C3380CC4-5D6E-409C-BE32-E72D297353CC}">
              <c16:uniqueId val="{00000003-F6FA-4E0A-B44C-3B0D39524D3C}"/>
            </c:ext>
          </c:extLst>
        </c:ser>
        <c:ser>
          <c:idx val="4"/>
          <c:order val="4"/>
          <c:tx>
            <c:strRef>
              <c:f>'02-NAND-Model'!$A$34</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'02-NAND-Model'!$D$29:$F$29</c:f>
              <c:strCache>
                <c:ptCount val="3"/>
                <c:pt idx="0">
                  <c:v>2026</c:v>
                </c:pt>
                <c:pt idx="1">
                  <c:v>2027</c:v>
                </c:pt>
                <c:pt idx="2">
                  <c:v>2028</c:v>
                </c:pt>
              </c:strCache>
            </c:strRef>
          </c:cat>
          <c:val>
            <c:numRef>
              <c:f>'02-NAND-Model'!$D$34:$F$34</c:f>
              <c:numCache>
                <c:formatCode>0.0%;[Red]\-0.0%;0.0%</c:formatCode>
                <c:ptCount val="3"/>
                <c:pt idx="0">
                  <c:v>-0.0599450000000002</c:v>
                </c:pt>
                <c:pt idx="1">
                  <c:v>0.0160591900000001</c:v>
                </c:pt>
                <c:pt idx="2">
                  <c:v>0.07731568</c:v>
                </c:pt>
              </c:numCache>
            </c:numRef>
          </c:val>
          <c:smooth val="0"/>
          <c:extLst>
            <c:ext xmlns:c16="http://schemas.microsoft.com/office/drawing/2014/chart" uri="{C3380CC4-5D6E-409C-BE32-E72D297353CC}">
              <c16:uniqueId val="{00000004-F6FA-4E0A-B44C-3B0D39524D3C}"/>
            </c:ext>
          </c:extLst>
        </c:ser>
        <c:dLbls>
          <c:showLegendKey val="0"/>
          <c:showVal val="0"/>
          <c:showCatName val="0"/>
          <c:showSerName val="0"/>
          <c:showPercent val="0"/>
          <c:showBubbleSize val="0"/>
        </c:dLbls>
        <c:hiLowLines>
          <c:spPr>
            <a:ln w="0">
              <a:noFill/>
            </a:ln>
          </c:spPr>
        </c:hiLowLines>
        <c:marker val="1"/>
        <c:smooth val="0"/>
        <c:axId val="50200468"/>
        <c:axId val="22259355"/>
      </c:lineChart>
      <c:catAx>
        <c:axId val="50200468"/>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22259355"/>
        <c:crosses val="autoZero"/>
        <c:auto val="1"/>
        <c:lblAlgn val="ctr"/>
        <c:lblOffset val="100"/>
        <c:noMultiLvlLbl val="0"/>
      </c:catAx>
      <c:valAx>
        <c:axId val="22259355"/>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0200468"/>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 Horizontal adequacy across four scenarios (stock basis)</a:t>
            </a:r>
          </a:p>
        </c:rich>
      </c:tx>
      <c:overlay val="0"/>
      <c:spPr>
        <a:noFill/>
        <a:ln w="0">
          <a:noFill/>
        </a:ln>
      </c:spPr>
    </c:title>
    <c:autoTitleDeleted val="0"/>
    <c:plotArea>
      <c:layout/>
      <c:lineChart>
        <c:grouping val="standard"/>
        <c:varyColors val="0"/>
        <c:ser>
          <c:idx val="0"/>
          <c:order val="0"/>
          <c:tx>
            <c:strRef>
              <c:f>'02-NAND-Model'!$A$39</c:f>
              <c:strCache>
                <c:ptCount val="1"/>
                <c:pt idx="0">
                  <c:v>N1 Stays tight</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'02-NAND-Model'!$D$39:$G$39</c:f>
              <c:numCache>
                <c:formatCode>0.0%;[Red]\-0.0%;0.0%</c:formatCode>
                <c:ptCount val="4"/>
                <c:pt idx="0">
                  <c:v>-0.025</c:v>
                </c:pt>
                <c:pt idx="1">
                  <c:v>-0.0779527217741938</c:v>
                </c:pt>
                <c:pt idx="2">
                  <c:v>-0.150683811080645</c:v>
                </c:pt>
                <c:pt idx="3">
                  <c:v>-0.201506891825579</c:v>
                </c:pt>
              </c:numCache>
            </c:numRef>
          </c:val>
          <c:smooth val="0"/>
          <c:extLst>
            <c:ext xmlns:c16="http://schemas.microsoft.com/office/drawing/2014/chart" uri="{C3380CC4-5D6E-409C-BE32-E72D297353CC}">
              <c16:uniqueId val="{00000000-BA89-4821-8890-A1317C50235D}"/>
            </c:ext>
          </c:extLst>
        </c:ser>
        <c:ser>
          <c:idx val="1"/>
          <c:order val="1"/>
          <c:tx>
            <c:strRef>
              <c:f>'02-NAND-Model'!$A$40</c:f>
              <c:strCache>
                <c:ptCount val="1"/>
                <c:pt idx="0">
                  <c:v>N2 Base case</c:v>
                </c:pt>
              </c:strCache>
            </c:strRef>
          </c:tx>
          <c:spPr>
            <a:ln w="2232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'02-NAND-Model'!$D$40:$G$40</c:f>
              <c:numCache>
                <c:formatCode>0.0%;[Red]\-0.0%;0.0%</c:formatCode>
                <c:ptCount val="4"/>
                <c:pt idx="0">
                  <c:v>-0.025</c:v>
                </c:pt>
                <c:pt idx="1">
                  <c:v>-0.0779527217741938</c:v>
                </c:pt>
                <c:pt idx="2">
                  <c:v>-0.081948259979839</c:v>
                </c:pt>
                <c:pt idx="3">
                  <c:v>-0.0434308069358479</c:v>
                </c:pt>
              </c:numCache>
            </c:numRef>
          </c:val>
          <c:smooth val="0"/>
          <c:extLst>
            <c:ext xmlns:c16="http://schemas.microsoft.com/office/drawing/2014/chart" uri="{C3380CC4-5D6E-409C-BE32-E72D297353CC}">
              <c16:uniqueId val="{00000001-BA89-4821-8890-A1317C50235D}"/>
            </c:ext>
          </c:extLst>
        </c:ser>
        <c:ser>
          <c:idx val="2"/>
          <c:order val="2"/>
          <c:tx>
            <c:strRef>
              <c:f>'02-NAND-Model'!$A$41</c:f>
              <c:strCache>
                <c:ptCount val="1"/>
                <c:pt idx="0">
                  <c:v>N3 Turns to surplus</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'02-NAND-Model'!$D$41:$G$41</c:f>
              <c:numCache>
                <c:formatCode>0.0%;[Red]\-0.0%;0.0%</c:formatCode>
                <c:ptCount val="4"/>
                <c:pt idx="0">
                  <c:v>-0.025</c:v>
                </c:pt>
                <c:pt idx="1">
                  <c:v>-0.0628371926229511</c:v>
                </c:pt>
                <c:pt idx="2">
                  <c:v>0.0270113711187348</c:v>
                </c:pt>
                <c:pt idx="3">
                  <c:v>0.208381579258303</c:v>
                </c:pt>
              </c:numCache>
            </c:numRef>
          </c:val>
          <c:smooth val="0"/>
          <c:extLst>
            <c:ext xmlns:c16="http://schemas.microsoft.com/office/drawing/2014/chart" uri="{C3380CC4-5D6E-409C-BE32-E72D297353CC}">
              <c16:uniqueId val="{00000002-BA89-4821-8890-A1317C50235D}"/>
            </c:ext>
          </c:extLst>
        </c:ser>
        <c:ser>
          <c:idx val="3"/>
          <c:order val="3"/>
          <c:tx>
            <c:strRef>
              <c:f>'02-NAND-Model'!$A$42</c:f>
              <c:strCache>
                <c:ptCount val="1"/>
                <c:pt idx="0">
                  <c:v>N4 Large surplus</c:v>
                </c:pt>
              </c:strCache>
            </c:strRef>
          </c:tx>
          <c:spPr>
            <a:ln w="22320">
              <a:solidFill>
                <a:srgbClr val="E08A1E"/>
              </a:solidFill>
              <a:round/>
            </a:ln>
          </c:spPr>
          <c:marker>
            <c:symbol val="circle"/>
            <c:size val="7"/>
            <c:spPr>
              <a:solidFill>
                <a:srgbClr val="E08A1E"/>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'02-NAND-Model'!$D$42:$G$42</c:f>
              <c:numCache>
                <c:formatCode>0.0%;[Red]\-0.0%;0.0%</c:formatCode>
                <c:ptCount val="4"/>
                <c:pt idx="0">
                  <c:v>-0.025</c:v>
                </c:pt>
                <c:pt idx="1">
                  <c:v>-0.0472178125000002</c:v>
                </c:pt>
                <c:pt idx="2">
                  <c:v>0.138358319463983</c:v>
                </c:pt>
                <c:pt idx="3">
                  <c:v>0.474473591684664</c:v>
                </c:pt>
              </c:numCache>
            </c:numRef>
          </c:val>
          <c:smooth val="0"/>
          <c:extLst>
            <c:ext xmlns:c16="http://schemas.microsoft.com/office/drawing/2014/chart" uri="{C3380CC4-5D6E-409C-BE32-E72D297353CC}">
              <c16:uniqueId val="{00000003-BA89-4821-8890-A1317C50235D}"/>
            </c:ext>
          </c:extLst>
        </c:ser>
        <c:ser>
          <c:idx val="4"/>
          <c:order val="4"/>
          <c:tx>
            <c:strRef>
              <c:f>'02-NAND-Model'!$A$43</c:f>
              <c:strCache>
                <c:ptCount val="1"/>
                <c:pt idx="0">
                  <c:v>Probability weighted (mean)</c:v>
                </c:pt>
              </c:strCache>
            </c:strRef>
          </c:tx>
          <c:spPr>
            <a:ln w="38160">
              <a:solidFill>
                <a:srgbClr val="000000"/>
              </a:solidFill>
              <a:round/>
            </a:ln>
          </c:spPr>
          <c:marker>
            <c:symbol val="circle"/>
            <c:size val="7"/>
            <c:spPr>
              <a:solidFill>
                <a:srgbClr val="0000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'02-NAND-Model'!$D$38:$G$38</c:f>
              <c:strCache>
                <c:ptCount val="4"/>
                <c:pt idx="0">
                  <c:v>2025 start</c:v>
                </c:pt>
                <c:pt idx="1">
                  <c:v>2026</c:v>
                </c:pt>
                <c:pt idx="2">
                  <c:v>2027</c:v>
                </c:pt>
                <c:pt idx="3">
                  <c:v>2028</c:v>
                </c:pt>
              </c:strCache>
            </c:strRef>
          </c:cat>
          <c:val>
            <c:numRef>
              <c:f>'02-NAND-Model'!$D$43:$G$43</c:f>
              <c:numCache>
                <c:formatCode>0.0%;[Red]\-0.0%;0.0%</c:formatCode>
                <c:ptCount val="4"/>
                <c:pt idx="0">
                  <c:v>-0.025</c:v>
                </c:pt>
                <c:pt idx="1">
                  <c:v>-0.0723347834396486</c:v>
                </c:pt>
                <c:pt idx="2">
                  <c:v>-0.0580103628752265</c:v>
                </c:pt>
                <c:pt idx="3">
                  <c:v>0.012515496894063</c:v>
                </c:pt>
              </c:numCache>
            </c:numRef>
          </c:val>
          <c:smooth val="0"/>
          <c:extLst>
            <c:ext xmlns:c16="http://schemas.microsoft.com/office/drawing/2014/chart" uri="{C3380CC4-5D6E-409C-BE32-E72D297353CC}">
              <c16:uniqueId val="{00000004-BA89-4821-8890-A1317C50235D}"/>
            </c:ext>
          </c:extLst>
        </c:ser>
        <c:dLbls>
          <c:showLegendKey val="0"/>
          <c:showVal val="0"/>
          <c:showCatName val="0"/>
          <c:showSerName val="0"/>
          <c:showPercent val="0"/>
          <c:showBubbleSize val="0"/>
        </c:dLbls>
        <c:hiLowLines>
          <c:spPr>
            <a:ln w="0">
              <a:noFill/>
            </a:ln>
          </c:spPr>
        </c:hiLowLines>
        <c:marker val="1"/>
        <c:smooth val="0"/>
        <c:axId val="63579717"/>
        <c:axId val="46140880"/>
      </c:lineChart>
      <c:catAx>
        <c:axId val="63579717"/>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6140880"/>
        <c:crosses val="autoZero"/>
        <c:auto val="1"/>
        <c:lblAlgn val="ctr"/>
        <c:lblOffset val="100"/>
        <c:noMultiLvlLbl val="0"/>
      </c:catAx>
      <c:valAx>
        <c:axId val="46140880"/>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3579717"/>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 N2 base case: bit growth comes from layers and QLC, not from wafers</a:t>
            </a:r>
          </a:p>
        </c:rich>
      </c:tx>
      <c:overlay val="0"/>
      <c:spPr>
        <a:noFill/>
        <a:ln w="0">
          <a:noFill/>
        </a:ln>
      </c:spPr>
    </c:title>
    <c:autoTitleDeleted val="0"/>
    <c:plotArea>
      <c:layout/>
      <c:barChart>
        <c:barDir val="col"/>
        <c:grouping val="clustered"/>
        <c:varyColors val="0"/>
        <c:ser>
          <c:idx val="0"/>
          <c:order val="0"/>
          <c:tx>
            <c:strRef>
              <c:f>'02-NAND-Model'!$B$56</c:f>
              <c:strCache>
                <c:ptCount val="1"/>
                <c:pt idx="0">
                  <c:v>Wafer capacity contribution</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'02-NAND-Model'!$B$57:$B$59</c:f>
              <c:numCache>
                <c:formatCode>0.0%;[Red]\-0.0%;0.0%</c:formatCode>
                <c:ptCount val="3"/>
                <c:pt idx="0">
                  <c:v>-0.01</c:v>
                </c:pt>
                <c:pt idx="1">
                  <c:v>0.03</c:v>
                </c:pt>
                <c:pt idx="2">
                  <c:v>0.07</c:v>
                </c:pt>
              </c:numCache>
            </c:numRef>
          </c:val>
          <c:extLst>
            <c:ext xmlns:c16="http://schemas.microsoft.com/office/drawing/2014/chart" uri="{C3380CC4-5D6E-409C-BE32-E72D297353CC}">
              <c16:uniqueId val="{00000000-5425-434A-A9EB-5691B37A0719}"/>
            </c:ext>
          </c:extLst>
        </c:ser>
        <c:ser>
          <c:idx val="1"/>
          <c:order val="1"/>
          <c:tx>
            <c:strRef>
              <c:f>'02-NAND-Model'!$C$56</c:f>
              <c:strCache>
                <c:ptCount val="1"/>
                <c:pt idx="0">
                  <c:v>Layer stacking contribution</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'02-NAND-Model'!$C$57:$C$59</c:f>
              <c:numCache>
                <c:formatCode>0.0%;[Red]\-0.0%;0.0%</c:formatCode>
                <c:ptCount val="3"/>
                <c:pt idx="0">
                  <c:v>0.1485</c:v>
                </c:pt>
                <c:pt idx="1">
                  <c:v>0.1648</c:v>
                </c:pt>
                <c:pt idx="2">
                  <c:v>0.1605</c:v>
                </c:pt>
              </c:numCache>
            </c:numRef>
          </c:val>
          <c:extLst>
            <c:ext xmlns:c16="http://schemas.microsoft.com/office/drawing/2014/chart" uri="{C3380CC4-5D6E-409C-BE32-E72D297353CC}">
              <c16:uniqueId val="{00000001-5425-434A-A9EB-5691B37A0719}"/>
            </c:ext>
          </c:extLst>
        </c:ser>
        <c:ser>
          <c:idx val="2"/>
          <c:order val="2"/>
          <c:tx>
            <c:strRef>
              <c:f>'02-NAND-Model'!$D$56</c:f>
              <c:strCache>
                <c:ptCount val="1"/>
                <c:pt idx="0">
                  <c:v>QLC contribution</c:v>
                </c:pt>
              </c:strCache>
            </c:strRef>
          </c:tx>
          <c:spPr>
            <a:solidFill>
              <a:srgbClr val="2E9B57"/>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'02-NAND-Model'!$A$57:$A$59</c:f>
              <c:strCache>
                <c:ptCount val="3"/>
                <c:pt idx="0">
                  <c:v>2026</c:v>
                </c:pt>
                <c:pt idx="1">
                  <c:v>2027</c:v>
                </c:pt>
                <c:pt idx="2">
                  <c:v>2028</c:v>
                </c:pt>
              </c:strCache>
            </c:strRef>
          </c:cat>
          <c:val>
            <c:numRef>
              <c:f>'02-NAND-Model'!$D$57:$D$59</c:f>
              <c:numCache>
                <c:formatCode>0.0%;[Red]\-0.0%;0.0%</c:formatCode>
                <c:ptCount val="3"/>
                <c:pt idx="0">
                  <c:v>0.034155</c:v>
                </c:pt>
                <c:pt idx="1">
                  <c:v>0.05974</c:v>
                </c:pt>
                <c:pt idx="2">
                  <c:v>0.061525</c:v>
                </c:pt>
              </c:numCache>
            </c:numRef>
          </c:val>
          <c:extLst>
            <c:ext xmlns:c16="http://schemas.microsoft.com/office/drawing/2014/chart" uri="{C3380CC4-5D6E-409C-BE32-E72D297353CC}">
              <c16:uniqueId val="{00000002-5425-434A-A9EB-5691B37A0719}"/>
            </c:ext>
          </c:extLst>
        </c:ser>
        <c:dLbls>
          <c:showLegendKey val="0"/>
          <c:showVal val="0"/>
          <c:showCatName val="0"/>
          <c:showSerName val="0"/>
          <c:showPercent val="0"/>
          <c:showBubbleSize val="0"/>
        </c:dLbls>
        <c:gapWidth val="70"/>
        <c:axId val="40807836"/>
        <c:axId val="15599646"/>
      </c:barChart>
      <c:catAx>
        <c:axId val="4080783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15599646"/>
        <c:crosses val="autoZero"/>
        <c:auto val="1"/>
        <c:lblAlgn val="ctr"/>
        <c:lblOffset val="100"/>
        <c:noMultiLvlLbl val="0"/>
      </c:catAx>
      <c:valAx>
        <c:axId val="15599646"/>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080783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4 · DRAM × NAND divergence: the two lines separate in 2027</a:t>
            </a:r>
          </a:p>
        </c:rich>
      </c:tx>
      <c:overlay val="0"/>
      <c:spPr>
        <a:noFill/>
        <a:ln w="0">
          <a:noFill/>
        </a:ln>
      </c:spPr>
    </c:title>
    <c:autoTitleDeleted val="0"/>
    <c:plotArea>
      <c:layout/>
      <c:lineChart>
        <c:grouping val="standard"/>
        <c:varyColors val="0"/>
        <c:ser>
          <c:idx val="0"/>
          <c:order val="0"/>
          <c:tx>
            <c:strRef>
              <c:f>'02-NAND-Model'!$E$48</c:f>
              <c:strCache>
                <c:ptCount val="1"/>
                <c:pt idx="0">
                  <c:v>DRAM
horizontal gap</c:v>
                </c:pt>
              </c:strCache>
            </c:strRef>
          </c:tx>
          <c:spPr>
            <a:ln w="38160">
              <a:solidFill>
                <a:srgbClr val="16305B"/>
              </a:solidFill>
              <a:round/>
            </a:ln>
          </c:spPr>
          <c:marker>
            <c:symbol val="circle"/>
            <c:size val="7"/>
            <c:spPr>
              <a:solidFill>
                <a:srgbClr val="16305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'02-NAND-Model'!$A$49:$A$51</c:f>
              <c:strCache>
                <c:ptCount val="3"/>
                <c:pt idx="0">
                  <c:v>2026</c:v>
                </c:pt>
                <c:pt idx="1">
                  <c:v>2027</c:v>
                </c:pt>
                <c:pt idx="2">
                  <c:v>2028</c:v>
                </c:pt>
              </c:strCache>
            </c:strRef>
          </c:cat>
          <c:val>
            <c:numRef>
              <c:f>'02-NAND-Model'!$E$49:$E$51</c:f>
              <c:numCache>
                <c:formatCode>0.0%;[Red]\-0.0%;0.0%</c:formatCode>
                <c:ptCount val="3"/>
                <c:pt idx="0">
                  <c:v>-0.1360617840503</c:v>
                </c:pt>
                <c:pt idx="1">
                  <c:v>-0.156827528879081</c:v>
                </c:pt>
                <c:pt idx="2">
                  <c:v>-0.0841245031891783</c:v>
                </c:pt>
              </c:numCache>
            </c:numRef>
          </c:val>
          <c:smooth val="0"/>
          <c:extLst>
            <c:ext xmlns:c16="http://schemas.microsoft.com/office/drawing/2014/chart" uri="{C3380CC4-5D6E-409C-BE32-E72D297353CC}">
              <c16:uniqueId val="{00000000-4F70-4353-BA6E-047473EF60EE}"/>
            </c:ext>
          </c:extLst>
        </c:ser>
        <c:ser>
          <c:idx val="1"/>
          <c:order val="1"/>
          <c:tx>
            <c:strRef>
              <c:f>'02-NAND-Model'!$F$48</c:f>
              <c:strCache>
                <c:ptCount val="1"/>
                <c:pt idx="0">
                  <c:v>NAND
horizontal gap</c:v>
                </c:pt>
              </c:strCache>
            </c:strRef>
          </c:tx>
          <c:spPr>
            <a:ln w="3816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'02-NAND-Model'!$A$49:$A$51</c:f>
              <c:strCache>
                <c:ptCount val="3"/>
                <c:pt idx="0">
                  <c:v>2026</c:v>
                </c:pt>
                <c:pt idx="1">
                  <c:v>2027</c:v>
                </c:pt>
                <c:pt idx="2">
                  <c:v>2028</c:v>
                </c:pt>
              </c:strCache>
            </c:strRef>
          </c:cat>
          <c:val>
            <c:numRef>
              <c:f>'02-NAND-Model'!$F$49:$F$51</c:f>
              <c:numCache>
                <c:formatCode>0.0%;[Red]\-0.0%;0.0%</c:formatCode>
                <c:ptCount val="3"/>
                <c:pt idx="0">
                  <c:v>-0.0723347834396486</c:v>
                </c:pt>
                <c:pt idx="1">
                  <c:v>-0.0580103628752265</c:v>
                </c:pt>
                <c:pt idx="2">
                  <c:v>0.012515496894063</c:v>
                </c:pt>
              </c:numCache>
            </c:numRef>
          </c:val>
          <c:smooth val="0"/>
          <c:extLst>
            <c:ext xmlns:c16="http://schemas.microsoft.com/office/drawing/2014/chart" uri="{C3380CC4-5D6E-409C-BE32-E72D297353CC}">
              <c16:uniqueId val="{00000001-4F70-4353-BA6E-047473EF60EE}"/>
            </c:ext>
          </c:extLst>
        </c:ser>
        <c:dLbls>
          <c:showLegendKey val="0"/>
          <c:showVal val="0"/>
          <c:showCatName val="0"/>
          <c:showSerName val="0"/>
          <c:showPercent val="0"/>
          <c:showBubbleSize val="0"/>
        </c:dLbls>
        <c:hiLowLines>
          <c:spPr>
            <a:ln w="0">
              <a:noFill/>
            </a:ln>
          </c:spPr>
        </c:hiLowLines>
        <c:marker val="1"/>
        <c:smooth val="0"/>
        <c:axId val="4313771"/>
        <c:axId val="41213953"/>
      </c:lineChart>
      <c:catAx>
        <c:axId val="4313771"/>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1213953"/>
        <c:crosses val="autoZero"/>
        <c:auto val="1"/>
        <c:lblAlgn val="ctr"/>
        <c:lblOffset val="100"/>
        <c:noMultiLvlLbl val="0"/>
      </c:catAx>
      <c:valAx>
        <c:axId val="41213953"/>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4313771"/>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1 (v4.0 → v4.1) · Supplier inventory: from 13–17 weeks (late 2024) to under 1.5</a:t>
            </a:r>
          </a:p>
        </c:rich>
      </c:tx>
      <c:overlay val="0"/>
      <c:spPr>
        <a:noFill/>
        <a:ln w="0">
          <a:noFill/>
        </a:ln>
      </c:spPr>
    </c:title>
    <c:autoTitleDeleted val="0"/>
    <c:plotArea>
      <c:layout/>
      <c:lineChart>
        <c:grouping val="standard"/>
        <c:varyColors val="0"/>
        <c:ser>
          <c:idx val="0"/>
          <c:order val="0"/>
          <c:tx>
            <c:strRef>
              <c:f>'00-Overview'!$B$30</c:f>
              <c:strCache>
                <c:ptCount val="1"/>
                <c:pt idx="0">
                  <c:v>Inventory weeks</c:v>
                </c:pt>
              </c:strCache>
            </c:strRef>
          </c:tx>
          <c:spPr>
            <a:ln w="38160">
              <a:solidFill>
                <a:srgbClr val="B35C00"/>
              </a:solidFill>
              <a:round/>
            </a:ln>
          </c:spPr>
          <c:marker>
            <c:symbol val="circle"/>
            <c:size val="8"/>
            <c:spPr>
              <a:solidFill>
                <a:srgbClr val="B35C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'00-Overview'!$A$31:$A$35</c:f>
              <c:strCache>
                <c:ptCount val="5"/>
                <c:pt idx="0">
                  <c:v>Late 2024</c:v>
                </c:pt>
                <c:pt idx="1">
                  <c:v>End 2025 Q3</c:v>
                </c:pt>
                <c:pt idx="2">
                  <c:v>Nov 2025 (SK hynix DRAM)</c:v>
                </c:pt>
                <c:pt idx="3">
                  <c:v>July 2026</c:v>
                </c:pt>
                <c:pt idx="4">
                  <c:v>2026 Q3</c:v>
                </c:pt>
              </c:strCache>
            </c:strRef>
          </c:cat>
          <c:val>
            <c:numRef>
              <c:f>'00-Overview'!$B$31:$B$35</c:f>
              <c:numCache>
                <c:formatCode>0.00" wk"</c:formatCode>
                <c:ptCount val="5"/>
                <c:pt idx="0">
                  <c:v>15</c:v>
                </c:pt>
                <c:pt idx="1">
                  <c:v>3.3</c:v>
                </c:pt>
                <c:pt idx="2">
                  <c:v>2</c:v>
                </c:pt>
                <c:pt idx="3">
                  <c:v>4</c:v>
                </c:pt>
                <c:pt idx="4">
                  <c:v>1.43</c:v>
                </c:pt>
              </c:numCache>
            </c:numRef>
          </c:val>
          <c:smooth val="0"/>
          <c:extLst>
            <c:ext xmlns:c16="http://schemas.microsoft.com/office/drawing/2014/chart" uri="{C3380CC4-5D6E-409C-BE32-E72D297353CC}">
              <c16:uniqueId val="{00000000-32E2-4B4B-B2DD-9056A1CB80A8}"/>
            </c:ext>
          </c:extLst>
        </c:ser>
        <c:dLbls>
          <c:showLegendKey val="0"/>
          <c:showVal val="0"/>
          <c:showCatName val="0"/>
          <c:showSerName val="0"/>
          <c:showPercent val="0"/>
          <c:showBubbleSize val="0"/>
        </c:dLbls>
        <c:hiLowLines>
          <c:spPr>
            <a:ln w="0">
              <a:noFill/>
            </a:ln>
          </c:spPr>
        </c:hiLowLines>
        <c:marker val="1"/>
        <c:smooth val="0"/>
        <c:axId val="70542609"/>
        <c:axId val="3576471"/>
      </c:lineChart>
      <c:catAx>
        <c:axId val="70542609"/>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3576471"/>
        <c:crosses val="autoZero"/>
        <c:auto val="1"/>
        <c:lblAlgn val="ctr"/>
        <c:lblOffset val="100"/>
        <c:noMultiLvlLbl val="0"/>
      </c:catAx>
      <c:valAx>
        <c:axId val="3576471"/>
        <c:scaling>
          <c:orientation val="minMax"/>
        </c:scaling>
        <c:delete val="0"/>
        <c:axPos val="l"/>
        <c:majorGridlines>
          <c:spPr>
            <a:ln w="9360">
              <a:solidFill>
                <a:srgbClr val="E6EAF0"/>
              </a:solidFill>
              <a:round/>
            </a:ln>
          </c:spPr>
        </c:majorGridlines>
        <c:numFmt formatCode="0.0&quot; wk&quot;"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0542609"/>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2 (current parameters, v4.2 inputs) · 2027 growth gap by scenario: v3.0, inventory correction, all corrections</a:t>
            </a:r>
          </a:p>
        </c:rich>
      </c:tx>
      <c:overlay val="0"/>
      <c:spPr>
        <a:noFill/>
        <a:ln w="0">
          <a:noFill/>
        </a:ln>
      </c:spPr>
    </c:title>
    <c:autoTitleDeleted val="0"/>
    <c:plotArea>
      <c:layout/>
      <c:barChart>
        <c:barDir val="col"/>
        <c:grouping val="clustered"/>
        <c:varyColors val="0"/>
        <c:ser>
          <c:idx val="0"/>
          <c:order val="0"/>
          <c:tx>
            <c:strRef>
              <c:f>'06-Inventory-Burn-v4'!$D$17</c:f>
              <c:strCache>
                <c:ptCount val="1"/>
                <c:pt idx="0">
                  <c:v>2027 gap
v3.0</c:v>
                </c:pt>
              </c:strCache>
            </c:strRef>
          </c:tx>
          <c:spPr>
            <a:solidFill>
              <a:srgbClr val="9AA7B5"/>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'06-Inventory-Burn-v4'!$D$18:$D$22</c:f>
              <c:numCache>
                <c:formatCode>0.0%;[Red]\-0.0%;0.0%</c:formatCode>
                <c:ptCount val="5"/>
                <c:pt idx="0">
                  <c:v>-0.202815688371965</c:v>
                </c:pt>
                <c:pt idx="1">
                  <c:v>-0.101392376794098</c:v>
                </c:pt>
                <c:pt idx="2">
                  <c:v>0.0182059958344727</c:v>
                </c:pt>
                <c:pt idx="3">
                  <c:v>0.0929870357274054</c:v>
                </c:pt>
                <c:pt idx="4">
                  <c:v>0.20907775165108</c:v>
                </c:pt>
              </c:numCache>
            </c:numRef>
          </c:val>
          <c:extLst>
            <c:ext xmlns:c16="http://schemas.microsoft.com/office/drawing/2014/chart" uri="{C3380CC4-5D6E-409C-BE32-E72D297353CC}">
              <c16:uniqueId val="{00000000-4865-4350-8C3B-D359CCD1C584}"/>
            </c:ext>
          </c:extLst>
        </c:ser>
        <c:ser>
          <c:idx val="1"/>
          <c:order val="1"/>
          <c:tx>
            <c:strRef>
              <c:f>'06-Inventory-Burn-v4'!$E$17</c:f>
              <c:strCache>
                <c:ptCount val="1"/>
                <c:pt idx="0">
                  <c:v>2027 gap
v4.1 (inventory only)</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'06-Inventory-Burn-v4'!$E$18:$E$22</c:f>
              <c:numCache>
                <c:formatCode>0.0%;[Red]\-0.0%;0.0%</c:formatCode>
                <c:ptCount val="5"/>
                <c:pt idx="0">
                  <c:v>-0.21863107298735</c:v>
                </c:pt>
                <c:pt idx="1">
                  <c:v>-0.117207761409482</c:v>
                </c:pt>
                <c:pt idx="2">
                  <c:v>0.00239061121908807</c:v>
                </c:pt>
                <c:pt idx="3">
                  <c:v>0.0771716511120208</c:v>
                </c:pt>
                <c:pt idx="4">
                  <c:v>0.193262367035695</c:v>
                </c:pt>
              </c:numCache>
            </c:numRef>
          </c:val>
          <c:extLst>
            <c:ext xmlns:c16="http://schemas.microsoft.com/office/drawing/2014/chart" uri="{C3380CC4-5D6E-409C-BE32-E72D297353CC}">
              <c16:uniqueId val="{00000001-4865-4350-8C3B-D359CCD1C584}"/>
            </c:ext>
          </c:extLst>
        </c:ser>
        <c:ser>
          <c:idx val="2"/>
          <c:order val="2"/>
          <c:tx>
            <c:strRef>
              <c:f>'06-Inventory-Burn-v4'!$G$17</c:f>
              <c:strCache>
                <c:ptCount val="1"/>
                <c:pt idx="0">
                  <c:v>2027 gap
v4.1 (all corrections)</c:v>
                </c:pt>
              </c:strCache>
            </c:strRef>
          </c:tx>
          <c:spPr>
            <a:solidFill>
              <a:srgbClr val="16305B"/>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'06-Inventory-Burn-v4'!$A$18:$A$22</c:f>
              <c:strCache>
                <c:ptCount val="5"/>
                <c:pt idx="0">
                  <c:v>S1 Extreme tightness</c:v>
                </c:pt>
                <c:pt idx="1">
                  <c:v>S2 Base case</c:v>
                </c:pt>
                <c:pt idx="2">
                  <c:v>S3 Relief</c:v>
                </c:pt>
                <c:pt idx="3">
                  <c:v>S4 Surplus</c:v>
                </c:pt>
                <c:pt idx="4">
                  <c:v>S5 Collapse</c:v>
                </c:pt>
              </c:strCache>
            </c:strRef>
          </c:cat>
          <c:val>
            <c:numRef>
              <c:f>'06-Inventory-Burn-v4'!$G$18:$G$22</c:f>
              <c:numCache>
                <c:formatCode>0.0%;[Red]\-0.0%;0.0%</c:formatCode>
                <c:ptCount val="5"/>
                <c:pt idx="0">
                  <c:v>-0.203218317638434</c:v>
                </c:pt>
                <c:pt idx="1">
                  <c:v>-0.100743305136998</c:v>
                </c:pt>
                <c:pt idx="2">
                  <c:v>0.0191408226511458</c:v>
                </c:pt>
                <c:pt idx="3">
                  <c:v>0.0949774071131147</c:v>
                </c:pt>
                <c:pt idx="4">
                  <c:v>0.212163782894151</c:v>
                </c:pt>
              </c:numCache>
            </c:numRef>
          </c:val>
          <c:extLst>
            <c:ext xmlns:c16="http://schemas.microsoft.com/office/drawing/2014/chart" uri="{C3380CC4-5D6E-409C-BE32-E72D297353CC}">
              <c16:uniqueId val="{00000002-4865-4350-8C3B-D359CCD1C584}"/>
            </c:ext>
          </c:extLst>
        </c:ser>
        <c:dLbls>
          <c:showLegendKey val="0"/>
          <c:showVal val="0"/>
          <c:showCatName val="0"/>
          <c:showSerName val="0"/>
          <c:showPercent val="0"/>
          <c:showBubbleSize val="0"/>
        </c:dLbls>
        <c:gapWidth val="70"/>
        <c:axId val="6405976"/>
        <c:axId val="22557754"/>
      </c:barChart>
      <c:catAx>
        <c:axId val="6405976"/>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22557754"/>
        <c:crosses val="autoZero"/>
        <c:auto val="1"/>
        <c:lblAlgn val="ctr"/>
        <c:lblOffset val="100"/>
        <c:noMultiLvlLbl val="0"/>
      </c:catAx>
      <c:valAx>
        <c:axId val="22557754"/>
        <c:scaling>
          <c:orientation val="minMax"/>
        </c:scaling>
        <c:delete val="0"/>
        <c:axPos val="l"/>
        <c:majorGridlines>
          <c:spPr>
            <a:ln w="9360">
              <a:solidFill>
                <a:srgbClr val="E6EAF0"/>
              </a:solidFill>
              <a:round/>
            </a:ln>
          </c:spPr>
        </c:majorGridlines>
        <c:numFmt formatCode="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640597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sz="1300" b="1" strike="noStrike" spc="-1">
                <a:solidFill>
                  <a:srgbClr val="16305B"/>
                </a:solidFill>
                <a:latin typeface="Arial"/>
              </a:rPr>
              <a:t>Chart 3 (current parameters, v4.2 inputs) · The corrections decomposed (percentage points on the 2027 gap)</a:t>
            </a:r>
          </a:p>
        </c:rich>
      </c:tx>
      <c:overlay val="0"/>
      <c:spPr>
        <a:noFill/>
        <a:ln w="0">
          <a:noFill/>
        </a:ln>
      </c:spPr>
    </c:title>
    <c:autoTitleDeleted val="0"/>
    <c:plotArea>
      <c:layout/>
      <c:barChart>
        <c:barDir val="col"/>
        <c:grouping val="clustered"/>
        <c:varyColors val="0"/>
        <c:ser>
          <c:idx val="0"/>
          <c:order val="0"/>
          <c:tx>
            <c:strRef>
              <c:f>'06-Inventory-Burn-v4'!$D$40</c:f>
              <c:strCache>
                <c:ptCount val="1"/>
                <c:pt idx="0">
                  <c:v>Contribution (pp)</c:v>
                </c:pt>
              </c:strCache>
            </c:strRef>
          </c:tx>
          <c:spPr>
            <a:solidFill>
              <a:srgbClr val="B35C00"/>
            </a:solidFill>
            <a:ln w="0">
              <a:noFill/>
            </a:ln>
          </c:spPr>
          <c:invertIfNegative val="0"/>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'06-Inventory-Burn-v4'!$A$42:$A$44</c:f>
              <c:strCache>
                <c:ptCount val="3"/>
                <c:pt idx="0">
                  <c:v>Correction 1 · HBM penalty path from 2027 (trade-ratio step + 8-high yield relief)</c:v>
                </c:pt>
                <c:pt idx="1">
                  <c:v>Correction 2 · inventory exhaustion removes the 2026 release from the 2027 base</c:v>
                </c:pt>
                <c:pt idx="2">
                  <c:v>Correction 3 · the second de-spec caps unconstrained demand</c:v>
                </c:pt>
              </c:strCache>
            </c:strRef>
          </c:cat>
          <c:val>
            <c:numRef>
              <c:f>'06-Inventory-Burn-v4'!$D$42:$D$44</c:f>
              <c:numCache>
                <c:formatCode>\+0.0"pp";[Red]\-0.0"pp";0.0"pp"</c:formatCode>
                <c:ptCount val="3"/>
                <c:pt idx="0">
                  <c:v>-0.827199114299537</c:v>
                </c:pt>
                <c:pt idx="1">
                  <c:v>-1.58153846153847</c:v>
                </c:pt>
                <c:pt idx="2">
                  <c:v>2.5</c:v>
                </c:pt>
              </c:numCache>
            </c:numRef>
          </c:val>
          <c:extLst>
            <c:ext xmlns:c16="http://schemas.microsoft.com/office/drawing/2014/chart" uri="{C3380CC4-5D6E-409C-BE32-E72D297353CC}">
              <c16:uniqueId val="{00000000-2BAA-4669-88C9-941992B5E2E7}"/>
            </c:ext>
          </c:extLst>
        </c:ser>
        <c:dLbls>
          <c:showLegendKey val="0"/>
          <c:showVal val="0"/>
          <c:showCatName val="0"/>
          <c:showSerName val="0"/>
          <c:showPercent val="0"/>
          <c:showBubbleSize val="0"/>
        </c:dLbls>
        <c:gapWidth val="70"/>
        <c:axId val="71546420"/>
        <c:axId val="90755022"/>
      </c:barChart>
      <c:catAx>
        <c:axId val="71546420"/>
        <c:scaling>
          <c:orientation val="minMax"/>
        </c:scaling>
        <c:delete val="0"/>
        <c:axPos val="b"/>
        <c:numFmt formatCode="General"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0755022"/>
        <c:crosses val="autoZero"/>
        <c:auto val="1"/>
        <c:lblAlgn val="ctr"/>
        <c:lblOffset val="100"/>
        <c:noMultiLvlLbl val="0"/>
      </c:catAx>
      <c:valAx>
        <c:axId val="90755022"/>
        <c:scaling>
          <c:orientation val="minMax"/>
        </c:scaling>
        <c:delete val="0"/>
        <c:axPos val="l"/>
        <c:majorGridlines>
          <c:spPr>
            <a:ln w="9360">
              <a:solidFill>
                <a:srgbClr val="E6EAF0"/>
              </a:solidFill>
              <a:round/>
            </a:ln>
          </c:spPr>
        </c:majorGridlines>
        <c:numFmt formatCode="0.0&quot;pp&quot;"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71546420"/>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c:style val="2"/>
  <c:chart>
    <c:title>
      <c:tx>
        <c:rich>
          <a:bodyPr rot="0"/>
          <a:lstStyle/>
          <a:p>
            <a:pPr>
              <a:defRPr sz="1300" b="1" strike="noStrike" spc="-1">
                <a:solidFill>
                  <a:srgbClr val="16305B"/>
                </a:solidFill>
                <a:latin typeface="Arial"/>
              </a:defRPr>
            </a:pPr>
            <a:r>
              <a:rPr lang="fr-FR" sz="1300" b="1" strike="noStrike" spc="-1">
                <a:solidFill>
                  <a:srgbClr val="16305B"/>
                </a:solidFill>
                <a:latin typeface="Arial"/>
              </a:rPr>
              <a:t>8-high versus 12-high: the yield gain, and base-die dilution only when the base die is a DRAM die</a:t>
            </a:r>
          </a:p>
        </c:rich>
      </c:tx>
      <c:overlay val="0"/>
      <c:spPr>
        <a:noFill/>
        <a:ln w="0">
          <a:noFill/>
        </a:ln>
      </c:spPr>
    </c:title>
    <c:autoTitleDeleted val="0"/>
    <c:plotArea>
      <c:layout/>
      <c:lineChart>
        <c:grouping val="standard"/>
        <c:varyColors val="0"/>
        <c:ser>
          <c:idx val="0"/>
          <c:order val="0"/>
          <c:tx>
            <c:strRef>
              <c:f>'07-HBM-8High-Math-v4'!$D$14</c:f>
              <c:strCache>
                <c:ptCount val="1"/>
                <c:pt idx="0">
                  <c:v>8-high yield advantage</c:v>
                </c:pt>
              </c:strCache>
            </c:strRef>
          </c:tx>
          <c:spPr>
            <a:ln w="22320">
              <a:solidFill>
                <a:srgbClr val="2E9B57"/>
              </a:solidFill>
              <a:round/>
            </a:ln>
          </c:spPr>
          <c:marker>
            <c:symbol val="circle"/>
            <c:size val="7"/>
            <c:spPr>
              <a:solidFill>
                <a:srgbClr val="2E9B57"/>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'07-HBM-8High-Math-v4'!$D$15:$D$19</c:f>
              <c:numCache>
                <c:formatCode>0.00%;[Red]\-0.00%;0.00%</c:formatCode>
                <c:ptCount val="5"/>
                <c:pt idx="0">
                  <c:v>0.0202525220513221</c:v>
                </c:pt>
                <c:pt idx="1">
                  <c:v>0.0410203556852167</c:v>
                </c:pt>
                <c:pt idx="2">
                  <c:v>0.0841657847339399</c:v>
                </c:pt>
                <c:pt idx="3">
                  <c:v>0.129569774773163</c:v>
                </c:pt>
                <c:pt idx="4">
                  <c:v>0.227737663154826</c:v>
                </c:pt>
              </c:numCache>
            </c:numRef>
          </c:val>
          <c:smooth val="0"/>
          <c:extLst>
            <c:ext xmlns:c16="http://schemas.microsoft.com/office/drawing/2014/chart" uri="{C3380CC4-5D6E-409C-BE32-E72D297353CC}">
              <c16:uniqueId val="{00000000-39BE-4949-B506-513BD62D16AC}"/>
            </c:ext>
          </c:extLst>
        </c:ser>
        <c:ser>
          <c:idx val="1"/>
          <c:order val="1"/>
          <c:tx>
            <c:strRef>
              <c:f>'07-HBM-8High-Math-v4'!$E$14</c:f>
              <c:strCache>
                <c:ptCount val="1"/>
                <c:pt idx="0">
                  <c:v>Base-die dilution
(0 if HBM4 logic die)</c:v>
                </c:pt>
              </c:strCache>
            </c:strRef>
          </c:tx>
          <c:spPr>
            <a:ln w="22320">
              <a:solidFill>
                <a:srgbClr val="C0392B"/>
              </a:solidFill>
              <a:round/>
            </a:ln>
          </c:spPr>
          <c:marker>
            <c:symbol val="circle"/>
            <c:size val="7"/>
            <c:spPr>
              <a:solidFill>
                <a:srgbClr val="C0392B"/>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'07-HBM-8High-Math-v4'!$E$15:$E$19</c:f>
              <c:numCache>
                <c:formatCode>0.00%;[Red]\-0.00%;0.00%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39BE-4949-B506-513BD62D16AC}"/>
            </c:ext>
          </c:extLst>
        </c:ser>
        <c:ser>
          <c:idx val="2"/>
          <c:order val="2"/>
          <c:tx>
            <c:strRef>
              <c:f>'07-HBM-8High-Math-v4'!$F$14</c:f>
              <c:strCache>
                <c:ptCount val="1"/>
                <c:pt idx="0">
                  <c:v>Net wafer efficiency per bit</c:v>
                </c:pt>
              </c:strCache>
            </c:strRef>
          </c:tx>
          <c:spPr>
            <a:ln w="38160">
              <a:solidFill>
                <a:srgbClr val="B35C00"/>
              </a:solidFill>
              <a:round/>
            </a:ln>
          </c:spPr>
          <c:marker>
            <c:symbol val="circle"/>
            <c:size val="7"/>
            <c:spPr>
              <a:solidFill>
                <a:srgbClr val="B35C00"/>
              </a:solidFill>
            </c:spPr>
          </c:marker>
          <c:dLbls>
            <c:spPr>
              <a:noFill/>
              <a:ln>
                <a:noFill/>
              </a:ln>
              <a:effectLst/>
            </c:spPr>
            <c:txPr>
              <a:bodyPr wrap="none"/>
              <a:lstStyle/>
              <a:p>
                <a:pPr>
                  <a:defRPr sz="1000" b="0" strike="noStrike" spc="-1">
                    <a:latin typeface="Arial"/>
                  </a:defRPr>
                </a:pPr>
                <a:endParaRPr lang="zh-CN"/>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'07-HBM-8High-Math-v4'!$A$15:$A$19</c:f>
              <c:numCache>
                <c:formatCode>0.000</c:formatCode>
                <c:ptCount val="5"/>
                <c:pt idx="0">
                  <c:v>0.995</c:v>
                </c:pt>
                <c:pt idx="1">
                  <c:v>0.99</c:v>
                </c:pt>
                <c:pt idx="2">
                  <c:v>0.98</c:v>
                </c:pt>
                <c:pt idx="3">
                  <c:v>0.97</c:v>
                </c:pt>
                <c:pt idx="4">
                  <c:v>0.95</c:v>
                </c:pt>
              </c:numCache>
            </c:numRef>
          </c:cat>
          <c:val>
            <c:numRef>
              <c:f>'07-HBM-8High-Math-v4'!$F$15:$F$19</c:f>
              <c:numCache>
                <c:formatCode>0.00%;[Red]\-0.00%;0.00%</c:formatCode>
                <c:ptCount val="5"/>
                <c:pt idx="0">
                  <c:v>0.0202525220513221</c:v>
                </c:pt>
                <c:pt idx="1">
                  <c:v>0.0410203556852167</c:v>
                </c:pt>
                <c:pt idx="2">
                  <c:v>0.0841657847339399</c:v>
                </c:pt>
                <c:pt idx="3">
                  <c:v>0.129569774773163</c:v>
                </c:pt>
                <c:pt idx="4">
                  <c:v>0.227737663154826</c:v>
                </c:pt>
              </c:numCache>
            </c:numRef>
          </c:val>
          <c:smooth val="0"/>
          <c:extLst>
            <c:ext xmlns:c16="http://schemas.microsoft.com/office/drawing/2014/chart" uri="{C3380CC4-5D6E-409C-BE32-E72D297353CC}">
              <c16:uniqueId val="{00000002-39BE-4949-B506-513BD62D16AC}"/>
            </c:ext>
          </c:extLst>
        </c:ser>
        <c:dLbls>
          <c:showLegendKey val="0"/>
          <c:showVal val="0"/>
          <c:showCatName val="0"/>
          <c:showSerName val="0"/>
          <c:showPercent val="0"/>
          <c:showBubbleSize val="0"/>
        </c:dLbls>
        <c:hiLowLines>
          <c:spPr>
            <a:ln w="0">
              <a:noFill/>
            </a:ln>
          </c:spPr>
        </c:hiLowLines>
        <c:marker val="1"/>
        <c:smooth val="0"/>
        <c:axId val="93634906"/>
        <c:axId val="51721940"/>
      </c:lineChart>
      <c:catAx>
        <c:axId val="93634906"/>
        <c:scaling>
          <c:orientation val="minMax"/>
        </c:scaling>
        <c:delete val="0"/>
        <c:axPos val="b"/>
        <c:numFmt formatCode="0.000" sourceLinked="1"/>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51721940"/>
        <c:crosses val="autoZero"/>
        <c:auto val="1"/>
        <c:lblAlgn val="ctr"/>
        <c:lblOffset val="100"/>
        <c:noMultiLvlLbl val="0"/>
      </c:catAx>
      <c:valAx>
        <c:axId val="51721940"/>
        <c:scaling>
          <c:orientation val="minMax"/>
        </c:scaling>
        <c:delete val="0"/>
        <c:axPos val="l"/>
        <c:majorGridlines>
          <c:spPr>
            <a:ln w="9360">
              <a:solidFill>
                <a:srgbClr val="E6EAF0"/>
              </a:solidFill>
              <a:round/>
            </a:ln>
          </c:spPr>
        </c:majorGridlines>
        <c:numFmt formatCode="0.0%" sourceLinked="0"/>
        <c:majorTickMark val="none"/>
        <c:minorTickMark val="none"/>
        <c:tickLblPos val="nextTo"/>
        <c:spPr>
          <a:ln w="9360">
            <a:solidFill>
              <a:srgbClr val="B7C0CC"/>
            </a:solidFill>
            <a:round/>
          </a:ln>
        </c:spPr>
        <c:txPr>
          <a:bodyPr/>
          <a:lstStyle/>
          <a:p>
            <a:pPr>
              <a:defRPr sz="900" b="0" strike="noStrike" spc="-1">
                <a:solidFill>
                  <a:srgbClr val="595959"/>
                </a:solidFill>
                <a:latin typeface="Arial"/>
              </a:defRPr>
            </a:pPr>
            <a:endParaRPr lang="zh-CN"/>
          </a:p>
        </c:txPr>
        <c:crossAx val="93634906"/>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Arial"/>
            </a:defRPr>
          </a:pPr>
          <a:endParaRPr lang="zh-CN"/>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Scroll" dx="16" fmlaLink="'01-DRAM-Model'!$H$143" horiz="1" max="40" min="25" page="0" val="28"/>
</file>

<file path=xl/ctrlProps/ctrlProp2.xml><?xml version="1.0" encoding="utf-8"?>
<formControlPr xmlns="http://schemas.microsoft.com/office/spreadsheetml/2009/9/main" objectType="Scroll" dx="16" fmlaLink="'01-DRAM-Model'!$H$144" horiz="1" max="300" page="30" val="70"/>
</file>

<file path=xl/ctrlProps/ctrlProp3.xml><?xml version="1.0" encoding="utf-8"?>
<formControlPr xmlns="http://schemas.microsoft.com/office/spreadsheetml/2009/9/main" objectType="Scroll" dx="16" fmlaLink="'01-DRAM-Model'!$H$145" horiz="1" max="1" page="0" val="1"/>
</file>

<file path=xl/ctrlProps/ctrlProp4.xml><?xml version="1.0" encoding="utf-8"?>
<formControlPr xmlns="http://schemas.microsoft.com/office/spreadsheetml/2009/9/main" objectType="Scroll" dx="16" fmlaLink="'01-DRAM-Model'!$H$146" horiz="1" max="150" page="15" val="50"/>
</file>

<file path=xl/ctrlProps/ctrlProp5.xml><?xml version="1.0" encoding="utf-8"?>
<formControlPr xmlns="http://schemas.microsoft.com/office/spreadsheetml/2009/9/main" objectType="Scroll" dx="16" fmlaLink="'01-DRAM-Model'!$H$147" horiz="1" max="100" page="10" val="50"/>
</file>

<file path=xl/ctrlProps/ctrlProp6.xml><?xml version="1.0" encoding="utf-8"?>
<formControlPr xmlns="http://schemas.microsoft.com/office/spreadsheetml/2009/9/main" objectType="Scroll" dx="16" fmlaLink="'01-DRAM-Model'!$H$148" horiz="1" max="200" page="20" val="100"/>
</file>

<file path=xl/ctrlProps/ctrlProp7.xml><?xml version="1.0" encoding="utf-8"?>
<formControlPr xmlns="http://schemas.microsoft.com/office/spreadsheetml/2009/9/main" objectType="Scroll" dx="16" fmlaLink="'01-DRAM-Model'!$H$149" horiz="1" max="250" page="25" val="110"/>
</file>

<file path=xl/ctrlProps/ctrlProp8.xml><?xml version="1.0" encoding="utf-8"?>
<formControlPr xmlns="http://schemas.microsoft.com/office/spreadsheetml/2009/9/main" objectType="Scroll" dx="16" fmlaLink="'01-DRAM-Model'!$H$151" horiz="1" max="100" page="5" val="15"/>
</file>

<file path=xl/ctrlProps/ctrlProp9.xml><?xml version="1.0" encoding="utf-8"?>
<formControlPr xmlns="http://schemas.microsoft.com/office/spreadsheetml/2009/9/main" objectType="Scroll" dx="16" fmlaLink="'01-DRAM-Model'!$H$152" horiz="1" max="100" page="5" val="38"/>
</file>

<file path=xl/ctrlProps/ctrlProp10.xml><?xml version="1.0" encoding="utf-8"?>
<formControlPr xmlns="http://schemas.microsoft.com/office/spreadsheetml/2009/9/main" objectType="Scroll" dx="16" fmlaLink="'01-DRAM-Model'!$H$153" horiz="1" max="100" page="5" val="25"/>
</file>

<file path=xl/ctrlProps/ctrlProp11.xml><?xml version="1.0" encoding="utf-8"?>
<formControlPr xmlns="http://schemas.microsoft.com/office/spreadsheetml/2009/9/main" objectType="Scroll" dx="16" fmlaLink="'01-DRAM-Model'!$H$154" horiz="1" max="100" page="5" val="17"/>
</file>

<file path=xl/ctrlProps/ctrlProp12.xml><?xml version="1.0" encoding="utf-8"?>
<formControlPr xmlns="http://schemas.microsoft.com/office/spreadsheetml/2009/9/main" objectType="Scroll" dx="16" fmlaLink="'01-DRAM-Model'!$H$155" horiz="1" max="100" page="5" val="5"/>
</file>

<file path=xl/ctrlProps/ctrlProp13.xml><?xml version="1.0" encoding="utf-8"?>
<formControlPr xmlns="http://schemas.microsoft.com/office/spreadsheetml/2009/9/main" objectType="Scroll" dx="16" fmlaLink="'02-NAND-Model'!$H$76" horiz="1" max="150" page="15" val="25"/>
</file>

<file path=xl/ctrlProps/ctrlProp14.xml><?xml version="1.0" encoding="utf-8"?>
<formControlPr xmlns="http://schemas.microsoft.com/office/spreadsheetml/2009/9/main" objectType="Scroll" dx="16" fmlaLink="'02-NAND-Model'!$H$77" horiz="1" max="150" page="15" val="100"/>
</file>

<file path=xl/ctrlProps/ctrlProp15.xml><?xml version="1.0" encoding="utf-8"?>
<formControlPr xmlns="http://schemas.microsoft.com/office/spreadsheetml/2009/9/main" objectType="Scroll" dx="16" fmlaLink="'02-NAND-Model'!$H$78" horiz="1" max="150" page="15" val="40"/>
</file>

<file path=xl/ctrlProps/ctrlProp16.xml><?xml version="1.0" encoding="utf-8"?>
<formControlPr xmlns="http://schemas.microsoft.com/office/spreadsheetml/2009/9/main" objectType="Scroll" dx="16" fmlaLink="'02-NAND-Model'!$H$79" horiz="1" max="160" page="16" val="80"/>
</file>

<file path=xl/ctrlProps/ctrlProp17.xml><?xml version="1.0" encoding="utf-8"?>
<formControlPr xmlns="http://schemas.microsoft.com/office/spreadsheetml/2009/9/main" objectType="Scroll" dx="16" fmlaLink="'02-NAND-Model'!$H$80" horiz="1" max="100" page="10" val="50"/>
</file>

<file path=xl/ctrlProps/ctrlProp18.xml><?xml version="1.0" encoding="utf-8"?>
<formControlPr xmlns="http://schemas.microsoft.com/office/spreadsheetml/2009/9/main" objectType="Scroll" dx="16" fmlaLink="'02-NAND-Model'!$H$81" horiz="1" max="250" page="25" val="120"/>
</file>

<file path=xl/ctrlProps/ctrlProp19.xml><?xml version="1.0" encoding="utf-8"?>
<formControlPr xmlns="http://schemas.microsoft.com/office/spreadsheetml/2009/9/main" objectType="Scroll" dx="16" fmlaLink="'02-NAND-Model'!$H$83" horiz="1" max="100" page="5" val="24"/>
</file>

<file path=xl/ctrlProps/ctrlProp20.xml><?xml version="1.0" encoding="utf-8"?>
<formControlPr xmlns="http://schemas.microsoft.com/office/spreadsheetml/2009/9/main" objectType="Scroll" dx="16" fmlaLink="'02-NAND-Model'!$H$84" horiz="1" max="100" page="5" val="44"/>
</file>

<file path=xl/ctrlProps/ctrlProp21.xml><?xml version="1.0" encoding="utf-8"?>
<formControlPr xmlns="http://schemas.microsoft.com/office/spreadsheetml/2009/9/main" objectType="Scroll" dx="16" fmlaLink="'02-NAND-Model'!$H$85" horiz="1" max="100" page="5" val="27"/>
</file>

<file path=xl/ctrlProps/ctrlProp22.xml><?xml version="1.0" encoding="utf-8"?>
<formControlPr xmlns="http://schemas.microsoft.com/office/spreadsheetml/2009/9/main" objectType="Scroll" dx="16" fmlaLink="'02-NAND-Model'!$H$86" horiz="1" max="100" page="5" val="5"/>
</file>

<file path=xl/ctrlProps/ctrlProp23.xml><?xml version="1.0" encoding="utf-8"?>
<formControlPr xmlns="http://schemas.microsoft.com/office/spreadsheetml/2009/9/main" objectType="Scroll" dx="16" fmlaLink="'06-Inventory-Burn-v4'!$H$9" horiz="1" max="400" page="25" val="257"/>
</file>

<file path=xl/ctrlProps/ctrlProp24.xml><?xml version="1.0" encoding="utf-8"?>
<formControlPr xmlns="http://schemas.microsoft.com/office/spreadsheetml/2009/9/main" objectType="Scroll" dx="16" fmlaLink="'06-Inventory-Burn-v4'!$H$10" horiz="1" max="50" page="5" val="30"/>
</file>

<file path=xl/ctrlProps/ctrlProp25.xml><?xml version="1.0" encoding="utf-8"?>
<formControlPr xmlns="http://schemas.microsoft.com/office/spreadsheetml/2009/9/main" objectType="Scroll" dx="16" fmlaLink="'06-Inventory-Burn-v4'!$H$11" horiz="1" max="60" page="5" val="25"/>
</file>

<file path=xl/ctrlProps/ctrlProp26.xml><?xml version="1.0" encoding="utf-8"?>
<formControlPr xmlns="http://schemas.microsoft.com/office/spreadsheetml/2009/9/main" objectType="Scroll" dx="16" fmlaLink="'06-Inventory-Burn-v4'!$H$12" horiz="1" max="2" page="0" val="1"/>
</file>

<file path=xl/ctrlProps/ctrlProp27.xml><?xml version="1.0" encoding="utf-8"?>
<formControlPr xmlns="http://schemas.microsoft.com/office/spreadsheetml/2009/9/main" objectType="Scroll" dx="16" fmlaLink="'06-Inventory-Burn-v4'!$H$13" horiz="1" max="100" page="10" val="90"/>
</file>

<file path=xl/ctrlProps/ctrlProp28.xml><?xml version="1.0" encoding="utf-8"?>
<formControlPr xmlns="http://schemas.microsoft.com/office/spreadsheetml/2009/9/main" objectType="Scroll" dx="16" fmlaLink="'06-Inventory-Burn-v4'!$H$14" horiz="1" max="100" page="10" val="20"/>
</file>

<file path=xl/ctrlProps/ctrlProp29.xml><?xml version="1.0" encoding="utf-8"?>
<formControlPr xmlns="http://schemas.microsoft.com/office/spreadsheetml/2009/9/main" objectType="Scroll" dx="16" fmlaLink="'07-HBM-8High-Math-v4'!$H$25" horiz="1" max="999" min="900" page="5" val="975"/>
</file>

<file path=xl/ctrlProps/ctrlProp30.xml><?xml version="1.0" encoding="utf-8"?>
<formControlPr xmlns="http://schemas.microsoft.com/office/spreadsheetml/2009/9/main" objectType="Scroll" dx="16" fmlaLink="'09-v4.1-Corrections'!$H$9" horiz="1" max="100" page="10" val="50"/>
</file>

<file path=xl/ctrlProps/ctrlProp31.xml><?xml version="1.0" encoding="utf-8"?>
<formControlPr xmlns="http://schemas.microsoft.com/office/spreadsheetml/2009/9/main" objectType="Scroll" dx="16" fmlaLink="'09-v4.1-Corrections'!$H$10" horiz="1" max="100" min="30" page="10" val="64"/>
</file>

<file path=xl/ctrlProps/ctrlProp32.xml><?xml version="1.0" encoding="utf-8"?>
<formControlPr xmlns="http://schemas.microsoft.com/office/spreadsheetml/2009/9/main" objectType="Scroll" dx="16" fmlaLink="'09-v4.1-Corrections'!$H$11" horiz="1" max="100" page="10" val="50"/>
</file>

<file path=xl/ctrlProps/ctrlProp33.xml><?xml version="1.0" encoding="utf-8"?>
<formControlPr xmlns="http://schemas.microsoft.com/office/spreadsheetml/2009/9/main" objectType="Scroll" dx="16" fmlaLink="'09-v4.1-Corrections'!$H$12" horiz="1" max="150" page="10" val="80"/>
</file>

<file path=xl/ctrlProps/ctrlProp34.xml><?xml version="1.0" encoding="utf-8"?>
<formControlPr xmlns="http://schemas.microsoft.com/office/spreadsheetml/2009/9/main" objectType="Scroll" dx="16" fmlaLink="'09-v4.1-Corrections'!$H$13" horiz="1" max="1" page="0" val="0"/>
</file>

<file path=xl/ctrlProps/ctrlProp35.xml><?xml version="1.0" encoding="utf-8"?>
<formControlPr xmlns="http://schemas.microsoft.com/office/spreadsheetml/2009/9/main" objectType="Scroll" dx="16" fmlaLink="'09-v4.1-Corrections'!$H$14" horiz="1" max="1" page="0" val="1"/>
</file>

<file path=xl/ctrlProps/ctrlProp36.xml><?xml version="1.0" encoding="utf-8"?>
<formControlPr xmlns="http://schemas.microsoft.com/office/spreadsheetml/2009/9/main" objectType="Scroll" dx="16" fmlaLink="'09-v4.1-Corrections'!$H$15" horiz="1" max="200" page="10" val="80"/>
</file>

<file path=xl/ctrlProps/ctrlProp37.xml><?xml version="1.0" encoding="utf-8"?>
<formControlPr xmlns="http://schemas.microsoft.com/office/spreadsheetml/2009/9/main" objectType="Scroll" dx="16" fmlaLink="'09-v4.1-Corrections'!$H$16" horiz="1" max="100" page="10" val="15"/>
</file>

<file path=xl/ctrlProps/ctrlProp38.xml><?xml version="1.0" encoding="utf-8"?>
<formControlPr xmlns="http://schemas.microsoft.com/office/spreadsheetml/2009/9/main" objectType="Scroll" dx="16" fmlaLink="'11-v4.2-Recalibration'!$H$9" horiz="1" max="1" page="0" val="1"/>
</file>

<file path=xl/ctrlProps/ctrlProp39.xml><?xml version="1.0" encoding="utf-8"?>
<formControlPr xmlns="http://schemas.microsoft.com/office/spreadsheetml/2009/9/main" objectType="Scroll" dx="16" fmlaLink="'11-v4.2-Recalibration'!$H$10" horiz="1" max="150" page="10" val="70"/>
</file>

<file path=xl/ctrlProps/ctrlProp40.xml><?xml version="1.0" encoding="utf-8"?>
<formControlPr xmlns="http://schemas.microsoft.com/office/spreadsheetml/2009/9/main" objectType="Scroll" dx="16" fmlaLink="'11-v4.2-Recalibration'!$H$11" horiz="1" max="100" page="10" val="80"/>
</file>

<file path=xl/ctrlProps/ctrlProp41.xml><?xml version="1.0" encoding="utf-8"?>
<formControlPr xmlns="http://schemas.microsoft.com/office/spreadsheetml/2009/9/main" objectType="Scroll" dx="16" fmlaLink="'11-v4.2-Recalibration'!$H$12" horiz="1" max="250" page="10" val="160"/>
</file>

<file path=xl/ctrlProps/ctrlProp42.xml><?xml version="1.0" encoding="utf-8"?>
<formControlPr xmlns="http://schemas.microsoft.com/office/spreadsheetml/2009/9/main" objectType="Scroll" dx="16" fmlaLink="'11-v4.2-Recalibration'!$H$13" horiz="1" max="150" page="10" val="60"/>
</file>

<file path=xl/ctrlProps/ctrlProp43.xml><?xml version="1.0" encoding="utf-8"?>
<formControlPr xmlns="http://schemas.microsoft.com/office/spreadsheetml/2009/9/main" objectType="Scroll" dx="16" fmlaLink="'11-v4.2-Recalibration'!$H$14" horiz="1" max="100" page="10" val="30"/>
</file>

<file path=xl/ctrlProps/ctrlProp44.xml><?xml version="1.0" encoding="utf-8"?>
<formControlPr xmlns="http://schemas.microsoft.com/office/spreadsheetml/2009/9/main" objectType="Scroll" dx="16" fmlaLink="'11-v4.2-Recalibration'!$H$15" horiz="1" max="150" page="10" val="90"/>
</file>

<file path=xl/ctrlProps/ctrlProp45.xml><?xml version="1.0" encoding="utf-8"?>
<formControlPr xmlns="http://schemas.microsoft.com/office/spreadsheetml/2009/9/main" objectType="Scroll" dx="16" fmlaLink="'11-v4.2-Recalibration'!$H$17" horiz="1" max="1" page="0" val="0"/>
</file>

<file path=xl/ctrlProps/ctrlProp46.xml><?xml version="1.0" encoding="utf-8"?>
<formControlPr xmlns="http://schemas.microsoft.com/office/spreadsheetml/2009/9/main" objectType="Scroll" dx="16" fmlaLink="'11-v4.2-Recalibration'!$H$18" horiz="1" max="1" page="0" val="0"/>
</file>

<file path=xl/ctrlProps/ctrlProp47.xml><?xml version="1.0" encoding="utf-8"?>
<formControlPr xmlns="http://schemas.microsoft.com/office/spreadsheetml/2009/9/main" objectType="Scroll" dx="16" fmlaLink="'11-v4.2-Recalibration'!$H$19" horiz="1" max="1" page="0" val="0"/>
</file>

<file path=xl/ctrlProps/ctrlProp48.xml><?xml version="1.0" encoding="utf-8"?>
<formControlPr xmlns="http://schemas.microsoft.com/office/spreadsheetml/2009/9/main" objectType="Scroll" dx="16" fmlaLink="'11-v4.2-Recalibration'!$H$20" horiz="1" max="300" page="10" val="0"/>
</file>

<file path=xl/ctrlProps/ctrlProp49.xml><?xml version="1.0" encoding="utf-8"?>
<formControlPr xmlns="http://schemas.microsoft.com/office/spreadsheetml/2009/9/main" objectType="Scroll" dx="16" fmlaLink="'11-v4.2-Recalibration'!$H$21" horiz="1" max="100" page="10" val="5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60</xdr:row>
      <xdr:rowOff>0</xdr:rowOff>
    </xdr:from>
    <xdr:to>
      <xdr:col>7</xdr:col>
      <xdr:colOff>65520</xdr:colOff>
      <xdr:row>75</xdr:row>
      <xdr:rowOff>166320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165</xdr:row>
      <xdr:rowOff>0</xdr:rowOff>
    </xdr:from>
    <xdr:to>
      <xdr:col>9</xdr:col>
      <xdr:colOff>285480</xdr:colOff>
      <xdr:row>186</xdr:row>
      <xdr:rowOff>139320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195</xdr:row>
      <xdr:rowOff>0</xdr:rowOff>
    </xdr:from>
    <xdr:to>
      <xdr:col>9</xdr:col>
      <xdr:colOff>285480</xdr:colOff>
      <xdr:row>216</xdr:row>
      <xdr:rowOff>139320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225</xdr:row>
      <xdr:rowOff>0</xdr:rowOff>
    </xdr:from>
    <xdr:to>
      <xdr:col>9</xdr:col>
      <xdr:colOff>285480</xdr:colOff>
      <xdr:row>246</xdr:row>
      <xdr:rowOff>139320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255</xdr:row>
      <xdr:rowOff>0</xdr:rowOff>
    </xdr:from>
    <xdr:to>
      <xdr:col>9</xdr:col>
      <xdr:colOff>285480</xdr:colOff>
      <xdr:row>276</xdr:row>
      <xdr:rowOff>139320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285</xdr:row>
      <xdr:rowOff>0</xdr:rowOff>
    </xdr:from>
    <xdr:to>
      <xdr:col>9</xdr:col>
      <xdr:colOff>285480</xdr:colOff>
      <xdr:row>306</xdr:row>
      <xdr:rowOff>139320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315</xdr:row>
      <xdr:rowOff>0</xdr:rowOff>
    </xdr:from>
    <xdr:to>
      <xdr:col>9</xdr:col>
      <xdr:colOff>285480</xdr:colOff>
      <xdr:row>336</xdr:row>
      <xdr:rowOff>139320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142</xdr:row>
          <xdr:rowOff>23813</xdr:rowOff>
        </xdr:from>
        <xdr:to>
          <xdr:col>7</xdr:col>
          <xdr:colOff>0</xdr:colOff>
          <xdr:row>143</xdr:row>
          <xdr:rowOff>0</xdr:rowOff>
        </xdr:to>
        <xdr:sp macro="" textlink="">
          <xdr:nvSpPr>
            <xdr:cNvPr id="1025" name="Scroll Bar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143</xdr:row>
          <xdr:rowOff>23813</xdr:rowOff>
        </xdr:from>
        <xdr:to>
          <xdr:col>7</xdr:col>
          <xdr:colOff>0</xdr:colOff>
          <xdr:row>144</xdr:row>
          <xdr:rowOff>0</xdr:rowOff>
        </xdr:to>
        <xdr:sp macro="" textlink="">
          <xdr:nvSpPr>
            <xdr:cNvPr id="1026" name="Scroll Bar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144</xdr:row>
          <xdr:rowOff>23813</xdr:rowOff>
        </xdr:from>
        <xdr:to>
          <xdr:col>7</xdr:col>
          <xdr:colOff>0</xdr:colOff>
          <xdr:row>145</xdr:row>
          <xdr:rowOff>0</xdr:rowOff>
        </xdr:to>
        <xdr:sp macro="" textlink="">
          <xdr:nvSpPr>
            <xdr:cNvPr id="1027" name="Scroll Bar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145</xdr:row>
          <xdr:rowOff>23813</xdr:rowOff>
        </xdr:from>
        <xdr:to>
          <xdr:col>7</xdr:col>
          <xdr:colOff>0</xdr:colOff>
          <xdr:row>146</xdr:row>
          <xdr:rowOff>0</xdr:rowOff>
        </xdr:to>
        <xdr:sp macro="" textlink="">
          <xdr:nvSpPr>
            <xdr:cNvPr id="1028" name="Scroll Bar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146</xdr:row>
          <xdr:rowOff>23813</xdr:rowOff>
        </xdr:from>
        <xdr:to>
          <xdr:col>7</xdr:col>
          <xdr:colOff>0</xdr:colOff>
          <xdr:row>147</xdr:row>
          <xdr:rowOff>0</xdr:rowOff>
        </xdr:to>
        <xdr:sp macro="" textlink="">
          <xdr:nvSpPr>
            <xdr:cNvPr id="1029" name="Scroll Bar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147</xdr:row>
          <xdr:rowOff>23813</xdr:rowOff>
        </xdr:from>
        <xdr:to>
          <xdr:col>7</xdr:col>
          <xdr:colOff>0</xdr:colOff>
          <xdr:row>148</xdr:row>
          <xdr:rowOff>0</xdr:rowOff>
        </xdr:to>
        <xdr:sp macro="" textlink="">
          <xdr:nvSpPr>
            <xdr:cNvPr id="1030" name="Scroll Bar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148</xdr:row>
          <xdr:rowOff>23813</xdr:rowOff>
        </xdr:from>
        <xdr:to>
          <xdr:col>7</xdr:col>
          <xdr:colOff>0</xdr:colOff>
          <xdr:row>149</xdr:row>
          <xdr:rowOff>0</xdr:rowOff>
        </xdr:to>
        <xdr:sp macro="" textlink="">
          <xdr:nvSpPr>
            <xdr:cNvPr id="1031" name="Scroll Bar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150</xdr:row>
          <xdr:rowOff>23813</xdr:rowOff>
        </xdr:from>
        <xdr:to>
          <xdr:col>7</xdr:col>
          <xdr:colOff>0</xdr:colOff>
          <xdr:row>151</xdr:row>
          <xdr:rowOff>0</xdr:rowOff>
        </xdr:to>
        <xdr:sp macro="" textlink="">
          <xdr:nvSpPr>
            <xdr:cNvPr id="1032" name="Scroll Bar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151</xdr:row>
          <xdr:rowOff>23813</xdr:rowOff>
        </xdr:from>
        <xdr:to>
          <xdr:col>7</xdr:col>
          <xdr:colOff>0</xdr:colOff>
          <xdr:row>152</xdr:row>
          <xdr:rowOff>0</xdr:rowOff>
        </xdr:to>
        <xdr:sp macro="" textlink="">
          <xdr:nvSpPr>
            <xdr:cNvPr id="1033" name="Scroll Bar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152</xdr:row>
          <xdr:rowOff>23813</xdr:rowOff>
        </xdr:from>
        <xdr:to>
          <xdr:col>7</xdr:col>
          <xdr:colOff>0</xdr:colOff>
          <xdr:row>153</xdr:row>
          <xdr:rowOff>0</xdr:rowOff>
        </xdr:to>
        <xdr:sp macro="" textlink="">
          <xdr:nvSpPr>
            <xdr:cNvPr id="1034" name="Scroll Bar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153</xdr:row>
          <xdr:rowOff>23813</xdr:rowOff>
        </xdr:from>
        <xdr:to>
          <xdr:col>7</xdr:col>
          <xdr:colOff>0</xdr:colOff>
          <xdr:row>154</xdr:row>
          <xdr:rowOff>0</xdr:rowOff>
        </xdr:to>
        <xdr:sp macro="" textlink="">
          <xdr:nvSpPr>
            <xdr:cNvPr id="1035" name="Scroll Bar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154</xdr:row>
          <xdr:rowOff>23813</xdr:rowOff>
        </xdr:from>
        <xdr:to>
          <xdr:col>7</xdr:col>
          <xdr:colOff>0</xdr:colOff>
          <xdr:row>155</xdr:row>
          <xdr:rowOff>0</xdr:rowOff>
        </xdr:to>
        <xdr:sp macro="" textlink="">
          <xdr:nvSpPr>
            <xdr:cNvPr id="1036" name="Scroll Bar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9</xdr:col>
      <xdr:colOff>17640</xdr:colOff>
      <xdr:row>116</xdr:row>
      <xdr:rowOff>138960</xdr:rowOff>
    </xdr:to>
    <xdr:graphicFrame macro="">
      <xdr:nvGraphicFramePr>
        <xdr:cNvPr id="7" name="Chart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125</xdr:row>
      <xdr:rowOff>0</xdr:rowOff>
    </xdr:from>
    <xdr:to>
      <xdr:col>9</xdr:col>
      <xdr:colOff>17640</xdr:colOff>
      <xdr:row>146</xdr:row>
      <xdr:rowOff>138960</xdr:rowOff>
    </xdr:to>
    <xdr:graphicFrame macro="">
      <xdr:nvGraphicFramePr>
        <xdr:cNvPr id="8" name="Chart 2">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155</xdr:row>
      <xdr:rowOff>0</xdr:rowOff>
    </xdr:from>
    <xdr:to>
      <xdr:col>9</xdr:col>
      <xdr:colOff>17640</xdr:colOff>
      <xdr:row>176</xdr:row>
      <xdr:rowOff>138960</xdr:rowOff>
    </xdr:to>
    <xdr:graphicFrame macro="">
      <xdr:nvGraphicFramePr>
        <xdr:cNvPr id="9" name="Chart 3">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185</xdr:row>
      <xdr:rowOff>0</xdr:rowOff>
    </xdr:from>
    <xdr:to>
      <xdr:col>9</xdr:col>
      <xdr:colOff>17640</xdr:colOff>
      <xdr:row>206</xdr:row>
      <xdr:rowOff>138960</xdr:rowOff>
    </xdr:to>
    <xdr:graphicFrame macro="">
      <xdr:nvGraphicFramePr>
        <xdr:cNvPr id="10" name="Chart 4">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75</xdr:row>
          <xdr:rowOff>23813</xdr:rowOff>
        </xdr:from>
        <xdr:to>
          <xdr:col>7</xdr:col>
          <xdr:colOff>0</xdr:colOff>
          <xdr:row>76</xdr:row>
          <xdr:rowOff>0</xdr:rowOff>
        </xdr:to>
        <xdr:sp macro="" textlink="">
          <xdr:nvSpPr>
            <xdr:cNvPr id="2049" name="Scroll Bar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76</xdr:row>
          <xdr:rowOff>23813</xdr:rowOff>
        </xdr:from>
        <xdr:to>
          <xdr:col>7</xdr:col>
          <xdr:colOff>0</xdr:colOff>
          <xdr:row>77</xdr:row>
          <xdr:rowOff>0</xdr:rowOff>
        </xdr:to>
        <xdr:sp macro="" textlink="">
          <xdr:nvSpPr>
            <xdr:cNvPr id="2050" name="Scroll Bar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77</xdr:row>
          <xdr:rowOff>23813</xdr:rowOff>
        </xdr:from>
        <xdr:to>
          <xdr:col>7</xdr:col>
          <xdr:colOff>0</xdr:colOff>
          <xdr:row>78</xdr:row>
          <xdr:rowOff>0</xdr:rowOff>
        </xdr:to>
        <xdr:sp macro="" textlink="">
          <xdr:nvSpPr>
            <xdr:cNvPr id="2051" name="Scroll Bar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78</xdr:row>
          <xdr:rowOff>23813</xdr:rowOff>
        </xdr:from>
        <xdr:to>
          <xdr:col>7</xdr:col>
          <xdr:colOff>0</xdr:colOff>
          <xdr:row>79</xdr:row>
          <xdr:rowOff>0</xdr:rowOff>
        </xdr:to>
        <xdr:sp macro="" textlink="">
          <xdr:nvSpPr>
            <xdr:cNvPr id="2052" name="Scroll Bar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79</xdr:row>
          <xdr:rowOff>23813</xdr:rowOff>
        </xdr:from>
        <xdr:to>
          <xdr:col>7</xdr:col>
          <xdr:colOff>0</xdr:colOff>
          <xdr:row>80</xdr:row>
          <xdr:rowOff>0</xdr:rowOff>
        </xdr:to>
        <xdr:sp macro="" textlink="">
          <xdr:nvSpPr>
            <xdr:cNvPr id="2053" name="Scroll Bar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80</xdr:row>
          <xdr:rowOff>23813</xdr:rowOff>
        </xdr:from>
        <xdr:to>
          <xdr:col>7</xdr:col>
          <xdr:colOff>0</xdr:colOff>
          <xdr:row>81</xdr:row>
          <xdr:rowOff>0</xdr:rowOff>
        </xdr:to>
        <xdr:sp macro="" textlink="">
          <xdr:nvSpPr>
            <xdr:cNvPr id="2054" name="Scroll Bar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82</xdr:row>
          <xdr:rowOff>23813</xdr:rowOff>
        </xdr:from>
        <xdr:to>
          <xdr:col>7</xdr:col>
          <xdr:colOff>0</xdr:colOff>
          <xdr:row>83</xdr:row>
          <xdr:rowOff>0</xdr:rowOff>
        </xdr:to>
        <xdr:sp macro="" textlink="">
          <xdr:nvSpPr>
            <xdr:cNvPr id="2055" name="Scroll Bar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83</xdr:row>
          <xdr:rowOff>23813</xdr:rowOff>
        </xdr:from>
        <xdr:to>
          <xdr:col>7</xdr:col>
          <xdr:colOff>0</xdr:colOff>
          <xdr:row>84</xdr:row>
          <xdr:rowOff>0</xdr:rowOff>
        </xdr:to>
        <xdr:sp macro="" textlink="">
          <xdr:nvSpPr>
            <xdr:cNvPr id="2056" name="Scroll Bar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84</xdr:row>
          <xdr:rowOff>23813</xdr:rowOff>
        </xdr:from>
        <xdr:to>
          <xdr:col>7</xdr:col>
          <xdr:colOff>0</xdr:colOff>
          <xdr:row>85</xdr:row>
          <xdr:rowOff>0</xdr:rowOff>
        </xdr:to>
        <xdr:sp macro="" textlink="">
          <xdr:nvSpPr>
            <xdr:cNvPr id="2057" name="Scroll Bar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85</xdr:row>
          <xdr:rowOff>23813</xdr:rowOff>
        </xdr:from>
        <xdr:to>
          <xdr:col>7</xdr:col>
          <xdr:colOff>0</xdr:colOff>
          <xdr:row>86</xdr:row>
          <xdr:rowOff>0</xdr:rowOff>
        </xdr:to>
        <xdr:sp macro="" textlink="">
          <xdr:nvSpPr>
            <xdr:cNvPr id="2058" name="Scroll Bar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0</xdr:col>
      <xdr:colOff>0</xdr:colOff>
      <xdr:row>67</xdr:row>
      <xdr:rowOff>0</xdr:rowOff>
    </xdr:from>
    <xdr:to>
      <xdr:col>9</xdr:col>
      <xdr:colOff>11880</xdr:colOff>
      <xdr:row>88</xdr:row>
      <xdr:rowOff>139320</xdr:rowOff>
    </xdr:to>
    <xdr:graphicFrame macro="">
      <xdr:nvGraphicFramePr>
        <xdr:cNvPr id="11" name="Chart 1">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97</xdr:row>
      <xdr:rowOff>0</xdr:rowOff>
    </xdr:from>
    <xdr:to>
      <xdr:col>9</xdr:col>
      <xdr:colOff>11880</xdr:colOff>
      <xdr:row>118</xdr:row>
      <xdr:rowOff>139320</xdr:rowOff>
    </xdr:to>
    <xdr:graphicFrame macro="">
      <xdr:nvGraphicFramePr>
        <xdr:cNvPr id="12" name="Chart 2">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127</xdr:row>
      <xdr:rowOff>0</xdr:rowOff>
    </xdr:from>
    <xdr:to>
      <xdr:col>9</xdr:col>
      <xdr:colOff>11880</xdr:colOff>
      <xdr:row>148</xdr:row>
      <xdr:rowOff>139320</xdr:rowOff>
    </xdr:to>
    <xdr:graphicFrame macro="">
      <xdr:nvGraphicFramePr>
        <xdr:cNvPr id="13" name="Chart 3">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8</xdr:row>
          <xdr:rowOff>23813</xdr:rowOff>
        </xdr:from>
        <xdr:to>
          <xdr:col>7</xdr:col>
          <xdr:colOff>0</xdr:colOff>
          <xdr:row>9</xdr:row>
          <xdr:rowOff>0</xdr:rowOff>
        </xdr:to>
        <xdr:sp macro="" textlink="">
          <xdr:nvSpPr>
            <xdr:cNvPr id="3073" name="Scroll Bar 1" hidden="1">
              <a:extLst>
                <a:ext uri="{63B3BB69-23CF-44E3-9099-C40C66FF867C}">
                  <a14:compatExt spid="_x0000_s3073"/>
                </a:ext>
                <a:ext uri="{FF2B5EF4-FFF2-40B4-BE49-F238E27FC236}">
                  <a16:creationId xmlns:a16="http://schemas.microsoft.com/office/drawing/2014/main" id="{00000000-0008-0000-0600-000001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xdr:row>
          <xdr:rowOff>23813</xdr:rowOff>
        </xdr:from>
        <xdr:to>
          <xdr:col>7</xdr:col>
          <xdr:colOff>0</xdr:colOff>
          <xdr:row>10</xdr:row>
          <xdr:rowOff>0</xdr:rowOff>
        </xdr:to>
        <xdr:sp macro="" textlink="">
          <xdr:nvSpPr>
            <xdr:cNvPr id="3074" name="Scroll Bar 2" hidden="1">
              <a:extLst>
                <a:ext uri="{63B3BB69-23CF-44E3-9099-C40C66FF867C}">
                  <a14:compatExt spid="_x0000_s3074"/>
                </a:ext>
                <a:ext uri="{FF2B5EF4-FFF2-40B4-BE49-F238E27FC236}">
                  <a16:creationId xmlns:a16="http://schemas.microsoft.com/office/drawing/2014/main" id="{00000000-0008-0000-0600-000002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10</xdr:row>
          <xdr:rowOff>23813</xdr:rowOff>
        </xdr:from>
        <xdr:to>
          <xdr:col>7</xdr:col>
          <xdr:colOff>0</xdr:colOff>
          <xdr:row>11</xdr:row>
          <xdr:rowOff>0</xdr:rowOff>
        </xdr:to>
        <xdr:sp macro="" textlink="">
          <xdr:nvSpPr>
            <xdr:cNvPr id="3075" name="Scroll Bar 3" hidden="1">
              <a:extLst>
                <a:ext uri="{63B3BB69-23CF-44E3-9099-C40C66FF867C}">
                  <a14:compatExt spid="_x0000_s3075"/>
                </a:ext>
                <a:ext uri="{FF2B5EF4-FFF2-40B4-BE49-F238E27FC236}">
                  <a16:creationId xmlns:a16="http://schemas.microsoft.com/office/drawing/2014/main" id="{00000000-0008-0000-0600-000003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23813</xdr:rowOff>
        </xdr:from>
        <xdr:to>
          <xdr:col>7</xdr:col>
          <xdr:colOff>0</xdr:colOff>
          <xdr:row>12</xdr:row>
          <xdr:rowOff>0</xdr:rowOff>
        </xdr:to>
        <xdr:sp macro="" textlink="">
          <xdr:nvSpPr>
            <xdr:cNvPr id="3076" name="Scroll Bar 4" hidden="1">
              <a:extLst>
                <a:ext uri="{63B3BB69-23CF-44E3-9099-C40C66FF867C}">
                  <a14:compatExt spid="_x0000_s3076"/>
                </a:ext>
                <a:ext uri="{FF2B5EF4-FFF2-40B4-BE49-F238E27FC236}">
                  <a16:creationId xmlns:a16="http://schemas.microsoft.com/office/drawing/2014/main" id="{00000000-0008-0000-0600-000004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12</xdr:row>
          <xdr:rowOff>23813</xdr:rowOff>
        </xdr:from>
        <xdr:to>
          <xdr:col>7</xdr:col>
          <xdr:colOff>0</xdr:colOff>
          <xdr:row>13</xdr:row>
          <xdr:rowOff>0</xdr:rowOff>
        </xdr:to>
        <xdr:sp macro="" textlink="">
          <xdr:nvSpPr>
            <xdr:cNvPr id="3077" name="Scroll Bar 5" hidden="1">
              <a:extLst>
                <a:ext uri="{63B3BB69-23CF-44E3-9099-C40C66FF867C}">
                  <a14:compatExt spid="_x0000_s3077"/>
                </a:ext>
                <a:ext uri="{FF2B5EF4-FFF2-40B4-BE49-F238E27FC236}">
                  <a16:creationId xmlns:a16="http://schemas.microsoft.com/office/drawing/2014/main" id="{00000000-0008-0000-0600-000005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23813</xdr:rowOff>
        </xdr:from>
        <xdr:to>
          <xdr:col>7</xdr:col>
          <xdr:colOff>0</xdr:colOff>
          <xdr:row>14</xdr:row>
          <xdr:rowOff>0</xdr:rowOff>
        </xdr:to>
        <xdr:sp macro="" textlink="">
          <xdr:nvSpPr>
            <xdr:cNvPr id="3078" name="Scroll Bar 6" hidden="1">
              <a:extLst>
                <a:ext uri="{63B3BB69-23CF-44E3-9099-C40C66FF867C}">
                  <a14:compatExt spid="_x0000_s3078"/>
                </a:ext>
                <a:ext uri="{FF2B5EF4-FFF2-40B4-BE49-F238E27FC236}">
                  <a16:creationId xmlns:a16="http://schemas.microsoft.com/office/drawing/2014/main" id="{00000000-0008-0000-0600-000006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50</xdr:row>
      <xdr:rowOff>0</xdr:rowOff>
    </xdr:from>
    <xdr:to>
      <xdr:col>8</xdr:col>
      <xdr:colOff>250560</xdr:colOff>
      <xdr:row>71</xdr:row>
      <xdr:rowOff>139320</xdr:rowOff>
    </xdr:to>
    <xdr:graphicFrame macro="">
      <xdr:nvGraphicFramePr>
        <xdr:cNvPr id="14" name="Chart 1">
          <a:extLst>
            <a:ext uri="{FF2B5EF4-FFF2-40B4-BE49-F238E27FC236}">
              <a16:creationId xmlns:a16="http://schemas.microsoft.com/office/drawing/2014/main" id="{00000000-0008-0000-0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19050</xdr:colOff>
          <xdr:row>24</xdr:row>
          <xdr:rowOff>23813</xdr:rowOff>
        </xdr:from>
        <xdr:to>
          <xdr:col>7</xdr:col>
          <xdr:colOff>0</xdr:colOff>
          <xdr:row>25</xdr:row>
          <xdr:rowOff>0</xdr:rowOff>
        </xdr:to>
        <xdr:sp macro="" textlink="">
          <xdr:nvSpPr>
            <xdr:cNvPr id="4097" name="Scroll Bar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19050</xdr:colOff>
          <xdr:row>8</xdr:row>
          <xdr:rowOff>23813</xdr:rowOff>
        </xdr:from>
        <xdr:to>
          <xdr:col>7</xdr:col>
          <xdr:colOff>0</xdr:colOff>
          <xdr:row>9</xdr:row>
          <xdr:rowOff>0</xdr:rowOff>
        </xdr:to>
        <xdr:sp macro="" textlink="">
          <xdr:nvSpPr>
            <xdr:cNvPr id="5121" name="Scroll Bar 1" hidden="1">
              <a:extLst>
                <a:ext uri="{63B3BB69-23CF-44E3-9099-C40C66FF867C}">
                  <a14:compatExt spid="_x0000_s512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xdr:row>
          <xdr:rowOff>23813</xdr:rowOff>
        </xdr:from>
        <xdr:to>
          <xdr:col>7</xdr:col>
          <xdr:colOff>0</xdr:colOff>
          <xdr:row>10</xdr:row>
          <xdr:rowOff>0</xdr:rowOff>
        </xdr:to>
        <xdr:sp macro="" textlink="">
          <xdr:nvSpPr>
            <xdr:cNvPr id="5122" name="Scroll Bar 2" hidden="1">
              <a:extLst>
                <a:ext uri="{63B3BB69-23CF-44E3-9099-C40C66FF867C}">
                  <a14:compatExt spid="_x0000_s512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10</xdr:row>
          <xdr:rowOff>23813</xdr:rowOff>
        </xdr:from>
        <xdr:to>
          <xdr:col>7</xdr:col>
          <xdr:colOff>0</xdr:colOff>
          <xdr:row>11</xdr:row>
          <xdr:rowOff>0</xdr:rowOff>
        </xdr:to>
        <xdr:sp macro="" textlink="">
          <xdr:nvSpPr>
            <xdr:cNvPr id="5123" name="Scroll Bar 3" hidden="1">
              <a:extLst>
                <a:ext uri="{63B3BB69-23CF-44E3-9099-C40C66FF867C}">
                  <a14:compatExt spid="_x0000_s512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23813</xdr:rowOff>
        </xdr:from>
        <xdr:to>
          <xdr:col>7</xdr:col>
          <xdr:colOff>0</xdr:colOff>
          <xdr:row>12</xdr:row>
          <xdr:rowOff>0</xdr:rowOff>
        </xdr:to>
        <xdr:sp macro="" textlink="">
          <xdr:nvSpPr>
            <xdr:cNvPr id="5124" name="Scroll Bar 4" hidden="1">
              <a:extLst>
                <a:ext uri="{63B3BB69-23CF-44E3-9099-C40C66FF867C}">
                  <a14:compatExt spid="_x0000_s5124"/>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12</xdr:row>
          <xdr:rowOff>23813</xdr:rowOff>
        </xdr:from>
        <xdr:to>
          <xdr:col>7</xdr:col>
          <xdr:colOff>0</xdr:colOff>
          <xdr:row>13</xdr:row>
          <xdr:rowOff>0</xdr:rowOff>
        </xdr:to>
        <xdr:sp macro="" textlink="">
          <xdr:nvSpPr>
            <xdr:cNvPr id="5125" name="Scroll Bar 5" hidden="1">
              <a:extLst>
                <a:ext uri="{63B3BB69-23CF-44E3-9099-C40C66FF867C}">
                  <a14:compatExt spid="_x0000_s512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23813</xdr:rowOff>
        </xdr:from>
        <xdr:to>
          <xdr:col>7</xdr:col>
          <xdr:colOff>0</xdr:colOff>
          <xdr:row>14</xdr:row>
          <xdr:rowOff>0</xdr:rowOff>
        </xdr:to>
        <xdr:sp macro="" textlink="">
          <xdr:nvSpPr>
            <xdr:cNvPr id="5126" name="Scroll Bar 6" hidden="1">
              <a:extLst>
                <a:ext uri="{63B3BB69-23CF-44E3-9099-C40C66FF867C}">
                  <a14:compatExt spid="_x0000_s512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xdr:row>
          <xdr:rowOff>23813</xdr:rowOff>
        </xdr:from>
        <xdr:to>
          <xdr:col>7</xdr:col>
          <xdr:colOff>0</xdr:colOff>
          <xdr:row>15</xdr:row>
          <xdr:rowOff>0</xdr:rowOff>
        </xdr:to>
        <xdr:sp macro="" textlink="">
          <xdr:nvSpPr>
            <xdr:cNvPr id="5127" name="Scroll Bar 7" hidden="1">
              <a:extLst>
                <a:ext uri="{63B3BB69-23CF-44E3-9099-C40C66FF867C}">
                  <a14:compatExt spid="_x0000_s512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15</xdr:row>
          <xdr:rowOff>23813</xdr:rowOff>
        </xdr:from>
        <xdr:to>
          <xdr:col>7</xdr:col>
          <xdr:colOff>0</xdr:colOff>
          <xdr:row>16</xdr:row>
          <xdr:rowOff>0</xdr:rowOff>
        </xdr:to>
        <xdr:sp macro="" textlink="">
          <xdr:nvSpPr>
            <xdr:cNvPr id="5128" name="Scroll Bar 8" hidden="1">
              <a:extLst>
                <a:ext uri="{63B3BB69-23CF-44E3-9099-C40C66FF867C}">
                  <a14:compatExt spid="_x0000_s512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19050</xdr:colOff>
          <xdr:row>8</xdr:row>
          <xdr:rowOff>23813</xdr:rowOff>
        </xdr:from>
        <xdr:to>
          <xdr:col>7</xdr:col>
          <xdr:colOff>0</xdr:colOff>
          <xdr:row>9</xdr:row>
          <xdr:rowOff>0</xdr:rowOff>
        </xdr:to>
        <xdr:sp macro="" textlink="">
          <xdr:nvSpPr>
            <xdr:cNvPr id="6145" name="Scroll Bar 1" hidden="1">
              <a:extLst>
                <a:ext uri="{63B3BB69-23CF-44E3-9099-C40C66FF867C}">
                  <a14:compatExt spid="_x0000_s614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9</xdr:row>
          <xdr:rowOff>23813</xdr:rowOff>
        </xdr:from>
        <xdr:to>
          <xdr:col>7</xdr:col>
          <xdr:colOff>0</xdr:colOff>
          <xdr:row>10</xdr:row>
          <xdr:rowOff>0</xdr:rowOff>
        </xdr:to>
        <xdr:sp macro="" textlink="">
          <xdr:nvSpPr>
            <xdr:cNvPr id="6146" name="Scroll Bar 2" hidden="1">
              <a:extLst>
                <a:ext uri="{63B3BB69-23CF-44E3-9099-C40C66FF867C}">
                  <a14:compatExt spid="_x0000_s614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10</xdr:row>
          <xdr:rowOff>23813</xdr:rowOff>
        </xdr:from>
        <xdr:to>
          <xdr:col>7</xdr:col>
          <xdr:colOff>0</xdr:colOff>
          <xdr:row>11</xdr:row>
          <xdr:rowOff>0</xdr:rowOff>
        </xdr:to>
        <xdr:sp macro="" textlink="">
          <xdr:nvSpPr>
            <xdr:cNvPr id="6147" name="Scroll Bar 3" hidden="1">
              <a:extLst>
                <a:ext uri="{63B3BB69-23CF-44E3-9099-C40C66FF867C}">
                  <a14:compatExt spid="_x0000_s6147"/>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11</xdr:row>
          <xdr:rowOff>23813</xdr:rowOff>
        </xdr:from>
        <xdr:to>
          <xdr:col>7</xdr:col>
          <xdr:colOff>0</xdr:colOff>
          <xdr:row>12</xdr:row>
          <xdr:rowOff>0</xdr:rowOff>
        </xdr:to>
        <xdr:sp macro="" textlink="">
          <xdr:nvSpPr>
            <xdr:cNvPr id="6148" name="Scroll Bar 4" hidden="1">
              <a:extLst>
                <a:ext uri="{63B3BB69-23CF-44E3-9099-C40C66FF867C}">
                  <a14:compatExt spid="_x0000_s6148"/>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12</xdr:row>
          <xdr:rowOff>23813</xdr:rowOff>
        </xdr:from>
        <xdr:to>
          <xdr:col>7</xdr:col>
          <xdr:colOff>0</xdr:colOff>
          <xdr:row>13</xdr:row>
          <xdr:rowOff>0</xdr:rowOff>
        </xdr:to>
        <xdr:sp macro="" textlink="">
          <xdr:nvSpPr>
            <xdr:cNvPr id="6149" name="Scroll Bar 5" hidden="1">
              <a:extLst>
                <a:ext uri="{63B3BB69-23CF-44E3-9099-C40C66FF867C}">
                  <a14:compatExt spid="_x0000_s6149"/>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13</xdr:row>
          <xdr:rowOff>23813</xdr:rowOff>
        </xdr:from>
        <xdr:to>
          <xdr:col>7</xdr:col>
          <xdr:colOff>0</xdr:colOff>
          <xdr:row>14</xdr:row>
          <xdr:rowOff>0</xdr:rowOff>
        </xdr:to>
        <xdr:sp macro="" textlink="">
          <xdr:nvSpPr>
            <xdr:cNvPr id="6150" name="Scroll Bar 6" hidden="1">
              <a:extLst>
                <a:ext uri="{63B3BB69-23CF-44E3-9099-C40C66FF867C}">
                  <a14:compatExt spid="_x0000_s615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14</xdr:row>
          <xdr:rowOff>23813</xdr:rowOff>
        </xdr:from>
        <xdr:to>
          <xdr:col>7</xdr:col>
          <xdr:colOff>0</xdr:colOff>
          <xdr:row>15</xdr:row>
          <xdr:rowOff>0</xdr:rowOff>
        </xdr:to>
        <xdr:sp macro="" textlink="">
          <xdr:nvSpPr>
            <xdr:cNvPr id="6151" name="Scroll Bar 7" hidden="1">
              <a:extLst>
                <a:ext uri="{63B3BB69-23CF-44E3-9099-C40C66FF867C}">
                  <a14:compatExt spid="_x0000_s6151"/>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16</xdr:row>
          <xdr:rowOff>23813</xdr:rowOff>
        </xdr:from>
        <xdr:to>
          <xdr:col>7</xdr:col>
          <xdr:colOff>0</xdr:colOff>
          <xdr:row>17</xdr:row>
          <xdr:rowOff>0</xdr:rowOff>
        </xdr:to>
        <xdr:sp macro="" textlink="">
          <xdr:nvSpPr>
            <xdr:cNvPr id="6152" name="Scroll Bar 8" hidden="1">
              <a:extLst>
                <a:ext uri="{63B3BB69-23CF-44E3-9099-C40C66FF867C}">
                  <a14:compatExt spid="_x0000_s6152"/>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17</xdr:row>
          <xdr:rowOff>23813</xdr:rowOff>
        </xdr:from>
        <xdr:to>
          <xdr:col>7</xdr:col>
          <xdr:colOff>0</xdr:colOff>
          <xdr:row>18</xdr:row>
          <xdr:rowOff>0</xdr:rowOff>
        </xdr:to>
        <xdr:sp macro="" textlink="">
          <xdr:nvSpPr>
            <xdr:cNvPr id="6153" name="Scroll Bar 9" hidden="1">
              <a:extLst>
                <a:ext uri="{63B3BB69-23CF-44E3-9099-C40C66FF867C}">
                  <a14:compatExt spid="_x0000_s6153"/>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18</xdr:row>
          <xdr:rowOff>23813</xdr:rowOff>
        </xdr:from>
        <xdr:to>
          <xdr:col>7</xdr:col>
          <xdr:colOff>0</xdr:colOff>
          <xdr:row>19</xdr:row>
          <xdr:rowOff>0</xdr:rowOff>
        </xdr:to>
        <xdr:sp macro="" textlink="">
          <xdr:nvSpPr>
            <xdr:cNvPr id="6154" name="Scroll Bar 10" hidden="1">
              <a:extLst>
                <a:ext uri="{63B3BB69-23CF-44E3-9099-C40C66FF867C}">
                  <a14:compatExt spid="_x0000_s6154"/>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19</xdr:row>
          <xdr:rowOff>23813</xdr:rowOff>
        </xdr:from>
        <xdr:to>
          <xdr:col>7</xdr:col>
          <xdr:colOff>0</xdr:colOff>
          <xdr:row>20</xdr:row>
          <xdr:rowOff>0</xdr:rowOff>
        </xdr:to>
        <xdr:sp macro="" textlink="">
          <xdr:nvSpPr>
            <xdr:cNvPr id="6155" name="Scroll Bar 11" hidden="1">
              <a:extLst>
                <a:ext uri="{63B3BB69-23CF-44E3-9099-C40C66FF867C}">
                  <a14:compatExt spid="_x0000_s6155"/>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20</xdr:row>
          <xdr:rowOff>23813</xdr:rowOff>
        </xdr:from>
        <xdr:to>
          <xdr:col>7</xdr:col>
          <xdr:colOff>0</xdr:colOff>
          <xdr:row>21</xdr:row>
          <xdr:rowOff>0</xdr:rowOff>
        </xdr:to>
        <xdr:sp macro="" textlink="">
          <xdr:nvSpPr>
            <xdr:cNvPr id="6156" name="Scroll Bar 12" hidden="1">
              <a:extLst>
                <a:ext uri="{63B3BB69-23CF-44E3-9099-C40C66FF867C}">
                  <a14:compatExt spid="_x0000_s6156"/>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6.xml"/><Relationship Id="rId13" Type="http://schemas.openxmlformats.org/officeDocument/2006/relationships/ctrlProp" Target="../ctrlProps/ctrlProp11.xml"/><Relationship Id="rId3" Type="http://schemas.openxmlformats.org/officeDocument/2006/relationships/ctrlProp" Target="../ctrlProps/ctrlProp1.xml"/><Relationship Id="rId7" Type="http://schemas.openxmlformats.org/officeDocument/2006/relationships/ctrlProp" Target="../ctrlProps/ctrlProp5.xml"/><Relationship Id="rId12" Type="http://schemas.openxmlformats.org/officeDocument/2006/relationships/ctrlProp" Target="../ctrlProps/ctrlProp10.xml"/><Relationship Id="rId2" Type="http://schemas.openxmlformats.org/officeDocument/2006/relationships/vmlDrawing" Target="../drawings/vmlDrawing1.vml"/><Relationship Id="rId1" Type="http://schemas.openxmlformats.org/officeDocument/2006/relationships/drawing" Target="../drawings/drawing2.xml"/><Relationship Id="rId6" Type="http://schemas.openxmlformats.org/officeDocument/2006/relationships/ctrlProp" Target="../ctrlProps/ctrlProp4.xml"/><Relationship Id="rId11" Type="http://schemas.openxmlformats.org/officeDocument/2006/relationships/ctrlProp" Target="../ctrlProps/ctrlProp9.xml"/><Relationship Id="rId5" Type="http://schemas.openxmlformats.org/officeDocument/2006/relationships/ctrlProp" Target="../ctrlProps/ctrlProp3.xml"/><Relationship Id="rId10" Type="http://schemas.openxmlformats.org/officeDocument/2006/relationships/ctrlProp" Target="../ctrlProps/ctrlProp8.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8.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28.xml"/><Relationship Id="rId3" Type="http://schemas.openxmlformats.org/officeDocument/2006/relationships/ctrlProp" Target="../ctrlProps/ctrlProp23.xml"/><Relationship Id="rId7" Type="http://schemas.openxmlformats.org/officeDocument/2006/relationships/ctrlProp" Target="../ctrlProps/ctrlProp27.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6.xml"/><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29.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5.vml"/><Relationship Id="rId3" Type="http://schemas.openxmlformats.org/officeDocument/2006/relationships/ctrlProp" Target="../ctrlProps/ctrlProp30.xml"/><Relationship Id="rId4" Type="http://schemas.openxmlformats.org/officeDocument/2006/relationships/ctrlProp" Target="../ctrlProps/ctrlProp31.xml"/><Relationship Id="rId5" Type="http://schemas.openxmlformats.org/officeDocument/2006/relationships/ctrlProp" Target="../ctrlProps/ctrlProp32.xml"/><Relationship Id="rId6" Type="http://schemas.openxmlformats.org/officeDocument/2006/relationships/ctrlProp" Target="../ctrlProps/ctrlProp33.xml"/><Relationship Id="rId7" Type="http://schemas.openxmlformats.org/officeDocument/2006/relationships/ctrlProp" Target="../ctrlProps/ctrlProp34.xml"/><Relationship Id="rId8" Type="http://schemas.openxmlformats.org/officeDocument/2006/relationships/ctrlProp" Target="../ctrlProps/ctrlProp35.xml"/><Relationship Id="rId9" Type="http://schemas.openxmlformats.org/officeDocument/2006/relationships/ctrlProp" Target="../ctrlProps/ctrlProp36.xml"/><Relationship Id="rId10" Type="http://schemas.openxmlformats.org/officeDocument/2006/relationships/ctrlProp" Target="../ctrlProps/ctrlProp3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6.vml"/><Relationship Id="rId3" Type="http://schemas.openxmlformats.org/officeDocument/2006/relationships/ctrlProp" Target="../ctrlProps/ctrlProp38.xml"/><Relationship Id="rId4" Type="http://schemas.openxmlformats.org/officeDocument/2006/relationships/ctrlProp" Target="../ctrlProps/ctrlProp39.xml"/><Relationship Id="rId5" Type="http://schemas.openxmlformats.org/officeDocument/2006/relationships/ctrlProp" Target="../ctrlProps/ctrlProp40.xml"/><Relationship Id="rId6" Type="http://schemas.openxmlformats.org/officeDocument/2006/relationships/ctrlProp" Target="../ctrlProps/ctrlProp41.xml"/><Relationship Id="rId7" Type="http://schemas.openxmlformats.org/officeDocument/2006/relationships/ctrlProp" Target="../ctrlProps/ctrlProp42.xml"/><Relationship Id="rId8" Type="http://schemas.openxmlformats.org/officeDocument/2006/relationships/ctrlProp" Target="../ctrlProps/ctrlProp43.xml"/><Relationship Id="rId9" Type="http://schemas.openxmlformats.org/officeDocument/2006/relationships/ctrlProp" Target="../ctrlProps/ctrlProp44.xml"/><Relationship Id="rId10" Type="http://schemas.openxmlformats.org/officeDocument/2006/relationships/ctrlProp" Target="../ctrlProps/ctrlProp45.xml"/><Relationship Id="rId11" Type="http://schemas.openxmlformats.org/officeDocument/2006/relationships/ctrlProp" Target="../ctrlProps/ctrlProp46.xml"/><Relationship Id="rId12" Type="http://schemas.openxmlformats.org/officeDocument/2006/relationships/ctrlProp" Target="../ctrlProps/ctrlProp47.xml"/><Relationship Id="rId13" Type="http://schemas.openxmlformats.org/officeDocument/2006/relationships/ctrlProp" Target="../ctrlProps/ctrlProp48.xml"/><Relationship Id="rId14" Type="http://schemas.openxmlformats.org/officeDocument/2006/relationships/ctrlProp" Target="../ctrlProps/ctrlProp4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305B"/>
  </sheetPr>
  <dimension ref="A1:I105"/>
  <sheetViews>
    <sheetView tabSelected="1" showGridLines="0" topLeftCell="A78" zoomScaleNormal="100" workbookViewId="0">
      <selection sqref="A1:I1"/>
    </sheetView>
  </sheetViews>
  <sheetFormatPr defaultColWidth="8.6640625" defaultRowHeight="14.25" x14ac:dyDescent="0.45"/>
  <cols>
    <col min="1" max="1" width="22" customWidth="1"/>
    <col min="2" max="2" width="20" customWidth="1"/>
    <col min="3" max="3" width="13.6640625" customWidth="1"/>
    <col min="4" max="4" width="11" customWidth="1"/>
    <col min="5" max="7" width="11.46484375" customWidth="1"/>
    <col min="8" max="8" width="13" customWidth="1"/>
    <col min="9" max="9" width="22" customWidth="1"/>
  </cols>
  <sheetData>
    <row r="1" spans="1:9" ht="37.5" customHeight="1" x14ac:dyDescent="0.45">
      <c r="A1" s="167" t="s">
        <v>0</v>
      </c>
      <c r="B1" s="167"/>
      <c r="C1" s="167"/>
      <c r="D1" s="167"/>
      <c r="E1" s="167"/>
      <c r="F1" s="167"/>
      <c r="G1" s="167"/>
      <c r="H1" s="167"/>
      <c r="I1" s="167"/>
    </row>
    <row r="2" spans="1:9" ht="31.5" customHeight="1" x14ac:dyDescent="0.45">
      <c r="A2" s="327" t="s">
        <v>1824</v>
      </c>
      <c r="B2" s="327"/>
      <c r="C2" s="327"/>
      <c r="D2" s="327"/>
      <c r="E2" s="327"/>
      <c r="F2" s="327"/>
      <c r="G2" s="327"/>
      <c r="H2" s="327"/>
      <c r="I2" s="327"/>
    </row>
    <row r="3" ht="33" customHeight="1" spans="1:9">
      <c r="A3" s="301" t="s">
        <v>1825</v>
      </c>
      <c r="B3" s="301"/>
      <c r="C3" s="301"/>
      <c r="D3" s="301"/>
      <c r="E3" s="301"/>
      <c r="F3" s="301"/>
      <c r="G3" s="301"/>
      <c r="H3" s="301"/>
      <c r="I3" s="301"/>
    </row>
    <row r="4" spans="1:9" ht="24" customHeight="1" x14ac:dyDescent="0.45">
      <c r="A4" s="155" t="s">
        <v>2</v>
      </c>
      <c r="B4" s="155"/>
      <c r="C4" s="155"/>
      <c r="D4" s="155"/>
      <c r="E4" s="155"/>
      <c r="F4" s="155"/>
      <c r="G4" s="155"/>
      <c r="H4" s="155"/>
      <c r="I4" s="155"/>
    </row>
    <row r="5" spans="1:9" ht="84" customHeight="1" x14ac:dyDescent="0.45">
      <c r="A5" s="328" t="s">
        <v>1826</v>
      </c>
      <c r="B5" s="328"/>
      <c r="C5" s="328"/>
      <c r="D5" s="328"/>
      <c r="E5" s="328"/>
      <c r="F5" s="328"/>
      <c r="G5" s="328"/>
      <c r="H5" s="328"/>
      <c r="I5" s="328"/>
    </row>
    <row r="6" spans="1:9" ht="17.25" customHeight="1" x14ac:dyDescent="0.45">
      <c r="A6" s="3" t="s">
        <v>4</v>
      </c>
      <c r="B6" s="157" t="s">
        <v>5</v>
      </c>
      <c r="C6" s="157"/>
      <c r="D6" s="157"/>
      <c r="E6" s="157"/>
      <c r="F6" s="157"/>
      <c r="G6" s="157"/>
      <c r="H6" s="157"/>
      <c r="I6" s="157"/>
    </row>
    <row r="7" spans="1:9" ht="17.25" customHeight="1" x14ac:dyDescent="0.45">
      <c r="A7" s="3" t="s">
        <v>6</v>
      </c>
      <c r="B7" s="157" t="s">
        <v>7</v>
      </c>
      <c r="C7" s="157"/>
      <c r="D7" s="157"/>
      <c r="E7" s="157"/>
      <c r="F7" s="157"/>
      <c r="G7" s="157"/>
      <c r="H7" s="157"/>
      <c r="I7" s="157"/>
    </row>
    <row r="8" spans="1:9" ht="17.25" customHeight="1" x14ac:dyDescent="0.45">
      <c r="A8" s="3" t="s">
        <v>8</v>
      </c>
      <c r="B8" s="157" t="s">
        <v>9</v>
      </c>
      <c r="C8" s="157"/>
      <c r="D8" s="157"/>
      <c r="E8" s="157"/>
      <c r="F8" s="157"/>
      <c r="G8" s="157"/>
      <c r="H8" s="157"/>
      <c r="I8" s="157"/>
    </row>
    <row r="9" spans="1:9" ht="17.25" customHeight="1" x14ac:dyDescent="0.45">
      <c r="A9" s="3" t="s">
        <v>10</v>
      </c>
      <c r="B9" s="157" t="s">
        <v>11</v>
      </c>
      <c r="C9" s="157"/>
      <c r="D9" s="157"/>
      <c r="E9" s="157"/>
      <c r="F9" s="157"/>
      <c r="G9" s="157"/>
      <c r="H9" s="157"/>
      <c r="I9" s="157"/>
    </row>
    <row r="10" spans="1:9" ht="17.25" customHeight="1" x14ac:dyDescent="0.45">
      <c r="A10" s="3" t="s">
        <v>12</v>
      </c>
      <c r="B10" s="157" t="s">
        <v>13</v>
      </c>
      <c r="C10" s="157"/>
      <c r="D10" s="157"/>
      <c r="E10" s="157"/>
      <c r="F10" s="157"/>
      <c r="G10" s="157"/>
      <c r="H10" s="157"/>
      <c r="I10" s="157"/>
    </row>
    <row r="11" spans="1:9" ht="17.25" customHeight="1" x14ac:dyDescent="0.45">
      <c r="A11" s="4" t="s">
        <v>14</v>
      </c>
      <c r="B11" s="157" t="s">
        <v>15</v>
      </c>
      <c r="C11" s="157"/>
      <c r="D11" s="157"/>
      <c r="E11" s="157"/>
      <c r="F11" s="157"/>
      <c r="G11" s="157"/>
      <c r="H11" s="157"/>
      <c r="I11" s="157"/>
    </row>
    <row r="12" ht="17.25" customHeight="1" spans="1:9">
      <c r="A12" t="s" s="237">
        <v>1331</v>
      </c>
      <c r="B12" s="157" t="s">
        <v>1332</v>
      </c>
      <c r="C12" s="157"/>
      <c r="D12" s="157"/>
      <c r="E12" s="157"/>
      <c r="F12" s="157"/>
      <c r="G12" s="157"/>
      <c r="H12" s="157"/>
      <c r="I12" s="157"/>
    </row>
    <row r="13" spans="1:9" ht="24" customHeight="1" x14ac:dyDescent="0.45">
      <c r="A13" s="155" t="s">
        <v>16</v>
      </c>
      <c r="B13" s="155"/>
      <c r="C13" s="155"/>
      <c r="D13" s="155"/>
      <c r="E13" s="155"/>
      <c r="F13" s="155"/>
      <c r="G13" s="155"/>
      <c r="H13" s="155"/>
      <c r="I13" s="155"/>
    </row>
    <row r="14" spans="1:9" ht="18.75" customHeight="1" x14ac:dyDescent="0.45">
      <c r="A14" s="5" t="s">
        <v>17</v>
      </c>
      <c r="B14" s="176" t="s">
        <v>18</v>
      </c>
      <c r="C14" s="176"/>
      <c r="D14" s="176"/>
      <c r="E14" s="176"/>
      <c r="F14" s="176"/>
      <c r="G14" s="176"/>
      <c r="H14" s="176"/>
      <c r="I14" s="176"/>
    </row>
    <row r="15" spans="1:9" ht="18.75" customHeight="1" x14ac:dyDescent="0.45">
      <c r="A15" s="6"/>
      <c r="B15" s="157" t="s">
        <v>19</v>
      </c>
      <c r="C15" s="157"/>
      <c r="D15" s="157"/>
      <c r="E15" s="157"/>
      <c r="F15" s="157"/>
      <c r="G15" s="157"/>
      <c r="H15" s="157"/>
      <c r="I15" s="157"/>
    </row>
    <row r="16" spans="1:9" ht="18.75" customHeight="1" x14ac:dyDescent="0.45">
      <c r="A16" s="5" t="s">
        <v>20</v>
      </c>
      <c r="B16" s="176" t="s">
        <v>21</v>
      </c>
      <c r="C16" s="176"/>
      <c r="D16" s="176"/>
      <c r="E16" s="176"/>
      <c r="F16" s="176"/>
      <c r="G16" s="176"/>
      <c r="H16" s="176"/>
      <c r="I16" s="176"/>
    </row>
    <row r="17" spans="1:9" ht="18.75" customHeight="1" x14ac:dyDescent="0.45">
      <c r="A17" s="6"/>
      <c r="B17" s="157" t="s">
        <v>22</v>
      </c>
      <c r="C17" s="157"/>
      <c r="D17" s="157"/>
      <c r="E17" s="157"/>
      <c r="F17" s="157"/>
      <c r="G17" s="157"/>
      <c r="H17" s="157"/>
      <c r="I17" s="157"/>
    </row>
    <row r="18" spans="1:9" ht="48" customHeight="1" x14ac:dyDescent="0.45">
      <c r="A18" s="264" t="s">
        <v>1333</v>
      </c>
      <c r="B18" s="264"/>
      <c r="C18" s="264"/>
      <c r="D18" s="264"/>
      <c r="E18" s="264"/>
      <c r="F18" s="264"/>
      <c r="G18" s="264"/>
      <c r="H18" s="264"/>
      <c r="I18" s="264"/>
    </row>
    <row r="20" spans="1:9" ht="24" customHeight="1" x14ac:dyDescent="0.45">
      <c r="A20" s="155" t="s">
        <v>24</v>
      </c>
      <c r="B20" s="155"/>
      <c r="C20" s="155"/>
      <c r="D20" s="155"/>
      <c r="E20" s="155"/>
      <c r="F20" s="155"/>
      <c r="G20" s="155"/>
      <c r="H20" s="155"/>
      <c r="I20" s="155"/>
    </row>
    <row r="21" spans="1:9" ht="20.25" customHeight="1" x14ac:dyDescent="0.45">
      <c r="A21" s="162" t="s">
        <v>25</v>
      </c>
      <c r="B21" s="162"/>
      <c r="C21" s="162"/>
      <c r="D21" s="162"/>
      <c r="E21" s="162"/>
      <c r="F21" s="162"/>
      <c r="G21" s="162"/>
      <c r="H21" s="162"/>
      <c r="I21" s="162"/>
    </row>
    <row r="22" spans="1:9" ht="27" customHeight="1" x14ac:dyDescent="0.45">
      <c r="A22" s="2" t="s">
        <v>26</v>
      </c>
      <c r="B22" s="2" t="s">
        <v>27</v>
      </c>
      <c r="C22" s="156" t="s">
        <v>28</v>
      </c>
      <c r="D22" s="156"/>
      <c r="E22" s="156"/>
      <c r="F22" s="156" t="s">
        <v>29</v>
      </c>
      <c r="G22" s="156"/>
      <c r="H22" s="156" t="s">
        <v>30</v>
      </c>
      <c r="I22" s="156"/>
    </row>
    <row r="23" spans="1:9" ht="87" customHeight="1" x14ac:dyDescent="0.45">
      <c r="A23" s="7" t="s">
        <v>31</v>
      </c>
      <c r="B23" s="8" t="s">
        <v>32</v>
      </c>
      <c r="C23" s="173" t="s">
        <v>33</v>
      </c>
      <c r="D23" s="173"/>
      <c r="E23" s="173"/>
      <c r="F23" s="174" t="s">
        <v>34</v>
      </c>
      <c r="G23" s="174"/>
      <c r="H23" s="175" t="s">
        <v>35</v>
      </c>
      <c r="I23" s="175"/>
    </row>
    <row r="24" spans="1:9" ht="59.25" customHeight="1" x14ac:dyDescent="0.45">
      <c r="A24" s="7" t="s">
        <v>36</v>
      </c>
      <c r="B24" s="8" t="s">
        <v>37</v>
      </c>
      <c r="C24" s="173" t="s">
        <v>38</v>
      </c>
      <c r="D24" s="173"/>
      <c r="E24" s="173"/>
      <c r="F24" s="174" t="s">
        <v>39</v>
      </c>
      <c r="G24" s="174"/>
      <c r="H24" s="175" t="s">
        <v>40</v>
      </c>
      <c r="I24" s="175"/>
    </row>
    <row r="25" spans="1:9" ht="59.25" customHeight="1" x14ac:dyDescent="0.45">
      <c r="A25" s="7" t="s">
        <v>41</v>
      </c>
      <c r="B25" s="8" t="s">
        <v>42</v>
      </c>
      <c r="C25" s="173" t="s">
        <v>43</v>
      </c>
      <c r="D25" s="173"/>
      <c r="E25" s="173"/>
      <c r="F25" s="174" t="s">
        <v>44</v>
      </c>
      <c r="G25" s="174"/>
      <c r="H25" s="175" t="s">
        <v>45</v>
      </c>
      <c r="I25" s="175"/>
    </row>
    <row r="26" spans="1:9" ht="59.25" customHeight="1" x14ac:dyDescent="0.45">
      <c r="A26" s="7" t="s">
        <v>46</v>
      </c>
      <c r="B26" s="8" t="s">
        <v>47</v>
      </c>
      <c r="C26" s="173" t="s">
        <v>48</v>
      </c>
      <c r="D26" s="173"/>
      <c r="E26" s="173"/>
      <c r="F26" s="174" t="s">
        <v>49</v>
      </c>
      <c r="G26" s="174"/>
      <c r="H26" s="175" t="s">
        <v>50</v>
      </c>
      <c r="I26" s="175"/>
    </row>
    <row r="27" spans="1:9" ht="33" customHeight="1" x14ac:dyDescent="0.45">
      <c r="A27" s="208" t="s">
        <v>1338</v>
      </c>
      <c r="B27" s="208"/>
      <c r="C27" s="208"/>
      <c r="D27" s="208"/>
      <c r="E27" s="208"/>
      <c r="F27" s="208"/>
      <c r="G27" s="208"/>
      <c r="H27" s="208"/>
      <c r="I27" s="208"/>
    </row>
    <row r="29" spans="1:9" ht="24" customHeight="1" x14ac:dyDescent="0.45">
      <c r="A29" s="246" t="s">
        <v>1334</v>
      </c>
      <c r="B29" s="246"/>
      <c r="C29" s="246"/>
      <c r="D29" s="246"/>
      <c r="E29" s="246"/>
      <c r="F29" s="246"/>
      <c r="G29" s="246"/>
      <c r="H29" s="246"/>
      <c r="I29" s="246"/>
    </row>
    <row r="30" spans="1:9" ht="27" customHeight="1" x14ac:dyDescent="0.45">
      <c r="A30" s="1" t="s">
        <v>53</v>
      </c>
      <c r="B30" s="1" t="s">
        <v>54</v>
      </c>
      <c r="C30" s="172" t="s">
        <v>55</v>
      </c>
      <c r="D30" s="172"/>
      <c r="E30" s="172"/>
      <c r="F30" s="172"/>
      <c r="G30" s="172" t="s">
        <v>56</v>
      </c>
      <c r="H30" s="172"/>
      <c r="I30" s="172"/>
    </row>
    <row r="31" spans="1:9" ht="31.5" customHeight="1" x14ac:dyDescent="0.45">
      <c r="A31" s="287" t="s">
        <v>1339</v>
      </c>
      <c r="B31" s="288">
        <v>15</v>
      </c>
      <c r="C31" s="229" t="s">
        <v>1340</v>
      </c>
      <c r="D31" s="229"/>
      <c r="E31" s="229"/>
      <c r="F31" s="229"/>
      <c r="G31" s="151"/>
      <c r="H31" s="151"/>
      <c r="I31" s="151"/>
    </row>
    <row r="32" spans="1:9" ht="31.5" customHeight="1" x14ac:dyDescent="0.45">
      <c r="A32" s="9" t="s">
        <v>59</v>
      </c>
      <c r="B32" s="10">
        <v>3.3</v>
      </c>
      <c r="C32" s="151" t="s">
        <v>60</v>
      </c>
      <c r="D32" s="151"/>
      <c r="E32" s="151"/>
      <c r="F32" s="151"/>
      <c r="G32" s="229" t="s">
        <v>1341</v>
      </c>
      <c r="H32" s="229"/>
      <c r="I32" s="229"/>
    </row>
    <row r="33" spans="1:9" ht="31.5" customHeight="1" x14ac:dyDescent="0.45">
      <c r="A33" s="11" t="s">
        <v>62</v>
      </c>
      <c r="B33" s="12">
        <v>2</v>
      </c>
      <c r="C33" s="153" t="s">
        <v>63</v>
      </c>
      <c r="D33" s="153"/>
      <c r="E33" s="153"/>
      <c r="F33" s="153"/>
      <c r="G33" s="151"/>
      <c r="H33" s="151"/>
      <c r="I33" s="151"/>
    </row>
    <row r="34" spans="1:9" ht="31.5" customHeight="1" x14ac:dyDescent="0.45">
      <c r="A34" s="9" t="s">
        <v>64</v>
      </c>
      <c r="B34" s="10">
        <v>4</v>
      </c>
      <c r="C34" s="151" t="s">
        <v>65</v>
      </c>
      <c r="D34" s="151"/>
      <c r="E34" s="151"/>
      <c r="F34" s="151"/>
      <c r="G34" s="151"/>
      <c r="H34" s="151"/>
      <c r="I34" s="151"/>
    </row>
    <row r="35" spans="1:9" ht="45" customHeight="1" x14ac:dyDescent="0.45">
      <c r="A35" s="11" t="s">
        <v>66</v>
      </c>
      <c r="B35" s="12">
        <v>1.43</v>
      </c>
      <c r="C35" s="153" t="s">
        <v>67</v>
      </c>
      <c r="D35" s="153"/>
      <c r="E35" s="153"/>
      <c r="F35" s="153"/>
      <c r="G35" s="229" t="str">
        <f>"Gross 4.9% of 2026 supply released at Samsung + SK hynix; ▲ v4.1: "&amp;SUBSTITUTE(TEXT('09-v4.1-Corrections'!$B$17,"0.0%"),"-","−")&amp;" effective after coverage and the share consumed (φ)"</f>
        <v>Gross 4.9% of 2026 supply released at Samsung + SK hynix; ▲ v4.1: 1.6% effective after coverage and the share consumed (φ)</v>
      </c>
      <c r="H35" s="229"/>
      <c r="I35" s="229"/>
    </row>
    <row r="36" spans="1:9" ht="31.5" customHeight="1" x14ac:dyDescent="0.45">
      <c r="A36" s="11" t="s">
        <v>69</v>
      </c>
      <c r="B36" s="12">
        <v>5.35</v>
      </c>
      <c r="C36" s="153" t="s">
        <v>70</v>
      </c>
      <c r="D36" s="153"/>
      <c r="E36" s="153"/>
      <c r="F36" s="153"/>
      <c r="G36" s="151"/>
      <c r="H36" s="151"/>
      <c r="I36" s="151"/>
    </row>
    <row r="37" spans="1:9" ht="31.5" customHeight="1" x14ac:dyDescent="0.45">
      <c r="A37" s="9" t="s">
        <v>71</v>
      </c>
      <c r="B37" s="286">
        <f>'01-DRAM-Model'!$B$10</f>
        <v>6</v>
      </c>
      <c r="C37" s="229" t="s">
        <v>1335</v>
      </c>
      <c r="D37" s="229"/>
      <c r="E37" s="229"/>
      <c r="F37" s="229"/>
      <c r="G37" s="151" t="s">
        <v>73</v>
      </c>
      <c r="H37" s="151"/>
      <c r="I37" s="151"/>
    </row>
    <row r="38" spans="1:9" ht="84" customHeight="1" x14ac:dyDescent="0.45">
      <c r="A38" s="259" t="s">
        <v>1337</v>
      </c>
      <c r="B38" s="259"/>
      <c r="C38" s="259"/>
      <c r="D38" s="259"/>
      <c r="E38" s="259"/>
      <c r="F38" s="259"/>
      <c r="G38" s="259"/>
      <c r="H38" s="259"/>
      <c r="I38" s="259"/>
    </row>
    <row r="40" spans="1:9" ht="24" customHeight="1" x14ac:dyDescent="0.45">
      <c r="A40" s="155" t="s">
        <v>75</v>
      </c>
      <c r="B40" s="155"/>
      <c r="C40" s="155"/>
      <c r="D40" s="155"/>
      <c r="E40" s="155"/>
      <c r="F40" s="155"/>
      <c r="G40" s="155"/>
      <c r="H40" s="155"/>
      <c r="I40" s="155"/>
    </row>
    <row r="41" spans="1:9" ht="27" customHeight="1" x14ac:dyDescent="0.45">
      <c r="A41" s="2" t="s">
        <v>76</v>
      </c>
      <c r="B41" s="2" t="s">
        <v>27</v>
      </c>
      <c r="C41" s="2" t="s">
        <v>77</v>
      </c>
      <c r="D41" s="2" t="s">
        <v>78</v>
      </c>
      <c r="E41" s="2" t="s">
        <v>79</v>
      </c>
      <c r="F41" s="2" t="s">
        <v>80</v>
      </c>
      <c r="G41" s="2" t="s">
        <v>81</v>
      </c>
      <c r="H41" s="156" t="s">
        <v>82</v>
      </c>
      <c r="I41" s="156"/>
    </row>
    <row r="42" spans="1:9" ht="31.5" customHeight="1" x14ac:dyDescent="0.45">
      <c r="A42" s="13" t="s">
        <v>17</v>
      </c>
      <c r="B42" s="14" t="s">
        <v>83</v>
      </c>
      <c r="C42" s="15" t="s">
        <v>84</v>
      </c>
      <c r="D42" s="16">
        <f>'01-DRAM-Model'!D53</f>
        <v>-0.091210969195974</v>
      </c>
      <c r="E42" s="16">
        <f>'01-DRAM-Model'!E53</f>
        <v>-0.0381382738227208</v>
      </c>
      <c r="F42" s="16">
        <f>'01-DRAM-Model'!F53</f>
        <v>0.0724066707837913</v>
      </c>
      <c r="G42" s="289" t="str">
        <f>CHOOSE(MATCH(MIN(D42:F42),D42:F42,0),"2026","2027","2028")</f>
        <v>2026</v>
      </c>
      <c r="H42" s="229" t="str">
        <f>IF(D42&gt;0,"Growth gap positive from 2026",IF(E42&gt;0,"Growth gap turns positive in 2027",IF(F42&gt;0,"Growth gap turns positive in 2028","Growth gap negative through 2028")))</f>
        <v>Growth gap turns positive in 2028</v>
      </c>
      <c r="I42" s="229"/>
    </row>
    <row r="43" spans="1:9" ht="31.5" customHeight="1" x14ac:dyDescent="0.45">
      <c r="A43" s="13" t="s">
        <v>17</v>
      </c>
      <c r="B43" s="14" t="s">
        <v>86</v>
      </c>
      <c r="C43" s="16">
        <f>'01-DRAM-Model'!D64</f>
        <v>-0.07</v>
      </c>
      <c r="D43" s="16">
        <f>'01-DRAM-Model'!E64</f>
        <v>-0.1360617840503</v>
      </c>
      <c r="E43" s="16">
        <f>'01-DRAM-Model'!F64</f>
        <v>-0.156827528879081</v>
      </c>
      <c r="F43" s="16">
        <f>'01-DRAM-Model'!G64</f>
        <v>-0.0841245031891783</v>
      </c>
      <c r="G43" s="289" t="str">
        <f>CHOOSE(MATCH(MIN(C43:F43),C43:F43,0),"2025","2026","2027","2028")</f>
        <v>2027</v>
      </c>
      <c r="H43" s="229" t="str">
        <f>IF(D43&gt;=0,"Filled in 2026",IF(E43&gt;=0,"Weighted: filled in 2027",IF(F43&gt;=0,"Weighted: filled in 2028","Weighted: still short in 2028")))&amp;IF('01-DRAM-Model'!G65&gt;=0,"; median filled by 2028","; median still short in 2028")</f>
        <v>Weighted: still short in 2028; median still short in 2028</v>
      </c>
      <c r="I43" s="229"/>
    </row>
    <row r="44" spans="1:9" ht="31.5" customHeight="1" x14ac:dyDescent="0.45">
      <c r="A44" s="13" t="s">
        <v>20</v>
      </c>
      <c r="B44" s="14" t="s">
        <v>83</v>
      </c>
      <c r="C44" s="15" t="s">
        <v>84</v>
      </c>
      <c r="D44" s="16">
        <f>'02-NAND-Model'!D34</f>
        <v>-0.0599450000000002</v>
      </c>
      <c r="E44" s="16">
        <f>'02-NAND-Model'!E34</f>
        <v>0.0160591900000001</v>
      </c>
      <c r="F44" s="16">
        <f>'02-NAND-Model'!F34</f>
        <v>0.07731568</v>
      </c>
      <c r="G44" s="289" t="str">
        <f>CHOOSE(MATCH(MIN(D44:F44),D44:F44,0),"2026","2027","2028")</f>
        <v>2026</v>
      </c>
      <c r="H44" s="229" t="str">
        <f>IF(D44&gt;0,"Growth gap positive from 2026",IF(E44&gt;0,"Growth gap turns positive in 2027",IF(F44&gt;0,"Growth gap turns positive in 2028","Growth gap negative through 2028")))</f>
        <v>Growth gap turns positive in 2027</v>
      </c>
      <c r="I44" s="229"/>
    </row>
    <row r="45" spans="1:9" ht="31.5" customHeight="1" x14ac:dyDescent="0.45">
      <c r="A45" s="13" t="s">
        <v>20</v>
      </c>
      <c r="B45" s="14" t="s">
        <v>86</v>
      </c>
      <c r="C45" s="16">
        <f>'02-NAND-Model'!D43</f>
        <v>-0.025</v>
      </c>
      <c r="D45" s="16">
        <f>'02-NAND-Model'!E43</f>
        <v>-0.0723347834396486</v>
      </c>
      <c r="E45" s="16">
        <f>'02-NAND-Model'!F43</f>
        <v>-0.0580103628752265</v>
      </c>
      <c r="F45" s="16">
        <f>'02-NAND-Model'!G43</f>
        <v>0.012515496894063</v>
      </c>
      <c r="G45" s="289" t="str">
        <f>CHOOSE(MATCH(MIN(C45:F45),C45:F45,0),"2025","2026","2027","2028")</f>
        <v>2026</v>
      </c>
      <c r="H45" s="229" t="str">
        <f>IF(D45&gt;=0,"Filled in 2026",IF(E45&gt;=0,"Weighted: filled in 2027",IF(F45&gt;=0,"Weighted: filled in 2028","Weighted: still short in 2028")))&amp;IF('02-NAND-Model'!G44&gt;=0,"; median filled by 2028","; median still short in 2028")</f>
        <v>Weighted: filled in 2028; median still short in 2028</v>
      </c>
      <c r="I45" s="229"/>
    </row>
    <row r="47" spans="1:9" ht="24" customHeight="1" x14ac:dyDescent="0.45">
      <c r="A47" s="329" t="s">
        <v>1827</v>
      </c>
      <c r="B47" s="329"/>
      <c r="C47" s="329"/>
      <c r="D47" s="329"/>
      <c r="E47" s="329"/>
      <c r="F47" s="329"/>
      <c r="G47" s="329"/>
      <c r="H47" s="329"/>
      <c r="I47" s="329"/>
    </row>
    <row r="48" spans="1:9" ht="45" customHeight="1" x14ac:dyDescent="0.45">
      <c r="A48" s="1" t="s">
        <v>91</v>
      </c>
      <c r="B48" s="330" t="s">
        <v>1828</v>
      </c>
      <c r="C48" s="330" t="s">
        <v>1829</v>
      </c>
      <c r="D48" s="330" t="s">
        <v>1830</v>
      </c>
      <c r="E48" s="247" t="s">
        <v>1348</v>
      </c>
      <c r="F48" s="172" t="s">
        <v>96</v>
      </c>
      <c r="G48" s="172"/>
      <c r="H48" s="172"/>
      <c r="I48" s="172"/>
    </row>
    <row r="49" spans="1:9" ht="39.75" customHeight="1" x14ac:dyDescent="0.45">
      <c r="A49" s="18" t="s">
        <v>97</v>
      </c>
      <c r="B49" s="16">
        <f>'01-DRAM-Model'!E53</f>
        <v>-0.0381382738227208</v>
      </c>
      <c r="C49" s="16">
        <f>'06-Inventory-Burn-v4'!$E$23</f>
        <v>-0.0539536584381055</v>
      </c>
      <c r="D49" s="19">
        <f>'06-Inventory-Burn-v4'!$G$23</f>
        <v>-0.0372256495811009</v>
      </c>
      <c r="E49" s="20">
        <f>('06-Inventory-Burn-v4'!$G$23-'01-DRAM-Model'!E53)*100</f>
        <v>0.0912624241619982</v>
      </c>
      <c r="F49" s="229" t="str">
        <f>"HBM penalty path "&amp;SUBSTITUTE(TEXT('06-Inventory-Burn-v4'!$D$42,"+0.0;-0.0;0.0"),"-","−")&amp;"pp"&amp;", inventory (gross 4.9% × coverage × φ) "&amp;SUBSTITUTE(TEXT('06-Inventory-Burn-v4'!$D$43,"+0.0;-0.0;0.0"),"-","−")&amp;"pp"&amp;", de-spec ceiling "&amp;SUBSTITUTE(TEXT('06-Inventory-Burn-v4'!$D$44,"+0.0;-0.0;0.0"),"-","−")&amp;"pp"&amp;" (sheet 06 block [D]); the v3.0 column moves with the 5% tail weight."</f>
        <v>HBM penalty path −0.8pp, inventory (gross 4.9% × coverage × φ) −1.6pp, de-spec ceiling +2.5pp (sheet 06 block [D]); the v3.0 column moves with the 5% tail weight.</v>
      </c>
      <c r="G49" s="229"/>
      <c r="H49" s="229"/>
      <c r="I49" s="229"/>
    </row>
    <row r="50" spans="1:9" ht="45" customHeight="1" x14ac:dyDescent="0.45">
      <c r="A50" s="276" t="s">
        <v>1349</v>
      </c>
      <c r="B50" s="16">
        <f>'06-Inventory-Burn-v4'!$D$25</f>
        <v>0.53</v>
      </c>
      <c r="C50" s="16">
        <f>'06-Inventory-Burn-v4'!$E$25</f>
        <v>0.53</v>
      </c>
      <c r="D50" s="19">
        <f>'06-Inventory-Burn-v4'!$G$25</f>
        <v>0.53</v>
      </c>
      <c r="E50" s="20">
        <f>('06-Inventory-Burn-v4'!$G$25-'06-Inventory-Burn-v4'!$D$25)*100</f>
        <v>0</v>
      </c>
      <c r="F50" s="229" t="s">
        <v>1350</v>
      </c>
      <c r="G50" s="229"/>
      <c r="H50" s="229"/>
      <c r="I50" s="229"/>
    </row>
    <row r="51" ht="39.75" customHeight="1" spans="1:9">
      <c r="A51" s="276" t="s">
        <v>1351</v>
      </c>
      <c r="B51" s="290">
        <f>SUMPRODUCT(('01-DRAM-Model'!F59:F63&lt;0)*'01-DRAM-Model'!B59:B63)</f>
        <v>0.95</v>
      </c>
      <c r="C51" s="278" t="s">
        <v>1221</v>
      </c>
      <c r="D51" s="284">
        <f>'09-v4.1-Corrections'!$H$31</f>
        <v>0.95</v>
      </c>
      <c r="E51" s="228">
        <f>(D51-B51)*100</f>
        <v>0</v>
      </c>
      <c r="F51" s="229" t="str">
        <f>"Every scenario except S5 (collapse) is short in 2027 on the external anchor; in 2028 the probability is "&amp;SUBSTITUTE(TEXT('09-v4.1-Corrections'!$I$31,"0%"),"-","−")&amp;". The v3.0 column uses the sheet 01 stock basis."</f>
        <v>Every scenario except S5 (collapse) is short in 2027 on the external anchor; in 2028 the probability is 53%. The v3.0 column uses the sheet 01 stock basis.</v>
      </c>
      <c r="G51" s="229"/>
      <c r="H51" s="229"/>
      <c r="I51" s="229"/>
    </row>
    <row r="52" ht="39.75" customHeight="1" spans="1:9">
      <c r="A52" s="18" t="s">
        <v>101</v>
      </c>
      <c r="B52" s="16">
        <f>'01-DRAM-Model'!E50</f>
        <v>0.0182059958344727</v>
      </c>
      <c r="C52" s="16">
        <f>'06-Inventory-Burn-v4'!$E$20</f>
        <v>0.00239061121908807</v>
      </c>
      <c r="D52" s="19">
        <f>'06-Inventory-Burn-v4'!$G$20</f>
        <v>0.0191408226511458</v>
      </c>
      <c r="E52" s="20">
        <f>('06-Inventory-Burn-v4'!$G$20-'01-DRAM-Model'!E50)*100</f>
        <v>0.0934826816673146</v>
      </c>
      <c r="F52" s="229" t="str">
        <f>"v4.0: the scenario that flipped from a narrowing to a widening gap on the inventory correction alone. ▲ v4.1: "&amp;IF(C52&lt;0,"it still flips with the effective release.","it no longer flips with the effective release.")</f>
        <v>v4.0: the scenario that flipped from a narrowing to a widening gap on the inventory correction alone. ▲ v4.1: it no longer flips with the effective release.</v>
      </c>
      <c r="G52" s="229"/>
      <c r="H52" s="229"/>
      <c r="I52" s="229"/>
    </row>
    <row r="53" ht="66" customHeight="1" spans="1:9">
      <c r="A53" s="331" t="str">
        <f>"▲ v4.2 headline (inputs recalibrated to Micron’s FQ4 FY26 guidance, sheet 11). Flow: the 2027 weighted growth gap is "&amp;SUBSTITUTE(TEXT(D49,"+0.0%;-0.0%;0.0%"),"-","−")&amp;" (median "&amp;SUBSTITUTE(TEXT('06-Inventory-Burn-v4'!$G$24,"+0.0%;-0.0%;0.0%"),"-","−")&amp;") with all corrections, and the gap is still widening with probability "&amp;SUBSTITUTE(TEXT(D50,"0%"),"-","−")&amp;". Level: DRAM is short in 2027 with probability "&amp;SUBSTITUTE(TEXT(D51,"0%"),"-","−")&amp;" and in 2028 with "&amp;SUBSTITUTE(TEXT('09-v4.1-Corrections'!$I$31,"0%"),"-","−")&amp;". Anchored to SemiAnalysis’ public estimate for 2026 ("&amp;SUBSTITUTE(TEXT('09-v4.1-Corrections'!$B$15,"0.0%"),"-","−")&amp;"), the base case reaches "&amp;SUBSTITUTE(TEXT('09-v4.1-Corrections'!$H$43,"0.0%"),"-","−")&amp;" in 2027 and "&amp;SUBSTITUTE(TEXT('09-v4.1-Corrections'!$I$43,"0.0%"),"-","−")&amp;" in 2028; anchored to TrendForce’s cleared "&amp;SUBSTITUTE(TEXT('09-v4.1-Corrections'!$B$16,"0.0%"),"-","−")&amp;", "&amp;SUBSTITUTE(TEXT('09-v4.1-Corrections'!$J$43,"0.0%"),"-","−")&amp;" and "&amp;SUBSTITUTE(TEXT('09-v4.1-Corrections'!$K$43,"0.0%"),"-","−")&amp;". The base-case growth gap in 2028 is "&amp;SUBSTITUTE(TEXT('06-Inventory-Burn-v4'!$E$31,"+0.0%;-0.0%;0.0%"),"-","−")&amp;IF('06-Inventory-Burn-v4'!$E$31&lt;0,": still widening; on Micron’s fab calendar the turn moves to about 2029, beyond the model’s horizon.",": the gap starts to close in 2028.")&amp;" Sheet 11 [E] compares every headline with v4.1; sheet 09 [H] with v4.0 as sent."</f>
        <v>▲ v4.2 headline (inputs recalibrated to Micron’s FQ4 FY26 guidance, sheet 11). Flow: the 2027 weighted growth gap is −3.7% (median −10.1%) with all corrections, and the gap is still widening with probability 53%. Level: DRAM is short in 2027 with probability 95% and in 2028 with 53%. Anchored to SemiAnalysis’ public estimate for 2026 (−8.0%), the base case reaches −15.1% in 2027 and −17.4% in 2028; anchored to TrendForce’s cleared −1.5%, −9.1% and −11.5%. The base-case growth gap in 2028 is −3.4%: still widening; on Micron’s fab calendar the turn moves to about 2029, beyond the model’s horizon. Sheet 11 [E] compares every headline with v4.1; sheet 09 [H] with v4.0 as sent.</v>
      </c>
      <c r="B53" s="331"/>
      <c r="C53" s="331"/>
      <c r="D53" s="331"/>
      <c r="E53" s="331"/>
      <c r="F53" s="331"/>
      <c r="G53" s="331"/>
      <c r="H53" s="331"/>
      <c r="I53" s="331"/>
    </row>
    <row r="54" spans="1:9" ht="24" customHeight="1" x14ac:dyDescent="0.45">
      <c r="A54" s="260" t="s">
        <v>1352</v>
      </c>
      <c r="B54" s="260"/>
      <c r="C54" s="260"/>
      <c r="D54" s="260"/>
      <c r="E54" s="260"/>
      <c r="F54" s="260"/>
      <c r="G54" s="260"/>
      <c r="H54" s="260"/>
      <c r="I54" s="260"/>
    </row>
    <row r="55" spans="1:9" ht="31.5" customHeight="1" x14ac:dyDescent="0.45">
      <c r="A55" s="2" t="s">
        <v>105</v>
      </c>
      <c r="B55" s="2" t="s">
        <v>106</v>
      </c>
      <c r="C55" s="2" t="s">
        <v>107</v>
      </c>
      <c r="D55" s="2" t="s">
        <v>108</v>
      </c>
      <c r="E55" s="2" t="s">
        <v>109</v>
      </c>
      <c r="F55" s="2" t="s">
        <v>110</v>
      </c>
      <c r="G55" s="2" t="s">
        <v>111</v>
      </c>
      <c r="H55" s="2" t="s">
        <v>112</v>
      </c>
      <c r="I55" s="2" t="s">
        <v>113</v>
      </c>
    </row>
    <row r="56" spans="1:9" ht="28.5" customHeight="1" x14ac:dyDescent="0.45">
      <c r="A56" s="21" t="s">
        <v>78</v>
      </c>
      <c r="B56" s="22">
        <f>'01-DRAM-Model'!D53</f>
        <v>-0.091210969195974</v>
      </c>
      <c r="C56" s="22">
        <f>'02-NAND-Model'!D34</f>
        <v>-0.0599450000000002</v>
      </c>
      <c r="D56" s="23">
        <f>(C56-B56)*100</f>
        <v>3.12659691959737</v>
      </c>
      <c r="E56" s="22">
        <f>'01-DRAM-Model'!E64</f>
        <v>-0.1360617840503</v>
      </c>
      <c r="F56" s="22">
        <f>'02-NAND-Model'!E43</f>
        <v>-0.0723347834396486</v>
      </c>
      <c r="G56" s="23">
        <f>(F56-E56)*100</f>
        <v>6.37270006106512</v>
      </c>
      <c r="H56" s="23">
        <f>('02-NAND-Model'!E44-'01-DRAM-Model'!E65)*100</f>
        <v>6.77528606694154</v>
      </c>
      <c r="I56" s="24" t="s">
        <v>114</v>
      </c>
    </row>
    <row r="57" spans="1:9" ht="28.5" customHeight="1" x14ac:dyDescent="0.45">
      <c r="A57" s="21" t="s">
        <v>79</v>
      </c>
      <c r="B57" s="22">
        <f>'01-DRAM-Model'!E53</f>
        <v>-0.0381382738227208</v>
      </c>
      <c r="C57" s="22">
        <f>'02-NAND-Model'!E34</f>
        <v>0.0160591900000001</v>
      </c>
      <c r="D57" s="23">
        <f>(C57-B57)*100</f>
        <v>5.4197463822721</v>
      </c>
      <c r="E57" s="22">
        <f>'01-DRAM-Model'!F64</f>
        <v>-0.156827528879081</v>
      </c>
      <c r="F57" s="22">
        <f>'02-NAND-Model'!F43</f>
        <v>-0.0580103628752265</v>
      </c>
      <c r="G57" s="23">
        <f>(F57-E57)*100</f>
        <v>9.88171660038548</v>
      </c>
      <c r="H57" s="23">
        <f>('02-NAND-Model'!F44-'01-DRAM-Model'!F65)*100</f>
        <v>12.8884346131418</v>
      </c>
      <c r="I57" s="24" t="s">
        <v>115</v>
      </c>
    </row>
    <row r="58" spans="1:9" ht="19.5" customHeight="1" x14ac:dyDescent="0.45">
      <c r="A58" s="21" t="s">
        <v>80</v>
      </c>
      <c r="B58" s="22">
        <f>'01-DRAM-Model'!F53</f>
        <v>0.0724066707837913</v>
      </c>
      <c r="C58" s="22">
        <f>'02-NAND-Model'!F34</f>
        <v>0.07731568</v>
      </c>
      <c r="D58" s="23">
        <f>(C58-B58)*100</f>
        <v>0.490900921620872</v>
      </c>
      <c r="E58" s="22">
        <f>'01-DRAM-Model'!G64</f>
        <v>-0.0841245031891783</v>
      </c>
      <c r="F58" s="22">
        <f>'02-NAND-Model'!G43</f>
        <v>0.012515496894063</v>
      </c>
      <c r="G58" s="23">
        <f>(F58-E58)*100</f>
        <v>9.66400000832413</v>
      </c>
      <c r="H58" s="23">
        <f>('02-NAND-Model'!G44-'01-DRAM-Model'!G65)*100</f>
        <v>18.0742892101882</v>
      </c>
      <c r="I58" s="24" t="s">
        <v>116</v>
      </c>
    </row>
    <row r="59" spans="1:9" ht="60" customHeight="1" x14ac:dyDescent="0.45">
      <c r="A59" s="264" t="s">
        <v>1353</v>
      </c>
      <c r="B59" s="264"/>
      <c r="C59" s="264"/>
      <c r="D59" s="264"/>
      <c r="E59" s="264"/>
      <c r="F59" s="264"/>
      <c r="G59" s="264"/>
      <c r="H59" s="264"/>
      <c r="I59" s="264"/>
    </row>
    <row r="78" spans="1:9" ht="24" customHeight="1" x14ac:dyDescent="0.45">
      <c r="A78" s="155" t="s">
        <v>118</v>
      </c>
      <c r="B78" s="155"/>
      <c r="C78" s="155"/>
      <c r="D78" s="155"/>
      <c r="E78" s="155"/>
      <c r="F78" s="155"/>
      <c r="G78" s="155"/>
      <c r="H78" s="155"/>
      <c r="I78" s="155"/>
    </row>
    <row r="79" spans="1:9" ht="31.5" customHeight="1" x14ac:dyDescent="0.45">
      <c r="A79" s="208" t="s">
        <v>1354</v>
      </c>
      <c r="B79" s="208"/>
      <c r="C79" s="208"/>
      <c r="D79" s="208"/>
      <c r="E79" s="208"/>
      <c r="F79" s="208"/>
      <c r="G79" s="208"/>
      <c r="H79" s="208"/>
      <c r="I79" s="208"/>
    </row>
    <row r="80" spans="1:9" ht="27" customHeight="1" x14ac:dyDescent="0.45">
      <c r="A80" s="2" t="s">
        <v>120</v>
      </c>
      <c r="B80" s="156" t="s">
        <v>121</v>
      </c>
      <c r="C80" s="156"/>
      <c r="D80" s="156"/>
      <c r="E80" s="156" t="s">
        <v>122</v>
      </c>
      <c r="F80" s="156"/>
      <c r="G80" s="156"/>
      <c r="H80" s="156" t="s">
        <v>123</v>
      </c>
      <c r="I80" s="156"/>
    </row>
    <row r="81" spans="1:9" ht="128.25" customHeight="1" x14ac:dyDescent="0.45">
      <c r="A81" s="25" t="s">
        <v>124</v>
      </c>
      <c r="B81" s="165" t="s">
        <v>125</v>
      </c>
      <c r="C81" s="165"/>
      <c r="D81" s="165"/>
      <c r="E81" s="166" t="s">
        <v>126</v>
      </c>
      <c r="F81" s="166"/>
      <c r="G81" s="166"/>
      <c r="H81" s="166" t="s">
        <v>127</v>
      </c>
      <c r="I81" s="166"/>
    </row>
    <row r="82" spans="1:9" ht="141.75" customHeight="1" x14ac:dyDescent="0.45">
      <c r="A82" s="25" t="s">
        <v>124</v>
      </c>
      <c r="B82" s="165" t="s">
        <v>128</v>
      </c>
      <c r="C82" s="165"/>
      <c r="D82" s="165"/>
      <c r="E82" s="166" t="s">
        <v>129</v>
      </c>
      <c r="F82" s="166"/>
      <c r="G82" s="166"/>
      <c r="H82" s="166" t="s">
        <v>130</v>
      </c>
      <c r="I82" s="166"/>
    </row>
    <row r="83" spans="1:9" ht="87" customHeight="1" x14ac:dyDescent="0.45">
      <c r="A83" s="25" t="s">
        <v>124</v>
      </c>
      <c r="B83" s="165" t="s">
        <v>131</v>
      </c>
      <c r="C83" s="165"/>
      <c r="D83" s="165"/>
      <c r="E83" s="166" t="s">
        <v>132</v>
      </c>
      <c r="F83" s="166"/>
      <c r="G83" s="166"/>
      <c r="H83" s="166" t="s">
        <v>133</v>
      </c>
      <c r="I83" s="166"/>
    </row>
    <row r="84" spans="1:9" ht="114" customHeight="1" x14ac:dyDescent="0.45">
      <c r="A84" s="25" t="s">
        <v>124</v>
      </c>
      <c r="B84" s="165" t="s">
        <v>134</v>
      </c>
      <c r="C84" s="165"/>
      <c r="D84" s="165"/>
      <c r="E84" s="166" t="s">
        <v>135</v>
      </c>
      <c r="F84" s="166"/>
      <c r="G84" s="166"/>
      <c r="H84" s="166" t="s">
        <v>136</v>
      </c>
      <c r="I84" s="166"/>
    </row>
    <row r="85" spans="1:9" ht="114" customHeight="1" x14ac:dyDescent="0.45">
      <c r="A85" s="25" t="s">
        <v>137</v>
      </c>
      <c r="B85" s="165" t="s">
        <v>138</v>
      </c>
      <c r="C85" s="165"/>
      <c r="D85" s="165"/>
      <c r="E85" s="166" t="s">
        <v>139</v>
      </c>
      <c r="F85" s="166"/>
      <c r="G85" s="166"/>
      <c r="H85" s="166" t="s">
        <v>140</v>
      </c>
      <c r="I85" s="166"/>
    </row>
    <row r="86" spans="1:9" ht="114" customHeight="1" x14ac:dyDescent="0.45">
      <c r="A86" s="25" t="s">
        <v>137</v>
      </c>
      <c r="B86" s="165" t="s">
        <v>141</v>
      </c>
      <c r="C86" s="165"/>
      <c r="D86" s="165"/>
      <c r="E86" s="166" t="s">
        <v>142</v>
      </c>
      <c r="F86" s="166"/>
      <c r="G86" s="166"/>
      <c r="H86" s="166" t="s">
        <v>143</v>
      </c>
      <c r="I86" s="166"/>
    </row>
    <row r="87" spans="1:9" ht="60" customHeight="1" x14ac:dyDescent="0.45">
      <c r="A87" s="25" t="s">
        <v>137</v>
      </c>
      <c r="B87" s="165" t="s">
        <v>144</v>
      </c>
      <c r="C87" s="165"/>
      <c r="D87" s="165"/>
      <c r="E87" s="166" t="s">
        <v>145</v>
      </c>
      <c r="F87" s="166"/>
      <c r="G87" s="166"/>
      <c r="H87" s="261" t="s">
        <v>1355</v>
      </c>
      <c r="I87" s="261"/>
    </row>
    <row r="88" spans="1:9" ht="100.5" customHeight="1" x14ac:dyDescent="0.45">
      <c r="A88" s="25" t="s">
        <v>147</v>
      </c>
      <c r="B88" s="165" t="s">
        <v>148</v>
      </c>
      <c r="C88" s="165"/>
      <c r="D88" s="165"/>
      <c r="E88" s="166" t="s">
        <v>149</v>
      </c>
      <c r="F88" s="166"/>
      <c r="G88" s="166"/>
      <c r="H88" s="166" t="s">
        <v>150</v>
      </c>
      <c r="I88" s="166"/>
    </row>
    <row r="89" spans="1:9" ht="87" customHeight="1" x14ac:dyDescent="0.45">
      <c r="A89" s="25" t="s">
        <v>147</v>
      </c>
      <c r="B89" s="165" t="s">
        <v>151</v>
      </c>
      <c r="C89" s="165"/>
      <c r="D89" s="165"/>
      <c r="E89" s="166" t="s">
        <v>152</v>
      </c>
      <c r="F89" s="166"/>
      <c r="G89" s="166"/>
      <c r="H89" s="166" t="s">
        <v>153</v>
      </c>
      <c r="I89" s="166"/>
    </row>
    <row r="90" spans="1:9" ht="72.75" customHeight="1" x14ac:dyDescent="0.45">
      <c r="A90" s="25" t="s">
        <v>147</v>
      </c>
      <c r="B90" s="165" t="s">
        <v>154</v>
      </c>
      <c r="C90" s="165"/>
      <c r="D90" s="165"/>
      <c r="E90" s="166" t="s">
        <v>155</v>
      </c>
      <c r="F90" s="166"/>
      <c r="G90" s="166"/>
      <c r="H90" s="166" t="s">
        <v>156</v>
      </c>
      <c r="I90" s="166"/>
    </row>
    <row r="91" spans="1:9" ht="87" customHeight="1" x14ac:dyDescent="0.45">
      <c r="A91" s="25" t="s">
        <v>147</v>
      </c>
      <c r="B91" s="165" t="s">
        <v>157</v>
      </c>
      <c r="C91" s="165"/>
      <c r="D91" s="165"/>
      <c r="E91" s="332" t="s">
        <v>1832</v>
      </c>
      <c r="F91" s="332"/>
      <c r="G91" s="332"/>
      <c r="H91" s="261" t="s">
        <v>1356</v>
      </c>
      <c r="I91" s="261"/>
    </row>
    <row r="92" spans="1:9" ht="45" customHeight="1" x14ac:dyDescent="0.45">
      <c r="A92" s="208" t="s">
        <v>1357</v>
      </c>
      <c r="B92" s="208"/>
      <c r="C92" s="208"/>
      <c r="D92" s="208"/>
      <c r="E92" s="208"/>
      <c r="F92" s="208"/>
      <c r="G92" s="208"/>
      <c r="H92" s="208"/>
      <c r="I92" s="208"/>
    </row>
    <row r="94" spans="1:9" ht="24" customHeight="1" x14ac:dyDescent="0.45">
      <c r="A94" s="155" t="s">
        <v>161</v>
      </c>
      <c r="B94" s="155"/>
      <c r="C94" s="155"/>
      <c r="D94" s="155"/>
      <c r="E94" s="155"/>
      <c r="F94" s="155"/>
      <c r="G94" s="155"/>
      <c r="H94" s="155"/>
      <c r="I94" s="155"/>
    </row>
    <row r="95" spans="1:9" ht="39.75" customHeight="1" x14ac:dyDescent="0.45">
      <c r="A95" s="208" t="s">
        <v>1342</v>
      </c>
      <c r="B95" s="208"/>
      <c r="C95" s="208"/>
      <c r="D95" s="208"/>
      <c r="E95" s="208"/>
      <c r="F95" s="208"/>
      <c r="G95" s="208"/>
      <c r="H95" s="208"/>
      <c r="I95" s="208"/>
    </row>
    <row r="96" spans="1:9" ht="45" customHeight="1" x14ac:dyDescent="0.45">
      <c r="A96" s="162" t="s">
        <v>163</v>
      </c>
      <c r="B96" s="162"/>
      <c r="C96" s="162"/>
      <c r="D96" s="162"/>
      <c r="E96" s="162"/>
      <c r="F96" s="162"/>
      <c r="G96" s="162"/>
      <c r="H96" s="162"/>
      <c r="I96" s="162"/>
    </row>
    <row r="97" spans="1:9" ht="45" customHeight="1" x14ac:dyDescent="0.45">
      <c r="A97" s="207" t="s">
        <v>1343</v>
      </c>
      <c r="B97" s="207"/>
      <c r="C97" s="207"/>
      <c r="D97" s="207"/>
      <c r="E97" s="207"/>
      <c r="F97" s="207"/>
      <c r="G97" s="207"/>
      <c r="H97" s="207"/>
      <c r="I97" s="207"/>
    </row>
    <row r="98" spans="1:9" ht="45" customHeight="1" x14ac:dyDescent="0.45">
      <c r="A98" s="170" t="s">
        <v>165</v>
      </c>
      <c r="B98" s="170"/>
      <c r="C98" s="170"/>
      <c r="D98" s="170"/>
      <c r="E98" s="170"/>
      <c r="F98" s="170"/>
      <c r="G98" s="170"/>
      <c r="H98" s="170"/>
      <c r="I98" s="170"/>
    </row>
    <row r="99" spans="1:9" ht="45" customHeight="1" x14ac:dyDescent="0.45">
      <c r="A99" s="162" t="s">
        <v>166</v>
      </c>
      <c r="B99" s="162"/>
      <c r="C99" s="162"/>
      <c r="D99" s="162"/>
      <c r="E99" s="162"/>
      <c r="F99" s="162"/>
      <c r="G99" s="162"/>
      <c r="H99" s="162"/>
      <c r="I99" s="162"/>
    </row>
    <row r="100" spans="1:9" ht="60" customHeight="1" x14ac:dyDescent="0.45">
      <c r="A100" s="264" t="str">
        <f>"★ Built by the author, no external basis: every scenario assumption (wafer growth, node uplift, layers, QLC, demand growth) and every scenario probability (DRAM "&amp;TEXT('01-DRAM-Model'!$B$151*100,"0")&amp;"/"&amp;TEXT('01-DRAM-Model'!$B$152*100,"0")&amp;"/"&amp;TEXT('01-DRAM-Model'!$B$153*100,"0")&amp;"/"&amp;TEXT('01-DRAM-Model'!$B$154*100,"0")&amp;"/"&amp;TEXT('01-DRAM-Model'!$B$155*100,"0")&amp;"%, NAND "&amp;TEXT('02-NAND-Model'!$B$83*100,"0")&amp;"/"&amp;TEXT('02-NAND-Model'!$B$84*100,"0")&amp;"/"&amp;TEXT('02-NAND-Model'!$B$85*100,"0")&amp;"/"&amp;TEXT('02-NAND-Model'!$B$86*100,"0")&amp;"%; the v1.0 report used 15/38/25/15/7 and 22/40/26/12, and the input changes since then are disclosed on sheet 09 [G]) is a subjective assignment. Third-party support: the HBM wafer share, 2026 wafer growth, the TrendForce gap basis, the ex"&amp;"ternal 2026 level anchor (SemiAnalysis, sheet 09 [C]) and the HBM wafer penalty — TrendForce’s own series imply about 2.85×, and Micron’s 3:1 (which KB repeats) rises with each generation."</f>
        <v>★ Built by the author, no external basis: every scenario assumption (wafer growth, node uplift, layers, QLC, demand growth) and every scenario probability (DRAM 15/38/25/17/5%, NAND 24/44/27/5%; the v1.0 report used 15/38/25/15/7 and 22/40/26/12, and the input changes since then are disclosed on sheet 09 [G]) is a subjective assignment. Third-party support: the HBM wafer share, 2026 wafer growth, the TrendForce gap basis, the external 2026 level anchor (SemiAnalysis, sheet 09 [C]) and the HBM wafer penalty — TrendForce’s own series imply about 2.85×, and Micron’s 3:1 (which KB repeats) rises with each generation.</v>
      </c>
      <c r="B100" s="264"/>
      <c r="C100" s="264"/>
      <c r="D100" s="264"/>
      <c r="E100" s="264"/>
      <c r="F100" s="264"/>
      <c r="G100" s="264"/>
      <c r="H100" s="264"/>
      <c r="I100" s="264"/>
    </row>
    <row r="101" spans="1:9" ht="59.25" customHeight="1" x14ac:dyDescent="0.45">
      <c r="A101" s="169" t="s">
        <v>168</v>
      </c>
      <c r="B101" s="169"/>
      <c r="C101" s="169"/>
      <c r="D101" s="169"/>
      <c r="E101" s="169"/>
      <c r="F101" s="169"/>
      <c r="G101" s="169"/>
      <c r="H101" s="169"/>
      <c r="I101" s="169"/>
    </row>
    <row r="102" spans="1:9" ht="33" customHeight="1" x14ac:dyDescent="0.45">
      <c r="A102" s="169" t="s">
        <v>169</v>
      </c>
      <c r="B102" s="169"/>
      <c r="C102" s="169"/>
      <c r="D102" s="169"/>
      <c r="E102" s="169"/>
      <c r="F102" s="169"/>
      <c r="G102" s="169"/>
      <c r="H102" s="169"/>
      <c r="I102" s="169"/>
    </row>
    <row r="103" spans="1:9" ht="33" customHeight="1" x14ac:dyDescent="0.45">
      <c r="A103" s="169" t="s">
        <v>170</v>
      </c>
      <c r="B103" s="169"/>
      <c r="C103" s="169"/>
      <c r="D103" s="169"/>
      <c r="E103" s="169"/>
      <c r="F103" s="169"/>
      <c r="G103" s="169"/>
      <c r="H103" s="169"/>
      <c r="I103" s="169"/>
    </row>
    <row r="104" ht="60" customHeight="1" spans="1:9">
      <c r="A104" s="208" t="s">
        <v>1358</v>
      </c>
      <c r="B104" s="208"/>
      <c r="C104" s="208"/>
      <c r="D104" s="208"/>
      <c r="E104" s="208"/>
      <c r="F104" s="208"/>
      <c r="G104" s="208"/>
      <c r="H104" s="208"/>
      <c r="I104" s="208"/>
    </row>
    <row r="105" ht="60" customHeight="1" spans="1:9">
      <c r="A105" s="328" t="s">
        <v>1831</v>
      </c>
      <c r="B105" s="328"/>
      <c r="C105" s="328"/>
      <c r="D105" s="328"/>
      <c r="E105" s="328"/>
      <c r="F105" s="328"/>
      <c r="G105" s="328"/>
      <c r="H105" s="328"/>
      <c r="I105" s="328"/>
    </row>
  </sheetData>
  <mergeCells count="120">
    <mergeCell ref="A1:I1"/>
    <mergeCell ref="A2:I2"/>
    <mergeCell ref="A4:I4"/>
    <mergeCell ref="A5:I5"/>
    <mergeCell ref="B6:I6"/>
    <mergeCell ref="B7:I7"/>
    <mergeCell ref="B8:I8"/>
    <mergeCell ref="B9:I9"/>
    <mergeCell ref="B10:I10"/>
    <mergeCell ref="B11:I11"/>
    <mergeCell ref="A13:I13"/>
    <mergeCell ref="B14:I14"/>
    <mergeCell ref="B15:I15"/>
    <mergeCell ref="B16:I16"/>
    <mergeCell ref="B17:I17"/>
    <mergeCell ref="A18:I18"/>
    <mergeCell ref="A20:I20"/>
    <mergeCell ref="A21:I21"/>
    <mergeCell ref="C22:E22"/>
    <mergeCell ref="F22:G22"/>
    <mergeCell ref="H22:I22"/>
    <mergeCell ref="C23:E23"/>
    <mergeCell ref="F23:G23"/>
    <mergeCell ref="H23:I23"/>
    <mergeCell ref="C24:E24"/>
    <mergeCell ref="F24:G24"/>
    <mergeCell ref="H24:I24"/>
    <mergeCell ref="C25:E25"/>
    <mergeCell ref="F25:G25"/>
    <mergeCell ref="H25:I25"/>
    <mergeCell ref="C26:E26"/>
    <mergeCell ref="F26:G26"/>
    <mergeCell ref="H26:I26"/>
    <mergeCell ref="A27:I27"/>
    <mergeCell ref="A29:I29"/>
    <mergeCell ref="C30:F30"/>
    <mergeCell ref="G30:I30"/>
    <mergeCell ref="C31:F31"/>
    <mergeCell ref="G31:I31"/>
    <mergeCell ref="C32:F32"/>
    <mergeCell ref="G32:I32"/>
    <mergeCell ref="C33:F33"/>
    <mergeCell ref="G33:I33"/>
    <mergeCell ref="C34:F34"/>
    <mergeCell ref="G34:I34"/>
    <mergeCell ref="C35:F35"/>
    <mergeCell ref="G35:I35"/>
    <mergeCell ref="C36:F36"/>
    <mergeCell ref="G36:I36"/>
    <mergeCell ref="C37:F37"/>
    <mergeCell ref="G37:I37"/>
    <mergeCell ref="A38:I38"/>
    <mergeCell ref="A40:I40"/>
    <mergeCell ref="H41:I41"/>
    <mergeCell ref="H42:I42"/>
    <mergeCell ref="H43:I43"/>
    <mergeCell ref="H44:I44"/>
    <mergeCell ref="H45:I45"/>
    <mergeCell ref="A47:I47"/>
    <mergeCell ref="F48:I48"/>
    <mergeCell ref="F49:I49"/>
    <mergeCell ref="F50:I50"/>
    <mergeCell ref="F52:I52"/>
    <mergeCell ref="A53:I53"/>
    <mergeCell ref="A54:I54"/>
    <mergeCell ref="A59:I59"/>
    <mergeCell ref="A78:I78"/>
    <mergeCell ref="A79:I79"/>
    <mergeCell ref="B80:D80"/>
    <mergeCell ref="E80:G80"/>
    <mergeCell ref="H80:I80"/>
    <mergeCell ref="B81:D81"/>
    <mergeCell ref="E81:G81"/>
    <mergeCell ref="H81:I81"/>
    <mergeCell ref="B82:D82"/>
    <mergeCell ref="E82:G82"/>
    <mergeCell ref="H82:I82"/>
    <mergeCell ref="B83:D83"/>
    <mergeCell ref="E83:G83"/>
    <mergeCell ref="H83:I83"/>
    <mergeCell ref="B84:D84"/>
    <mergeCell ref="E84:G84"/>
    <mergeCell ref="H84:I84"/>
    <mergeCell ref="B85:D85"/>
    <mergeCell ref="E85:G85"/>
    <mergeCell ref="H85:I85"/>
    <mergeCell ref="B86:D86"/>
    <mergeCell ref="E86:G86"/>
    <mergeCell ref="H86:I86"/>
    <mergeCell ref="B87:D87"/>
    <mergeCell ref="E87:G87"/>
    <mergeCell ref="H87:I87"/>
    <mergeCell ref="B88:D88"/>
    <mergeCell ref="E88:G88"/>
    <mergeCell ref="H88:I88"/>
    <mergeCell ref="B89:D89"/>
    <mergeCell ref="E89:G89"/>
    <mergeCell ref="H89:I89"/>
    <mergeCell ref="B90:D90"/>
    <mergeCell ref="E90:G90"/>
    <mergeCell ref="H90:I90"/>
    <mergeCell ref="A99:I99"/>
    <mergeCell ref="A100:I100"/>
    <mergeCell ref="A101:I101"/>
    <mergeCell ref="A102:I102"/>
    <mergeCell ref="A103:I103"/>
    <mergeCell ref="B91:D91"/>
    <mergeCell ref="E91:G91"/>
    <mergeCell ref="H91:I91"/>
    <mergeCell ref="A92:I92"/>
    <mergeCell ref="A94:I94"/>
    <mergeCell ref="A95:I95"/>
    <mergeCell ref="A96:I96"/>
    <mergeCell ref="A97:I97"/>
    <mergeCell ref="A98:I98"/>
    <mergeCell ref="B12:I12"/>
    <mergeCell ref="F51:I51"/>
    <mergeCell ref="A104:I104"/>
    <mergeCell ref="A3:I3"/>
    <mergeCell ref="A105:I105"/>
  </mergeCells>
  <phoneticPr fontId="59" type="noConversion"/>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6305B"/>
  </sheetPr>
  <dimension ref="A1:T346"/>
  <sheetViews>
    <sheetView showGridLines="0" topLeftCell="A5" zoomScale="85" zoomScaleNormal="85" workbookViewId="0">
      <selection activeCell="B11" sqref="B11"/>
    </sheetView>
  </sheetViews>
  <sheetFormatPr defaultColWidth="8.6640625" defaultRowHeight="14.25" x14ac:dyDescent="0.45"/>
  <cols>
    <col min="1" max="1" width="26" customWidth="1"/>
    <col min="2" max="2" width="10.73046875" customWidth="1"/>
    <col min="3" max="3" width="11.6640625" customWidth="1"/>
    <col min="4" max="4" width="11" customWidth="1"/>
    <col min="5" max="5" width="12.6640625" customWidth="1"/>
    <col min="6" max="6" width="11.6640625" customWidth="1"/>
    <col min="7" max="7" width="12.6640625" customWidth="1"/>
    <col min="8" max="8" width="12.46484375" customWidth="1"/>
    <col min="9" max="9" width="9.53125" customWidth="1"/>
    <col min="10" max="11" width="11" customWidth="1"/>
    <col min="12" max="12" width="12.6640625" customWidth="1"/>
    <col min="13" max="13" width="32" customWidth="1"/>
    <col min="14" max="14" width="2.6640625" customWidth="1"/>
    <col min="15" max="15" width="11.6640625" customWidth="1"/>
    <col min="16" max="16" width="12.6640625" customWidth="1"/>
    <col min="17" max="17" width="11.6640625" customWidth="1"/>
    <col min="18" max="18" width="12.6640625" customWidth="1"/>
    <col min="19" max="19" width="12" customWidth="1"/>
    <col min="20" max="20" width="13.6640625" customWidth="1"/>
  </cols>
  <sheetData>
    <row r="1" spans="1:13" ht="37.5" customHeight="1" x14ac:dyDescent="0.45">
      <c r="A1" s="167" t="s">
        <v>171</v>
      </c>
      <c r="B1" s="167"/>
      <c r="C1" s="167"/>
      <c r="D1" s="167"/>
      <c r="E1" s="167"/>
      <c r="F1" s="167"/>
      <c r="G1" s="167"/>
      <c r="H1" s="167"/>
      <c r="I1" s="167"/>
      <c r="J1" s="167"/>
      <c r="K1" s="167"/>
      <c r="L1" s="167"/>
      <c r="M1" s="167"/>
    </row>
    <row r="2" spans="1:13" ht="30" customHeight="1" x14ac:dyDescent="0.45">
      <c r="A2" s="333" t="s">
        <v>1833</v>
      </c>
      <c r="B2" s="333"/>
      <c r="C2" s="333"/>
      <c r="D2" s="333"/>
      <c r="E2" s="333"/>
      <c r="F2" s="333"/>
      <c r="G2" s="333"/>
      <c r="H2" s="333"/>
      <c r="I2" s="333"/>
      <c r="J2" s="333"/>
      <c r="K2" s="333"/>
      <c r="L2" s="333"/>
      <c r="M2" s="333"/>
    </row>
    <row r="4" spans="1:13" ht="24" customHeight="1" x14ac:dyDescent="0.45">
      <c r="A4" s="155" t="s">
        <v>173</v>
      </c>
      <c r="B4" s="155"/>
      <c r="C4" s="155"/>
      <c r="D4" s="155"/>
      <c r="E4" s="155"/>
      <c r="F4" s="155"/>
      <c r="G4" s="155"/>
      <c r="H4" s="155"/>
      <c r="I4" s="155"/>
      <c r="J4" s="155"/>
      <c r="K4" s="155"/>
      <c r="L4" s="155"/>
      <c r="M4" s="155"/>
    </row>
    <row r="5" spans="1:13" ht="27" customHeight="1" x14ac:dyDescent="0.45">
      <c r="A5" s="2" t="s">
        <v>174</v>
      </c>
      <c r="B5" s="2" t="s">
        <v>175</v>
      </c>
      <c r="C5" s="2" t="s">
        <v>176</v>
      </c>
      <c r="D5" s="156" t="s">
        <v>55</v>
      </c>
      <c r="E5" s="156"/>
      <c r="F5" s="156"/>
      <c r="G5" s="156"/>
      <c r="H5" s="156"/>
      <c r="I5" s="156"/>
      <c r="J5" s="156"/>
      <c r="K5" s="156"/>
      <c r="L5" s="156"/>
      <c r="M5" s="156"/>
    </row>
    <row r="6" spans="1:13" ht="48" customHeight="1" x14ac:dyDescent="0.45">
      <c r="A6" s="26" t="s">
        <v>177</v>
      </c>
      <c r="B6" s="27">
        <f>$B$143</f>
        <v>2.8</v>
      </c>
      <c r="C6" s="28" t="s">
        <v>178</v>
      </c>
      <c r="D6" s="271" t="s">
        <v>1285</v>
      </c>
      <c r="E6" s="271"/>
      <c r="F6" s="271"/>
      <c r="G6" s="271"/>
      <c r="H6" s="271"/>
      <c r="I6" s="271"/>
      <c r="J6" s="271"/>
      <c r="K6" s="271"/>
      <c r="L6" s="271"/>
      <c r="M6" s="271"/>
    </row>
    <row r="7" spans="1:13" ht="45" customHeight="1" x14ac:dyDescent="0.45">
      <c r="A7" s="29" t="s">
        <v>180</v>
      </c>
      <c r="B7" s="30">
        <f>'06-Inventory-Burn-v4'!$B$10</f>
        <v>-0.3</v>
      </c>
      <c r="C7" s="31" t="s">
        <v>178</v>
      </c>
      <c r="D7" s="272" t="s">
        <v>1286</v>
      </c>
      <c r="E7" s="272"/>
      <c r="F7" s="272"/>
      <c r="G7" s="272"/>
      <c r="H7" s="272"/>
      <c r="I7" s="272"/>
      <c r="J7" s="272"/>
      <c r="K7" s="272"/>
      <c r="L7" s="272"/>
      <c r="M7" s="272"/>
    </row>
    <row r="8" spans="1:13" ht="45" customHeight="1" x14ac:dyDescent="0.45">
      <c r="A8" s="273" t="s">
        <v>1287</v>
      </c>
      <c r="B8" s="274">
        <f>'09-v4.1-Corrections'!$B$19</f>
        <v>3</v>
      </c>
      <c r="C8" s="31" t="s">
        <v>178</v>
      </c>
      <c r="D8" s="272" t="str">
        <f>"▲ v4.1: base "&amp;TEXT($B$6,"0.00")&amp;"×"&amp;" + trade-ratio step "&amp;SUBSTITUTE(TEXT('09-v4.1-Corrections'!$B$11,"+0.00;-0.00;0.00"),"-","−")&amp;" + 8-high relief "&amp;SUBSTITUTE(TEXT($B$7,"+0.00;-0.00;0.00"),"-","−")&amp;" = "&amp;TEXT($B$8,"0.00")&amp;"×"&amp;" in 2027 and "&amp;TEXT('09-v4.1-Corrections'!$B$20,"0.00")&amp;"×"&amp;" in 2028 (sheet 09 rows 18–20). Used by the sheet 06 engine only — the main grid below stays on the constant row 6 penalty so the v3.0 results remain reproducible."</f>
        <v>▲ v4.1: base 2.80× + trade-ratio step +0.50 + 8-high relief −0.30 = 3.00× in 2027 and 3.30× in 2028 (sheet 09 rows 18–20). Used by the sheet 06 engine only — the main grid below stays on the constant row 6 penalty so the v3.0 results remain reproducible.</v>
      </c>
      <c r="E8" s="272"/>
      <c r="F8" s="272"/>
      <c r="G8" s="272"/>
      <c r="H8" s="272"/>
      <c r="I8" s="272"/>
      <c r="J8" s="272"/>
      <c r="K8" s="272"/>
      <c r="L8" s="272"/>
      <c r="M8" s="272"/>
    </row>
    <row r="9" spans="1:13" ht="31.5" customHeight="1" x14ac:dyDescent="0.45">
      <c r="A9" s="26" t="s">
        <v>184</v>
      </c>
      <c r="B9" s="33">
        <f>$B$145</f>
        <v>1</v>
      </c>
      <c r="C9" s="28" t="s">
        <v>185</v>
      </c>
      <c r="D9" s="184" t="s">
        <v>186</v>
      </c>
      <c r="E9" s="184"/>
      <c r="F9" s="184"/>
      <c r="G9" s="184"/>
      <c r="H9" s="184"/>
      <c r="I9" s="184"/>
      <c r="J9" s="184"/>
      <c r="K9" s="184"/>
      <c r="L9" s="184"/>
      <c r="M9" s="184"/>
    </row>
    <row r="10" spans="1:13" ht="27" customHeight="1" x14ac:dyDescent="0.45">
      <c r="A10" s="34" t="s">
        <v>187</v>
      </c>
      <c r="B10" s="35">
        <v>6</v>
      </c>
      <c r="C10" s="28" t="s">
        <v>188</v>
      </c>
      <c r="D10" s="184" t="s">
        <v>189</v>
      </c>
      <c r="E10" s="184"/>
      <c r="F10" s="184"/>
      <c r="G10" s="184"/>
      <c r="H10" s="184"/>
      <c r="I10" s="184"/>
      <c r="J10" s="184"/>
      <c r="K10" s="184"/>
      <c r="L10" s="184"/>
      <c r="M10" s="184"/>
    </row>
    <row r="11" spans="1:13" ht="33" customHeight="1" x14ac:dyDescent="0.45">
      <c r="A11" s="29" t="s">
        <v>190</v>
      </c>
      <c r="B11" s="36">
        <v>5.35</v>
      </c>
      <c r="C11" s="31" t="s">
        <v>188</v>
      </c>
      <c r="D11" s="188" t="s">
        <v>191</v>
      </c>
      <c r="E11" s="188"/>
      <c r="F11" s="188"/>
      <c r="G11" s="188"/>
      <c r="H11" s="188"/>
      <c r="I11" s="188"/>
      <c r="J11" s="188"/>
      <c r="K11" s="188"/>
      <c r="L11" s="188"/>
      <c r="M11" s="188"/>
    </row>
    <row r="12" spans="1:13" ht="33" customHeight="1" x14ac:dyDescent="0.45">
      <c r="A12" s="29" t="s">
        <v>192</v>
      </c>
      <c r="B12" s="36">
        <v>1.43</v>
      </c>
      <c r="C12" s="31" t="s">
        <v>188</v>
      </c>
      <c r="D12" s="188" t="s">
        <v>193</v>
      </c>
      <c r="E12" s="188"/>
      <c r="F12" s="188"/>
      <c r="G12" s="188"/>
      <c r="H12" s="188"/>
      <c r="I12" s="188"/>
      <c r="J12" s="188"/>
      <c r="K12" s="188"/>
      <c r="L12" s="188"/>
      <c r="M12" s="188"/>
    </row>
    <row r="13" spans="1:13" ht="31.5" customHeight="1" x14ac:dyDescent="0.45">
      <c r="A13" s="34" t="s">
        <v>194</v>
      </c>
      <c r="B13" s="37">
        <f>-($B$10-$B$12)/52</f>
        <v>-0.0878846153846154</v>
      </c>
      <c r="C13" s="28" t="s">
        <v>195</v>
      </c>
      <c r="D13" s="271" t="str">
        <f>"Formula: −(normal − actual) ÷ 52. With the v4.0 reading this is "&amp;SUBSTITUTE(TEXT(B13,"0.0%"),"-","−")&amp;" against the "&amp;SUBSTITUTE(TEXT(B10,"0"),"-","−")&amp;"-week normal in row 10, or −7.5% against the 4.3–6.4 week industry benchmark in row 11. Reference only — the model uses the row below."</f>
        <v>Formula: −(normal − actual) ÷ 52. With the v4.0 reading this is −8.8% against the 6-week normal in row 10, or −7.5% against the 4.3–6.4 week industry benchmark in row 11. Reference only — the model uses the row below.</v>
      </c>
      <c r="E13" s="271"/>
      <c r="F13" s="271"/>
      <c r="G13" s="271"/>
      <c r="H13" s="271"/>
      <c r="I13" s="271"/>
      <c r="J13" s="271"/>
      <c r="K13" s="271"/>
      <c r="L13" s="271"/>
      <c r="M13" s="271"/>
    </row>
    <row r="14" spans="1:13" ht="31.5" customHeight="1" x14ac:dyDescent="0.45">
      <c r="A14" s="26" t="s">
        <v>197</v>
      </c>
      <c r="B14" s="38">
        <f>$B$144</f>
        <v>-0.07</v>
      </c>
      <c r="C14" s="28" t="s">
        <v>195</v>
      </c>
      <c r="D14" s="184" t="s">
        <v>198</v>
      </c>
      <c r="E14" s="184"/>
      <c r="F14" s="184"/>
      <c r="G14" s="184"/>
      <c r="H14" s="184"/>
      <c r="I14" s="184"/>
      <c r="J14" s="184"/>
      <c r="K14" s="184"/>
      <c r="L14" s="184"/>
      <c r="M14" s="184"/>
    </row>
    <row r="17" spans="1:13" ht="24" customHeight="1" x14ac:dyDescent="0.45">
      <c r="A17" s="334" t="s">
        <v>1834</v>
      </c>
      <c r="B17" s="334"/>
      <c r="C17" s="334"/>
      <c r="D17" s="334"/>
      <c r="E17" s="334"/>
      <c r="F17" s="334"/>
      <c r="G17" s="334"/>
      <c r="H17" s="334"/>
      <c r="I17" s="334"/>
      <c r="J17" s="334"/>
      <c r="K17" s="334"/>
      <c r="L17" s="334"/>
      <c r="M17" s="334"/>
    </row>
    <row r="18" spans="1:20" ht="45" customHeight="1" x14ac:dyDescent="0.45">
      <c r="A18" s="2" t="s">
        <v>200</v>
      </c>
      <c r="B18" s="2" t="s">
        <v>105</v>
      </c>
      <c r="C18" s="2" t="s">
        <v>201</v>
      </c>
      <c r="D18" s="2" t="s">
        <v>202</v>
      </c>
      <c r="E18" s="2" t="s">
        <v>203</v>
      </c>
      <c r="F18" s="2" t="s">
        <v>204</v>
      </c>
      <c r="G18" s="2" t="s">
        <v>205</v>
      </c>
      <c r="H18" s="2" t="s">
        <v>206</v>
      </c>
      <c r="I18" s="2" t="s">
        <v>207</v>
      </c>
      <c r="J18" s="2" t="s">
        <v>208</v>
      </c>
      <c r="K18" s="2" t="s">
        <v>209</v>
      </c>
      <c r="L18" s="2" t="s">
        <v>210</v>
      </c>
      <c r="M18" s="2" t="s">
        <v>211</v>
      </c>
      <c r="O18" s="1" t="s">
        <v>212</v>
      </c>
      <c r="P18" s="1" t="s">
        <v>213</v>
      </c>
      <c r="Q18" s="1" t="s">
        <v>214</v>
      </c>
      <c r="R18" s="1" t="s">
        <v>215</v>
      </c>
      <c r="S18" s="1" t="s">
        <v>216</v>
      </c>
      <c r="T18" s="1" t="s">
        <v>217</v>
      </c>
    </row>
    <row r="19" spans="1:20" ht="18" customHeight="1" x14ac:dyDescent="0.45">
      <c r="A19" s="39" t="s">
        <v>218</v>
      </c>
      <c r="B19" s="40" t="s">
        <v>219</v>
      </c>
      <c r="C19" s="41" t="s">
        <v>84</v>
      </c>
      <c r="D19" s="41" t="s">
        <v>84</v>
      </c>
      <c r="E19" s="42">
        <v>0.18</v>
      </c>
      <c r="F19" s="42">
        <v>0.14199999999999999</v>
      </c>
      <c r="G19" s="43">
        <f>IF($B$9=1,E19*(1-F19),E19)</f>
        <v>0.15444</v>
      </c>
      <c r="H19" s="44">
        <f>(1-G19)+G19/$B$6</f>
        <v>0.900717142857143</v>
      </c>
      <c r="I19" s="41" t="s">
        <v>84</v>
      </c>
      <c r="J19" s="41" t="s">
        <v>84</v>
      </c>
      <c r="K19" s="41" t="s">
        <v>84</v>
      </c>
      <c r="L19" s="41" t="s">
        <v>84</v>
      </c>
      <c r="M19" s="45">
        <f>$B$14</f>
        <v>-0.07</v>
      </c>
      <c r="O19" s="46">
        <f>E19*(1-F19)</f>
        <v>0.15444</v>
      </c>
      <c r="P19" s="47">
        <f>(1-O19)+O19/$B$6</f>
        <v>0.900717142857143</v>
      </c>
      <c r="Q19" s="48" t="s">
        <v>84</v>
      </c>
      <c r="R19" s="48" t="s">
        <v>84</v>
      </c>
      <c r="S19" s="48" t="s">
        <v>84</v>
      </c>
      <c r="T19" s="49">
        <f>$B$14</f>
        <v>-0.07</v>
      </c>
    </row>
    <row r="20" spans="1:20" ht="18" customHeight="1" x14ac:dyDescent="0.45">
      <c r="A20" s="50"/>
      <c r="B20" s="40" t="s">
        <v>220</v>
      </c>
      <c r="C20" s="42">
        <v>7.0000000000000007E-2</v>
      </c>
      <c r="D20" s="42">
        <v>0.13</v>
      </c>
      <c r="E20" s="42">
        <v>0.22</v>
      </c>
      <c r="F20" s="42">
        <v>0.17100000000000001</v>
      </c>
      <c r="G20" s="43">
        <f>IF($B$9=1,MAX(0,MIN(0.95,E20+$B$148))*(1-F20),MAX(0,MIN(0.95,E20+$B$148)))</f>
        <v>0.18238</v>
      </c>
      <c r="H20" s="44">
        <f>(1-G20)+G20/$B$6</f>
        <v>0.882755714285714</v>
      </c>
      <c r="I20" s="43">
        <f>H20/H19-1</f>
        <v>-0.0199412531601803</v>
      </c>
      <c r="J20" s="51">
        <f>(1+C20+$B$146)*(1+D20+$B$147)*(1+I20)-1</f>
        <v>0.184989030804026</v>
      </c>
      <c r="K20" s="42">
        <v>0.3</v>
      </c>
      <c r="L20" s="52">
        <f>J20-(K20+$B$149)</f>
        <v>-0.125010969195974</v>
      </c>
      <c r="M20" s="52">
        <f>(1+M19)*(1+J20)/(1+K20+$B$149)-1</f>
        <v>-0.158748245307066</v>
      </c>
      <c r="O20" s="53">
        <f>MAX(0,MIN(0.95,E20+$B$148))*(1-F20)</f>
        <v>0.18238</v>
      </c>
      <c r="P20" s="54">
        <f>(1-O20)+O20/$B$6</f>
        <v>0.882755714285714</v>
      </c>
      <c r="Q20" s="53">
        <f>P20/P19-1</f>
        <v>-0.0199412531601803</v>
      </c>
      <c r="R20" s="53">
        <f>(1+C20+$B$146)*(1+D20+$B$147)*(1+Q20)-1</f>
        <v>0.184989030804026</v>
      </c>
      <c r="S20" s="55">
        <f>R20-(K20+$B$149)</f>
        <v>-0.125010969195974</v>
      </c>
      <c r="T20" s="55">
        <f>(1+T19)*(1+R20)/(1+K20+$B$149)-1</f>
        <v>-0.158748245307066</v>
      </c>
    </row>
    <row r="21" spans="1:20" ht="18" customHeight="1" x14ac:dyDescent="0.45">
      <c r="A21" s="50"/>
      <c r="B21" s="40" t="s">
        <v>79</v>
      </c>
      <c r="C21" s="324">
        <f>'11-v4.2-Recalibration'!$D$28</f>
        <v>0.11</v>
      </c>
      <c r="D21" s="324">
        <f>'11-v4.2-Recalibration'!$F$28</f>
        <v>0.15</v>
      </c>
      <c r="E21" s="324">
        <f>'11-v4.2-Recalibration'!$H$28</f>
        <v>0.34</v>
      </c>
      <c r="F21" s="42">
        <v>0.18099999999999999</v>
      </c>
      <c r="G21" s="43">
        <f>IF($B$9=1,MAX(0,MIN(0.95,E21+$B$148))*(1-F21),MAX(0,MIN(0.95,E21+$B$148)))</f>
        <v>0.27846</v>
      </c>
      <c r="H21" s="44">
        <f>(1-G21)+G21/$B$6</f>
        <v>0.82099</v>
      </c>
      <c r="I21" s="43">
        <f>H21/H20-1</f>
        <v>-0.0699692035816412</v>
      </c>
      <c r="J21" s="51">
        <f>(1+C21+$B$146)*(1+D21+$B$147)*(1+I21)-1</f>
        <v>0.187184311628035</v>
      </c>
      <c r="K21" s="324">
        <f>'11-v4.2-Recalibration'!$J$28</f>
        <v>0.38</v>
      </c>
      <c r="L21" s="52">
        <f>J21-(K21+$B$149)</f>
        <v>-0.202815688371965</v>
      </c>
      <c r="M21" s="52">
        <f>(1+M20)*(1+J21)/(1+K21+$B$149)-1</f>
        <v>-0.281495765970498</v>
      </c>
      <c r="O21" s="53">
        <f>MAX(0,MIN(0.95,E21+$B$148))*(1-F21)</f>
        <v>0.27846</v>
      </c>
      <c r="P21" s="54">
        <f>(1-O21)+O21/$B$6</f>
        <v>0.82099</v>
      </c>
      <c r="Q21" s="53">
        <f>P21/P20-1</f>
        <v>-0.0699692035816412</v>
      </c>
      <c r="R21" s="53">
        <f>(1+C21+$B$146)*(1+D21+$B$147)*(1+Q21)-1</f>
        <v>0.187184311628035</v>
      </c>
      <c r="S21" s="55">
        <f>R21-(K21+$B$149)</f>
        <v>-0.202815688371965</v>
      </c>
      <c r="T21" s="55">
        <f>(1+T20)*(1+R21)/(1+K21+$B$149)-1</f>
        <v>-0.281495765970498</v>
      </c>
    </row>
    <row r="22" spans="1:20" ht="18" customHeight="1" x14ac:dyDescent="0.45">
      <c r="A22" s="50"/>
      <c r="B22" s="40" t="s">
        <v>80</v>
      </c>
      <c r="C22" s="324">
        <f>'11-v4.2-Recalibration'!$D$33</f>
        <v>0.08</v>
      </c>
      <c r="D22" s="42">
        <v>0.1</v>
      </c>
      <c r="E22" s="324">
        <f>'11-v4.2-Recalibration'!$H$33</f>
        <v>0.4</v>
      </c>
      <c r="F22" s="42">
        <v>0.185</v>
      </c>
      <c r="G22" s="43">
        <f>IF($B$9=1,MAX(0,MIN(0.95,E22+$B$148))*(1-F22),MAX(0,MIN(0.95,E22+$B$148)))</f>
        <v>0.326</v>
      </c>
      <c r="H22" s="44">
        <f>(1-G22)+G22/$B$6</f>
        <v>0.790428571428571</v>
      </c>
      <c r="I22" s="43">
        <f>H22/H21-1</f>
        <v>-0.0372250923536569</v>
      </c>
      <c r="J22" s="51">
        <f>(1+C22+$B$146)*(1+D22+$B$147)*(1+I22)-1</f>
        <v>0.143776590283856</v>
      </c>
      <c r="K22" s="42">
        <v>0.28000000000000003</v>
      </c>
      <c r="L22" s="52">
        <f>J22-(K22+$B$149)</f>
        <v>-0.146223409716144</v>
      </c>
      <c r="M22" s="52">
        <f>(1+M21)*(1+J22)/(1+K22+$B$149)-1</f>
        <v>-0.36293928457149</v>
      </c>
      <c r="O22" s="53">
        <f>MAX(0,MIN(0.95,E22+$B$148))*(1-F22)</f>
        <v>0.326</v>
      </c>
      <c r="P22" s="54">
        <f>(1-O22)+O22/$B$6</f>
        <v>0.790428571428571</v>
      </c>
      <c r="Q22" s="53">
        <f>P22/P21-1</f>
        <v>-0.0372250923536569</v>
      </c>
      <c r="R22" s="53">
        <f>(1+C22+$B$146)*(1+D22+$B$147)*(1+Q22)-1</f>
        <v>0.143776590283856</v>
      </c>
      <c r="S22" s="55">
        <f>R22-(K22+$B$149)</f>
        <v>-0.146223409716144</v>
      </c>
      <c r="T22" s="55">
        <f>(1+T21)*(1+R22)/(1+K22+$B$149)-1</f>
        <v>-0.36293928457149</v>
      </c>
    </row>
    <row r="23" spans="1:13" ht="17.25" customHeight="1" x14ac:dyDescent="0.45">
      <c r="A23" s="187" t="s">
        <v>221</v>
      </c>
      <c r="B23" s="187"/>
      <c r="C23" s="187"/>
      <c r="D23" s="187"/>
      <c r="E23" s="187"/>
      <c r="F23" s="187"/>
      <c r="G23" s="187"/>
      <c r="H23" s="187"/>
      <c r="I23" s="187"/>
      <c r="J23" s="187"/>
      <c r="K23" s="187"/>
      <c r="L23" s="187"/>
      <c r="M23" s="187"/>
    </row>
    <row r="24" spans="1:20" ht="18" customHeight="1" x14ac:dyDescent="0.45">
      <c r="A24" s="39" t="s">
        <v>222</v>
      </c>
      <c r="B24" s="40" t="s">
        <v>219</v>
      </c>
      <c r="C24" s="41" t="s">
        <v>84</v>
      </c>
      <c r="D24" s="41" t="s">
        <v>84</v>
      </c>
      <c r="E24" s="42">
        <v>0.18</v>
      </c>
      <c r="F24" s="42">
        <v>0.14199999999999999</v>
      </c>
      <c r="G24" s="43">
        <f>IF($B$9=1,E24*(1-F24),E24)</f>
        <v>0.15444</v>
      </c>
      <c r="H24" s="44">
        <f>(1-G24)+G24/$B$6</f>
        <v>0.900717142857143</v>
      </c>
      <c r="I24" s="41" t="s">
        <v>84</v>
      </c>
      <c r="J24" s="41" t="s">
        <v>84</v>
      </c>
      <c r="K24" s="41" t="s">
        <v>84</v>
      </c>
      <c r="L24" s="41" t="s">
        <v>84</v>
      </c>
      <c r="M24" s="45">
        <f>$B$14</f>
        <v>-0.07</v>
      </c>
      <c r="O24" s="46">
        <f>E24*(1-F24)</f>
        <v>0.15444</v>
      </c>
      <c r="P24" s="47">
        <f>(1-O24)+O24/$B$6</f>
        <v>0.900717142857143</v>
      </c>
      <c r="Q24" s="48" t="s">
        <v>84</v>
      </c>
      <c r="R24" s="48" t="s">
        <v>84</v>
      </c>
      <c r="S24" s="48" t="s">
        <v>84</v>
      </c>
      <c r="T24" s="49">
        <f>$B$14</f>
        <v>-0.07</v>
      </c>
    </row>
    <row r="25" spans="1:20" ht="18" customHeight="1" x14ac:dyDescent="0.45">
      <c r="A25" s="50"/>
      <c r="B25" s="40" t="s">
        <v>220</v>
      </c>
      <c r="C25" s="42">
        <v>7.0000000000000007E-2</v>
      </c>
      <c r="D25" s="42">
        <v>0.13</v>
      </c>
      <c r="E25" s="42">
        <v>0.22</v>
      </c>
      <c r="F25" s="42">
        <v>0.17100000000000001</v>
      </c>
      <c r="G25" s="43">
        <f>IF($B$9=1,MAX(0,MIN(0.95,E25+$B$148))*(1-F25),MAX(0,MIN(0.95,E25+$B$148)))</f>
        <v>0.18238</v>
      </c>
      <c r="H25" s="44">
        <f>(1-G25)+G25/$B$6</f>
        <v>0.882755714285714</v>
      </c>
      <c r="I25" s="43">
        <f>H25/H24-1</f>
        <v>-0.0199412531601803</v>
      </c>
      <c r="J25" s="51">
        <f>(1+C25+$B$146)*(1+D25+$B$147)*(1+I25)-1</f>
        <v>0.184989030804026</v>
      </c>
      <c r="K25" s="42">
        <v>0.28000000000000003</v>
      </c>
      <c r="L25" s="52">
        <f>J25-(K25+$B$149)</f>
        <v>-0.105010969195974</v>
      </c>
      <c r="M25" s="52">
        <f>(1+M24)*(1+J25)/(1+K25+$B$149)-1</f>
        <v>-0.145705582443609</v>
      </c>
      <c r="O25" s="53">
        <f>MAX(0,MIN(0.95,E25+$B$148))*(1-F25)</f>
        <v>0.18238</v>
      </c>
      <c r="P25" s="54">
        <f>(1-O25)+O25/$B$6</f>
        <v>0.882755714285714</v>
      </c>
      <c r="Q25" s="53">
        <f>P25/P24-1</f>
        <v>-0.0199412531601803</v>
      </c>
      <c r="R25" s="53">
        <f>(1+C25+$B$146)*(1+D25+$B$147)*(1+Q25)-1</f>
        <v>0.184989030804026</v>
      </c>
      <c r="S25" s="55">
        <f>R25-(K25+$B$149)</f>
        <v>-0.105010969195974</v>
      </c>
      <c r="T25" s="55">
        <f>(1+T24)*(1+R25)/(1+K25+$B$149)-1</f>
        <v>-0.145705582443609</v>
      </c>
    </row>
    <row r="26" spans="1:20" ht="18" customHeight="1" x14ac:dyDescent="0.45">
      <c r="A26" s="50"/>
      <c r="B26" s="40" t="s">
        <v>79</v>
      </c>
      <c r="C26" s="324">
        <f>'11-v4.2-Recalibration'!$D$29</f>
        <v>0.12</v>
      </c>
      <c r="D26" s="324">
        <f>'11-v4.2-Recalibration'!$F$29</f>
        <v>0.15</v>
      </c>
      <c r="E26" s="324">
        <f>'11-v4.2-Recalibration'!$H$29</f>
        <v>0.3</v>
      </c>
      <c r="F26" s="42">
        <v>0.18099999999999999</v>
      </c>
      <c r="G26" s="43">
        <f>IF($B$9=1,MAX(0,MIN(0.95,E26+$B$148))*(1-F26),MAX(0,MIN(0.95,E26+$B$148)))</f>
        <v>0.2457</v>
      </c>
      <c r="H26" s="44">
        <f>(1-G26)+G26/$B$6</f>
        <v>0.84205</v>
      </c>
      <c r="I26" s="43">
        <f>H26/H25-1</f>
        <v>-0.0461120937842374</v>
      </c>
      <c r="J26" s="51">
        <f>(1+C26+$B$146)*(1+D26+$B$147)*(1+I26)-1</f>
        <v>0.228607623205902</v>
      </c>
      <c r="K26" s="324">
        <f>'11-v4.2-Recalibration'!$J$29</f>
        <v>0.32</v>
      </c>
      <c r="L26" s="52">
        <f>J26-(K26+$B$149)</f>
        <v>-0.101392376794098</v>
      </c>
      <c r="M26" s="52">
        <f>(1+M25)*(1+J26)/(1+K26+$B$149)-1</f>
        <v>-0.210832606111257</v>
      </c>
      <c r="O26" s="53">
        <f>MAX(0,MIN(0.95,E26+$B$148))*(1-F26)</f>
        <v>0.2457</v>
      </c>
      <c r="P26" s="54">
        <f>(1-O26)+O26/$B$6</f>
        <v>0.84205</v>
      </c>
      <c r="Q26" s="53">
        <f>P26/P25-1</f>
        <v>-0.0461120937842374</v>
      </c>
      <c r="R26" s="53">
        <f>(1+C26+$B$146)*(1+D26+$B$147)*(1+Q26)-1</f>
        <v>0.228607623205902</v>
      </c>
      <c r="S26" s="55">
        <f>R26-(K26+$B$149)</f>
        <v>-0.101392376794098</v>
      </c>
      <c r="T26" s="55">
        <f>(1+T25)*(1+R26)/(1+K26+$B$149)-1</f>
        <v>-0.210832606111257</v>
      </c>
    </row>
    <row r="27" spans="1:20" ht="18" customHeight="1" x14ac:dyDescent="0.45">
      <c r="A27" s="50"/>
      <c r="B27" s="40" t="s">
        <v>80</v>
      </c>
      <c r="C27" s="324">
        <f>'11-v4.2-Recalibration'!$D$34</f>
        <v>0.12</v>
      </c>
      <c r="D27" s="42">
        <v>0.11</v>
      </c>
      <c r="E27" s="324">
        <f>'11-v4.2-Recalibration'!$H$34</f>
        <v>0.32</v>
      </c>
      <c r="F27" s="42">
        <v>0.185</v>
      </c>
      <c r="G27" s="43">
        <f>IF($B$9=1,MAX(0,MIN(0.95,E27+$B$148))*(1-F27),MAX(0,MIN(0.95,E27+$B$148)))</f>
        <v>0.2608</v>
      </c>
      <c r="H27" s="44">
        <f>(1-G27)+G27/$B$6</f>
        <v>0.832342857142857</v>
      </c>
      <c r="I27" s="43">
        <f>H27/H26-1</f>
        <v>-0.0115279886671132</v>
      </c>
      <c r="J27" s="51">
        <f>(1+C27+$B$146)*(1+D27+$B$147)*(1+I27)-1</f>
        <v>0.228868404489045</v>
      </c>
      <c r="K27" s="42">
        <v>0.24</v>
      </c>
      <c r="L27" s="52">
        <f>J27-(K27+$B$149)</f>
        <v>-0.0211315955109548</v>
      </c>
      <c r="M27" s="52">
        <f>(1+M26)*(1+J27)/(1+K27+$B$149)-1</f>
        <v>-0.22417369903773</v>
      </c>
      <c r="O27" s="53">
        <f>MAX(0,MIN(0.95,E27+$B$148))*(1-F27)</f>
        <v>0.2608</v>
      </c>
      <c r="P27" s="54">
        <f>(1-O27)+O27/$B$6</f>
        <v>0.832342857142857</v>
      </c>
      <c r="Q27" s="53">
        <f>P27/P26-1</f>
        <v>-0.0115279886671132</v>
      </c>
      <c r="R27" s="53">
        <f>(1+C27+$B$146)*(1+D27+$B$147)*(1+Q27)-1</f>
        <v>0.228868404489045</v>
      </c>
      <c r="S27" s="55">
        <f>R27-(K27+$B$149)</f>
        <v>-0.0211315955109548</v>
      </c>
      <c r="T27" s="55">
        <f>(1+T26)*(1+R27)/(1+K27+$B$149)-1</f>
        <v>-0.22417369903773</v>
      </c>
    </row>
    <row r="28" spans="1:13" ht="17.25" customHeight="1" x14ac:dyDescent="0.45">
      <c r="A28" s="335" t="str">
        <f>"   S2 Base case (probability set in console [K]): aligned to TrendForce for 2026 (sufficiency −1~−2%). ▲ v4.2: recalibrated to Micron’s FQ4 FY26 guidance — 2027 supply and demand raised together (wafer +2pp, node +3pp, demand +6pp), 2028 wa"&amp;"fer growth cut 4pp because ID2, Hiroshima and Singapore NAND start output only in late 2028. Flow 2028 on this grid: "&amp;SUBSTITUTE(TEXT(L27,"+0.0%;-0.0%;0.0%"),"-","−")&amp;"; on the sheet 06 engine: "&amp;SUBSTITUTE(TEXT('06-Inventory-Burn-v4'!$E$31,"+0.0%;-0.0%;0.0%"),"-","−")&amp;IF('06-Inventory-Burn-v4'!$E$31&lt;0,". The turn moves to about 2029.",". The flow basis turns positive in 2028.")</f>
        <v>   S2 Base case (probability set in console [K]): aligned to TrendForce for 2026 (sufficiency −1~−2%). ▲ v4.2: recalibrated to Micron’s FQ4 FY26 guidance — 2027 supply and demand raised together (wafer +2pp, node +3pp, demand +6pp), 2028 wafer growth cut 4pp because ID2, Hiroshima and Singapore NAND start output only in late 2028. Flow 2028 on this grid: −2.1%; on the sheet 06 engine: −3.4%. The turn moves to about 2029.</v>
      </c>
      <c r="B28" s="335"/>
      <c r="C28" s="335"/>
      <c r="D28" s="335"/>
      <c r="E28" s="335"/>
      <c r="F28" s="335"/>
      <c r="G28" s="335"/>
      <c r="H28" s="335"/>
      <c r="I28" s="335"/>
      <c r="J28" s="335"/>
      <c r="K28" s="335"/>
      <c r="L28" s="335"/>
      <c r="M28" s="335"/>
    </row>
    <row r="29" spans="1:20" ht="18" customHeight="1" x14ac:dyDescent="0.45">
      <c r="A29" s="39" t="s">
        <v>224</v>
      </c>
      <c r="B29" s="40" t="s">
        <v>219</v>
      </c>
      <c r="C29" s="41" t="s">
        <v>84</v>
      </c>
      <c r="D29" s="41" t="s">
        <v>84</v>
      </c>
      <c r="E29" s="42">
        <v>0.18</v>
      </c>
      <c r="F29" s="42">
        <v>0.14199999999999999</v>
      </c>
      <c r="G29" s="43">
        <f>IF($B$9=1,E29*(1-F29),E29)</f>
        <v>0.15444</v>
      </c>
      <c r="H29" s="44">
        <f>(1-G29)+G29/$B$6</f>
        <v>0.900717142857143</v>
      </c>
      <c r="I29" s="41" t="s">
        <v>84</v>
      </c>
      <c r="J29" s="41" t="s">
        <v>84</v>
      </c>
      <c r="K29" s="41" t="s">
        <v>84</v>
      </c>
      <c r="L29" s="41" t="s">
        <v>84</v>
      </c>
      <c r="M29" s="45">
        <f>$B$14</f>
        <v>-0.07</v>
      </c>
      <c r="O29" s="46">
        <f>E29*(1-F29)</f>
        <v>0.15444</v>
      </c>
      <c r="P29" s="47">
        <f>(1-O29)+O29/$B$6</f>
        <v>0.900717142857143</v>
      </c>
      <c r="Q29" s="48" t="s">
        <v>84</v>
      </c>
      <c r="R29" s="48" t="s">
        <v>84</v>
      </c>
      <c r="S29" s="48" t="s">
        <v>84</v>
      </c>
      <c r="T29" s="49">
        <f>$B$14</f>
        <v>-0.07</v>
      </c>
    </row>
    <row r="30" spans="1:20" ht="18" customHeight="1" x14ac:dyDescent="0.45">
      <c r="A30" s="50"/>
      <c r="B30" s="40" t="s">
        <v>220</v>
      </c>
      <c r="C30" s="42">
        <v>7.0000000000000007E-2</v>
      </c>
      <c r="D30" s="42">
        <v>0.13</v>
      </c>
      <c r="E30" s="42">
        <v>0.22</v>
      </c>
      <c r="F30" s="42">
        <v>0.17100000000000001</v>
      </c>
      <c r="G30" s="43">
        <f>IF($B$9=1,MAX(0,MIN(0.95,E30+$B$148))*(1-F30),MAX(0,MIN(0.95,E30+$B$148)))</f>
        <v>0.18238</v>
      </c>
      <c r="H30" s="44">
        <f>(1-G30)+G30/$B$6</f>
        <v>0.882755714285714</v>
      </c>
      <c r="I30" s="43">
        <f>H30/H29-1</f>
        <v>-0.0199412531601803</v>
      </c>
      <c r="J30" s="51">
        <f>(1+C30+$B$146)*(1+D30+$B$147)*(1+I30)-1</f>
        <v>0.184989030804026</v>
      </c>
      <c r="K30" s="42">
        <v>0.26</v>
      </c>
      <c r="L30" s="52">
        <f>J30-(K30+$B$149)</f>
        <v>-0.085010969195974</v>
      </c>
      <c r="M30" s="52">
        <f>(1+M29)*(1+J30)/(1+K30+$B$149)-1</f>
        <v>-0.13225212704902</v>
      </c>
      <c r="O30" s="53">
        <f>MAX(0,MIN(0.95,E30+$B$148))*(1-F30)</f>
        <v>0.18238</v>
      </c>
      <c r="P30" s="54">
        <f>(1-O30)+O30/$B$6</f>
        <v>0.882755714285714</v>
      </c>
      <c r="Q30" s="53">
        <f>P30/P29-1</f>
        <v>-0.0199412531601803</v>
      </c>
      <c r="R30" s="53">
        <f>(1+C30+$B$146)*(1+D30+$B$147)*(1+Q30)-1</f>
        <v>0.184989030804026</v>
      </c>
      <c r="S30" s="55">
        <f>R30-(K30+$B$149)</f>
        <v>-0.085010969195974</v>
      </c>
      <c r="T30" s="55">
        <f>(1+T29)*(1+R30)/(1+K30+$B$149)-1</f>
        <v>-0.13225212704902</v>
      </c>
    </row>
    <row r="31" spans="1:20" ht="18" customHeight="1" x14ac:dyDescent="0.45">
      <c r="A31" s="50"/>
      <c r="B31" s="40" t="s">
        <v>79</v>
      </c>
      <c r="C31" s="324">
        <f>'11-v4.2-Recalibration'!$D$30</f>
        <v>0.14</v>
      </c>
      <c r="D31" s="324">
        <f>'11-v4.2-Recalibration'!$F$30</f>
        <v>0.17</v>
      </c>
      <c r="E31" s="324">
        <f>'11-v4.2-Recalibration'!$H$30</f>
        <v>0.28</v>
      </c>
      <c r="F31" s="42">
        <v>0.18099999999999999</v>
      </c>
      <c r="G31" s="43">
        <f>IF($B$9=1,MAX(0,MIN(0.95,E31+$B$148))*(1-F31),MAX(0,MIN(0.95,E31+$B$148)))</f>
        <v>0.22932</v>
      </c>
      <c r="H31" s="44">
        <f>(1-G31)+G31/$B$6</f>
        <v>0.85258</v>
      </c>
      <c r="I31" s="43">
        <f>H31/H30-1</f>
        <v>-0.0341835388855354</v>
      </c>
      <c r="J31" s="51">
        <f>(1+C31+$B$146)*(1+D31+$B$147)*(1+I31)-1</f>
        <v>0.288205995834473</v>
      </c>
      <c r="K31" s="324">
        <f>'11-v4.2-Recalibration'!$J$30</f>
        <v>0.26</v>
      </c>
      <c r="L31" s="52">
        <f>J31-(K31+$B$149)</f>
        <v>0.0182059958344727</v>
      </c>
      <c r="M31" s="52">
        <f>(1+M30)*(1+J31)/(1+K31+$B$149)-1</f>
        <v>-0.119812588340108</v>
      </c>
      <c r="O31" s="53">
        <f>MAX(0,MIN(0.95,E31+$B$148))*(1-F31)</f>
        <v>0.22932</v>
      </c>
      <c r="P31" s="54">
        <f>(1-O31)+O31/$B$6</f>
        <v>0.85258</v>
      </c>
      <c r="Q31" s="53">
        <f>P31/P30-1</f>
        <v>-0.0341835388855354</v>
      </c>
      <c r="R31" s="53">
        <f>(1+C31+$B$146)*(1+D31+$B$147)*(1+Q31)-1</f>
        <v>0.288205995834473</v>
      </c>
      <c r="S31" s="55">
        <f>R31-(K31+$B$149)</f>
        <v>0.0182059958344727</v>
      </c>
      <c r="T31" s="55">
        <f>(1+T30)*(1+R31)/(1+K31+$B$149)-1</f>
        <v>-0.119812588340108</v>
      </c>
    </row>
    <row r="32" spans="1:20" ht="18" customHeight="1" x14ac:dyDescent="0.45">
      <c r="A32" s="50"/>
      <c r="B32" s="40" t="s">
        <v>80</v>
      </c>
      <c r="C32" s="324">
        <f>'11-v4.2-Recalibration'!$D$35</f>
        <v>0.16</v>
      </c>
      <c r="D32" s="42">
        <v>0.13</v>
      </c>
      <c r="E32" s="324">
        <f>'11-v4.2-Recalibration'!$H$35</f>
        <v>0.26</v>
      </c>
      <c r="F32" s="42">
        <v>0.185</v>
      </c>
      <c r="G32" s="43">
        <f>IF($B$9=1,MAX(0,MIN(0.95,E32+$B$148))*(1-F32),MAX(0,MIN(0.95,E32+$B$148)))</f>
        <v>0.2119</v>
      </c>
      <c r="H32" s="44">
        <f>(1-G32)+G32/$B$6</f>
        <v>0.863778571428572</v>
      </c>
      <c r="I32" s="43">
        <f>H32/H31-1</f>
        <v>0.0131349215658021</v>
      </c>
      <c r="J32" s="51">
        <f>(1+C32+$B$146)*(1+D32+$B$147)*(1+I32)-1</f>
        <v>0.328017255188453</v>
      </c>
      <c r="K32" s="42">
        <v>0.18</v>
      </c>
      <c r="L32" s="52">
        <f>J32-(K32+$B$149)</f>
        <v>0.138017255188453</v>
      </c>
      <c r="M32" s="52">
        <f>(1+M31)*(1+J32)/(1+K32+$B$149)-1</f>
        <v>-0.0177276718621864</v>
      </c>
      <c r="O32" s="53">
        <f>MAX(0,MIN(0.95,E32+$B$148))*(1-F32)</f>
        <v>0.2119</v>
      </c>
      <c r="P32" s="54">
        <f>(1-O32)+O32/$B$6</f>
        <v>0.863778571428572</v>
      </c>
      <c r="Q32" s="53">
        <f>P32/P31-1</f>
        <v>0.0131349215658021</v>
      </c>
      <c r="R32" s="53">
        <f>(1+C32+$B$146)*(1+D32+$B$147)*(1+Q32)-1</f>
        <v>0.328017255188453</v>
      </c>
      <c r="S32" s="55">
        <f>R32-(K32+$B$149)</f>
        <v>0.138017255188453</v>
      </c>
      <c r="T32" s="55">
        <f>(1+T31)*(1+R32)/(1+K32+$B$149)-1</f>
        <v>-0.0177276718621864</v>
      </c>
    </row>
    <row r="33" spans="1:13" ht="28.5" customHeight="1" x14ac:dyDescent="0.45">
      <c r="A33" s="187" t="s">
        <v>225</v>
      </c>
      <c r="B33" s="187"/>
      <c r="C33" s="187"/>
      <c r="D33" s="187"/>
      <c r="E33" s="187"/>
      <c r="F33" s="187"/>
      <c r="G33" s="187"/>
      <c r="H33" s="187"/>
      <c r="I33" s="187"/>
      <c r="J33" s="187"/>
      <c r="K33" s="187"/>
      <c r="L33" s="187"/>
      <c r="M33" s="187"/>
    </row>
    <row r="34" spans="1:20" ht="18" customHeight="1" x14ac:dyDescent="0.45">
      <c r="A34" s="39" t="s">
        <v>226</v>
      </c>
      <c r="B34" s="40" t="s">
        <v>219</v>
      </c>
      <c r="C34" s="41" t="s">
        <v>84</v>
      </c>
      <c r="D34" s="41" t="s">
        <v>84</v>
      </c>
      <c r="E34" s="42">
        <v>0.18</v>
      </c>
      <c r="F34" s="42">
        <v>0.14199999999999999</v>
      </c>
      <c r="G34" s="43">
        <f>IF($B$9=1,E34*(1-F34),E34)</f>
        <v>0.15444</v>
      </c>
      <c r="H34" s="44">
        <f>(1-G34)+G34/$B$6</f>
        <v>0.900717142857143</v>
      </c>
      <c r="I34" s="41" t="s">
        <v>84</v>
      </c>
      <c r="J34" s="41" t="s">
        <v>84</v>
      </c>
      <c r="K34" s="41" t="s">
        <v>84</v>
      </c>
      <c r="L34" s="41" t="s">
        <v>84</v>
      </c>
      <c r="M34" s="45">
        <f>$B$14</f>
        <v>-0.07</v>
      </c>
      <c r="O34" s="46">
        <f>E34*(1-F34)</f>
        <v>0.15444</v>
      </c>
      <c r="P34" s="47">
        <f>(1-O34)+O34/$B$6</f>
        <v>0.900717142857143</v>
      </c>
      <c r="Q34" s="48" t="s">
        <v>84</v>
      </c>
      <c r="R34" s="48" t="s">
        <v>84</v>
      </c>
      <c r="S34" s="48" t="s">
        <v>84</v>
      </c>
      <c r="T34" s="49">
        <f>$B$14</f>
        <v>-0.07</v>
      </c>
    </row>
    <row r="35" spans="1:20" ht="18" customHeight="1" x14ac:dyDescent="0.45">
      <c r="A35" s="50"/>
      <c r="B35" s="40" t="s">
        <v>220</v>
      </c>
      <c r="C35" s="42">
        <v>7.0000000000000007E-2</v>
      </c>
      <c r="D35" s="42">
        <v>0.13</v>
      </c>
      <c r="E35" s="42">
        <v>0.22</v>
      </c>
      <c r="F35" s="42">
        <v>0.17100000000000001</v>
      </c>
      <c r="G35" s="43">
        <f>IF($B$9=1,MAX(0,MIN(0.95,E35+$B$148))*(1-F35),MAX(0,MIN(0.95,E35+$B$148)))</f>
        <v>0.18238</v>
      </c>
      <c r="H35" s="44">
        <f>(1-G35)+G35/$B$6</f>
        <v>0.882755714285714</v>
      </c>
      <c r="I35" s="43">
        <f>H35/H34-1</f>
        <v>-0.0199412531601803</v>
      </c>
      <c r="J35" s="51">
        <f>(1+C35+$B$146)*(1+D35+$B$147)*(1+I35)-1</f>
        <v>0.184989030804026</v>
      </c>
      <c r="K35" s="42">
        <v>0.24</v>
      </c>
      <c r="L35" s="52">
        <f>J35-(K35+$B$149)</f>
        <v>-0.0650109691959739</v>
      </c>
      <c r="M35" s="52">
        <f>(1+M34)*(1+J35)/(1+K35+$B$149)-1</f>
        <v>-0.118368161081805</v>
      </c>
      <c r="O35" s="53">
        <f>MAX(0,MIN(0.95,E35+$B$148))*(1-F35)</f>
        <v>0.18238</v>
      </c>
      <c r="P35" s="54">
        <f>(1-O35)+O35/$B$6</f>
        <v>0.882755714285714</v>
      </c>
      <c r="Q35" s="53">
        <f>P35/P34-1</f>
        <v>-0.0199412531601803</v>
      </c>
      <c r="R35" s="53">
        <f>(1+C35+$B$146)*(1+D35+$B$147)*(1+Q35)-1</f>
        <v>0.184989030804026</v>
      </c>
      <c r="S35" s="55">
        <f>R35-(K35+$B$149)</f>
        <v>-0.0650109691959739</v>
      </c>
      <c r="T35" s="55">
        <f>(1+T34)*(1+R35)/(1+K35+$B$149)-1</f>
        <v>-0.118368161081805</v>
      </c>
    </row>
    <row r="36" spans="1:20" ht="18" customHeight="1" x14ac:dyDescent="0.45">
      <c r="A36" s="50"/>
      <c r="B36" s="40" t="s">
        <v>79</v>
      </c>
      <c r="C36" s="324">
        <f>'11-v4.2-Recalibration'!$D$31</f>
        <v>0.15</v>
      </c>
      <c r="D36" s="324">
        <f>'11-v4.2-Recalibration'!$F$31</f>
        <v>0.18</v>
      </c>
      <c r="E36" s="324">
        <f>'11-v4.2-Recalibration'!$H$31</f>
        <v>0.24</v>
      </c>
      <c r="F36" s="42">
        <v>0.18099999999999999</v>
      </c>
      <c r="G36" s="43">
        <f>IF($B$9=1,MAX(0,MIN(0.95,E36+$B$148))*(1-F36),MAX(0,MIN(0.95,E36+$B$148)))</f>
        <v>0.19656</v>
      </c>
      <c r="H36" s="44">
        <f>(1-G36)+G36/$B$6</f>
        <v>0.87364</v>
      </c>
      <c r="I36" s="43">
        <f>H36/H35-1</f>
        <v>-0.0103264290881314</v>
      </c>
      <c r="J36" s="51">
        <f>(1+C36+$B$146)*(1+D36+$B$147)*(1+I36)-1</f>
        <v>0.342987035727405</v>
      </c>
      <c r="K36" s="324">
        <f>'11-v4.2-Recalibration'!$J$31</f>
        <v>0.24</v>
      </c>
      <c r="L36" s="52">
        <f>J36-(K36+$B$149)</f>
        <v>0.0929870357274054</v>
      </c>
      <c r="M36" s="52">
        <f>(1+M35)*(1+J36)/(1+K36+$B$149)-1</f>
        <v>-0.0527838960386813</v>
      </c>
      <c r="O36" s="53">
        <f>MAX(0,MIN(0.95,E36+$B$148))*(1-F36)</f>
        <v>0.19656</v>
      </c>
      <c r="P36" s="54">
        <f>(1-O36)+O36/$B$6</f>
        <v>0.87364</v>
      </c>
      <c r="Q36" s="53">
        <f>P36/P35-1</f>
        <v>-0.0103264290881314</v>
      </c>
      <c r="R36" s="53">
        <f>(1+C36+$B$146)*(1+D36+$B$147)*(1+Q36)-1</f>
        <v>0.342987035727405</v>
      </c>
      <c r="S36" s="55">
        <f>R36-(K36+$B$149)</f>
        <v>0.0929870357274054</v>
      </c>
      <c r="T36" s="55">
        <f>(1+T35)*(1+R36)/(1+K36+$B$149)-1</f>
        <v>-0.0527838960386813</v>
      </c>
    </row>
    <row r="37" spans="1:20" ht="18" customHeight="1" x14ac:dyDescent="0.45">
      <c r="A37" s="50"/>
      <c r="B37" s="40" t="s">
        <v>80</v>
      </c>
      <c r="C37" s="324">
        <f>'11-v4.2-Recalibration'!$D$36</f>
        <v>0.2</v>
      </c>
      <c r="D37" s="42">
        <v>0.15</v>
      </c>
      <c r="E37" s="324">
        <f>'11-v4.2-Recalibration'!$H$36</f>
        <v>0.2</v>
      </c>
      <c r="F37" s="42">
        <v>0.185</v>
      </c>
      <c r="G37" s="43">
        <f>IF($B$9=1,MAX(0,MIN(0.95,E37+$B$148))*(1-F37),MAX(0,MIN(0.95,E37+$B$148)))</f>
        <v>0.163</v>
      </c>
      <c r="H37" s="44">
        <f>(1-G37)+G37/$B$6</f>
        <v>0.895214285714286</v>
      </c>
      <c r="I37" s="43">
        <f>H37/H36-1</f>
        <v>0.0246947091642846</v>
      </c>
      <c r="J37" s="51">
        <f>(1+C37+$B$146)*(1+D37+$B$147)*(1+I37)-1</f>
        <v>0.414078698646713</v>
      </c>
      <c r="K37" s="42">
        <v>0.16</v>
      </c>
      <c r="L37" s="52">
        <f>J37-(K37+$B$149)</f>
        <v>0.244078698646713</v>
      </c>
      <c r="M37" s="52">
        <f>(1+M36)*(1+J37)/(1+K37+$B$149)-1</f>
        <v>0.144818902245155</v>
      </c>
      <c r="O37" s="53">
        <f>MAX(0,MIN(0.95,E37+$B$148))*(1-F37)</f>
        <v>0.163</v>
      </c>
      <c r="P37" s="54">
        <f>(1-O37)+O37/$B$6</f>
        <v>0.895214285714286</v>
      </c>
      <c r="Q37" s="53">
        <f>P37/P36-1</f>
        <v>0.0246947091642846</v>
      </c>
      <c r="R37" s="53">
        <f>(1+C37+$B$146)*(1+D37+$B$147)*(1+Q37)-1</f>
        <v>0.414078698646713</v>
      </c>
      <c r="S37" s="55">
        <f>R37-(K37+$B$149)</f>
        <v>0.244078698646713</v>
      </c>
      <c r="T37" s="55">
        <f>(1+T36)*(1+R37)/(1+K37+$B$149)-1</f>
        <v>0.144818902245155</v>
      </c>
    </row>
    <row r="38" spans="1:13" ht="17.25" customHeight="1" x14ac:dyDescent="0.45">
      <c r="A38" s="187" t="s">
        <v>227</v>
      </c>
      <c r="B38" s="187"/>
      <c r="C38" s="187"/>
      <c r="D38" s="187"/>
      <c r="E38" s="187"/>
      <c r="F38" s="187"/>
      <c r="G38" s="187"/>
      <c r="H38" s="187"/>
      <c r="I38" s="187"/>
      <c r="J38" s="187"/>
      <c r="K38" s="187"/>
      <c r="L38" s="187"/>
      <c r="M38" s="187"/>
    </row>
    <row r="39" spans="1:20" ht="18" customHeight="1" x14ac:dyDescent="0.45">
      <c r="A39" s="39" t="s">
        <v>228</v>
      </c>
      <c r="B39" s="40" t="s">
        <v>219</v>
      </c>
      <c r="C39" s="41" t="s">
        <v>84</v>
      </c>
      <c r="D39" s="41" t="s">
        <v>84</v>
      </c>
      <c r="E39" s="42">
        <v>0.18</v>
      </c>
      <c r="F39" s="42">
        <v>0.14199999999999999</v>
      </c>
      <c r="G39" s="43">
        <f>IF($B$9=1,E39*(1-F39),E39)</f>
        <v>0.15444</v>
      </c>
      <c r="H39" s="44">
        <f>(1-G39)+G39/$B$6</f>
        <v>0.900717142857143</v>
      </c>
      <c r="I39" s="41" t="s">
        <v>84</v>
      </c>
      <c r="J39" s="41" t="s">
        <v>84</v>
      </c>
      <c r="K39" s="41" t="s">
        <v>84</v>
      </c>
      <c r="L39" s="41" t="s">
        <v>84</v>
      </c>
      <c r="M39" s="45">
        <f>$B$14</f>
        <v>-0.07</v>
      </c>
      <c r="O39" s="46">
        <f>E39*(1-F39)</f>
        <v>0.15444</v>
      </c>
      <c r="P39" s="47">
        <f>(1-O39)+O39/$B$6</f>
        <v>0.900717142857143</v>
      </c>
      <c r="Q39" s="48" t="s">
        <v>84</v>
      </c>
      <c r="R39" s="48" t="s">
        <v>84</v>
      </c>
      <c r="S39" s="48" t="s">
        <v>84</v>
      </c>
      <c r="T39" s="49">
        <f>$B$14</f>
        <v>-0.07</v>
      </c>
    </row>
    <row r="40" spans="1:20" ht="18" customHeight="1" x14ac:dyDescent="0.45">
      <c r="A40" s="50"/>
      <c r="B40" s="40" t="s">
        <v>220</v>
      </c>
      <c r="C40" s="42">
        <v>7.0000000000000007E-2</v>
      </c>
      <c r="D40" s="42">
        <v>0.13</v>
      </c>
      <c r="E40" s="42">
        <v>0.22</v>
      </c>
      <c r="F40" s="42">
        <v>0.17100000000000001</v>
      </c>
      <c r="G40" s="43">
        <f>IF($B$9=1,MAX(0,MIN(0.95,E40+$B$148))*(1-F40),MAX(0,MIN(0.95,E40+$B$148)))</f>
        <v>0.18238</v>
      </c>
      <c r="H40" s="44">
        <f>(1-G40)+G40/$B$6</f>
        <v>0.882755714285714</v>
      </c>
      <c r="I40" s="43">
        <f>H40/H39-1</f>
        <v>-0.0199412531601803</v>
      </c>
      <c r="J40" s="51">
        <f>(1+C40+$B$146)*(1+D40+$B$147)*(1+I40)-1</f>
        <v>0.184989030804026</v>
      </c>
      <c r="K40" s="42">
        <v>0.18</v>
      </c>
      <c r="L40" s="52">
        <f>J40-(K40+$B$149)</f>
        <v>-0.00501096919597394</v>
      </c>
      <c r="M40" s="52">
        <f>(1+M39)*(1+J40)/(1+K40+$B$149)-1</f>
        <v>-0.0739161355901309</v>
      </c>
      <c r="O40" s="53">
        <f>MAX(0,MIN(0.95,E40+$B$148))*(1-F40)</f>
        <v>0.18238</v>
      </c>
      <c r="P40" s="54">
        <f>(1-O40)+O40/$B$6</f>
        <v>0.882755714285714</v>
      </c>
      <c r="Q40" s="53">
        <f>P40/P39-1</f>
        <v>-0.0199412531601803</v>
      </c>
      <c r="R40" s="53">
        <f>(1+C40+$B$146)*(1+D40+$B$147)*(1+Q40)-1</f>
        <v>0.184989030804026</v>
      </c>
      <c r="S40" s="55">
        <f>R40-(K40+$B$149)</f>
        <v>-0.00501096919597394</v>
      </c>
      <c r="T40" s="55">
        <f>(1+T39)*(1+R40)/(1+K40+$B$149)-1</f>
        <v>-0.0739161355901309</v>
      </c>
    </row>
    <row r="41" spans="1:20" ht="18" customHeight="1" x14ac:dyDescent="0.45">
      <c r="A41" s="50"/>
      <c r="B41" s="40" t="s">
        <v>79</v>
      </c>
      <c r="C41" s="324">
        <f>'11-v4.2-Recalibration'!$D$32</f>
        <v>0.16</v>
      </c>
      <c r="D41" s="324">
        <f>'11-v4.2-Recalibration'!$F$32</f>
        <v>0.19</v>
      </c>
      <c r="E41" s="324">
        <f>'11-v4.2-Recalibration'!$H$32</f>
        <v>0.2</v>
      </c>
      <c r="F41" s="42">
        <v>0.18099999999999999</v>
      </c>
      <c r="G41" s="43">
        <f>IF($B$9=1,MAX(0,MIN(0.95,E41+$B$148))*(1-F41),MAX(0,MIN(0.95,E41+$B$148)))</f>
        <v>0.1638</v>
      </c>
      <c r="H41" s="44">
        <f>(1-G41)+G41/$B$6</f>
        <v>0.8947</v>
      </c>
      <c r="I41" s="43">
        <f>H41/H40-1</f>
        <v>0.0135306807092725</v>
      </c>
      <c r="J41" s="51">
        <f>(1+C41+$B$146)*(1+D41+$B$147)*(1+I41)-1</f>
        <v>0.39907775165108</v>
      </c>
      <c r="K41" s="324">
        <f>'11-v4.2-Recalibration'!$J$32</f>
        <v>0.18</v>
      </c>
      <c r="L41" s="52">
        <f>J41-(K41+$B$149)</f>
        <v>0.20907775165108</v>
      </c>
      <c r="M41" s="52">
        <f>(1+M40)*(1+J41)/(1+K41+$B$149)-1</f>
        <v>0.0887927150074814</v>
      </c>
      <c r="O41" s="53">
        <f>MAX(0,MIN(0.95,E41+$B$148))*(1-F41)</f>
        <v>0.1638</v>
      </c>
      <c r="P41" s="54">
        <f>(1-O41)+O41/$B$6</f>
        <v>0.8947</v>
      </c>
      <c r="Q41" s="53">
        <f>P41/P40-1</f>
        <v>0.0135306807092725</v>
      </c>
      <c r="R41" s="53">
        <f>(1+C41+$B$146)*(1+D41+$B$147)*(1+Q41)-1</f>
        <v>0.39907775165108</v>
      </c>
      <c r="S41" s="55">
        <f>R41-(K41+$B$149)</f>
        <v>0.20907775165108</v>
      </c>
      <c r="T41" s="55">
        <f>(1+T40)*(1+R41)/(1+K41+$B$149)-1</f>
        <v>0.0887927150074814</v>
      </c>
    </row>
    <row r="42" spans="1:20" ht="18" customHeight="1" x14ac:dyDescent="0.45">
      <c r="A42" s="50"/>
      <c r="B42" s="40" t="s">
        <v>80</v>
      </c>
      <c r="C42" s="324">
        <f>'11-v4.2-Recalibration'!$D$37</f>
        <v>0.22</v>
      </c>
      <c r="D42" s="42">
        <v>0.16</v>
      </c>
      <c r="E42" s="324">
        <f>'11-v4.2-Recalibration'!$H$37</f>
        <v>0.15</v>
      </c>
      <c r="F42" s="42">
        <v>0.185</v>
      </c>
      <c r="G42" s="43">
        <f>IF($B$9=1,MAX(0,MIN(0.95,E42+$B$148))*(1-F42),MAX(0,MIN(0.95,E42+$B$148)))</f>
        <v>0.12225</v>
      </c>
      <c r="H42" s="44">
        <f>(1-G42)+G42/$B$6</f>
        <v>0.921410714285714</v>
      </c>
      <c r="I42" s="43">
        <f>H42/H41-1</f>
        <v>0.0298543805585272</v>
      </c>
      <c r="J42" s="51">
        <f>(1+C42+$B$146)*(1+D42+$B$147)*(1+I42)-1</f>
        <v>0.457449919366427</v>
      </c>
      <c r="K42" s="42">
        <v>-0.08</v>
      </c>
      <c r="L42" s="52">
        <f>J42-(K42+$B$149)</f>
        <v>0.527449919366428</v>
      </c>
      <c r="M42" s="52">
        <f>(1+M41)*(1+J42)/(1+K42+$B$149)-1</f>
        <v>0.706301994295062</v>
      </c>
      <c r="O42" s="53">
        <f>MAX(0,MIN(0.95,E42+$B$148))*(1-F42)</f>
        <v>0.12225</v>
      </c>
      <c r="P42" s="54">
        <f>(1-O42)+O42/$B$6</f>
        <v>0.921410714285714</v>
      </c>
      <c r="Q42" s="53">
        <f>P42/P41-1</f>
        <v>0.0298543805585272</v>
      </c>
      <c r="R42" s="53">
        <f>(1+C42+$B$146)*(1+D42+$B$147)*(1+Q42)-1</f>
        <v>0.457449919366427</v>
      </c>
      <c r="S42" s="55">
        <f>R42-(K42+$B$149)</f>
        <v>0.527449919366428</v>
      </c>
      <c r="T42" s="55">
        <f>(1+T41)*(1+R42)/(1+K42+$B$149)-1</f>
        <v>0.706301994295062</v>
      </c>
    </row>
    <row r="43" spans="1:13" ht="28.5" customHeight="1" x14ac:dyDescent="0.45">
      <c r="A43" s="270" t="s">
        <v>1283</v>
      </c>
      <c r="B43" s="270"/>
      <c r="C43" s="270"/>
      <c r="D43" s="270"/>
      <c r="E43" s="270"/>
      <c r="F43" s="270"/>
      <c r="G43" s="270"/>
      <c r="H43" s="270"/>
      <c r="I43" s="270"/>
      <c r="J43" s="270"/>
      <c r="K43" s="270"/>
      <c r="L43" s="270"/>
      <c r="M43" s="270"/>
    </row>
    <row r="44" spans="1:13" ht="45" customHeight="1" x14ac:dyDescent="0.45">
      <c r="A44" s="275" t="s">
        <v>1288</v>
      </c>
      <c r="B44" s="275"/>
      <c r="C44" s="275"/>
      <c r="D44" s="275"/>
      <c r="E44" s="275"/>
      <c r="F44" s="275"/>
      <c r="G44" s="275"/>
      <c r="H44" s="275"/>
      <c r="I44" s="275"/>
      <c r="J44" s="275"/>
      <c r="K44" s="275"/>
      <c r="L44" s="275"/>
      <c r="M44" s="275"/>
    </row>
    <row r="46" spans="1:13" ht="24" customHeight="1" x14ac:dyDescent="0.45">
      <c r="A46" s="155" t="s">
        <v>231</v>
      </c>
      <c r="B46" s="155"/>
      <c r="C46" s="155"/>
      <c r="D46" s="155"/>
      <c r="E46" s="155"/>
      <c r="F46" s="155"/>
      <c r="G46" s="155"/>
      <c r="H46" s="155"/>
      <c r="I46" s="155"/>
      <c r="J46" s="155"/>
      <c r="K46" s="155"/>
      <c r="L46" s="155"/>
      <c r="M46" s="155"/>
    </row>
    <row r="47" spans="1:7" ht="31.5" customHeight="1" x14ac:dyDescent="0.45">
      <c r="A47" s="2" t="s">
        <v>200</v>
      </c>
      <c r="B47" s="2" t="s">
        <v>232</v>
      </c>
      <c r="C47" s="2" t="s">
        <v>233</v>
      </c>
      <c r="D47" s="2" t="s">
        <v>78</v>
      </c>
      <c r="E47" s="2" t="s">
        <v>79</v>
      </c>
      <c r="F47" s="2" t="s">
        <v>80</v>
      </c>
      <c r="G47" s="2" t="s">
        <v>234</v>
      </c>
    </row>
    <row r="48" spans="1:7" ht="18" customHeight="1" x14ac:dyDescent="0.45">
      <c r="A48" s="9" t="s">
        <v>218</v>
      </c>
      <c r="B48" s="56">
        <f>$B$151</f>
        <v>0.15</v>
      </c>
      <c r="C48" s="57">
        <f>B48</f>
        <v>0.15</v>
      </c>
      <c r="D48" s="58">
        <f>L20</f>
        <v>-0.125010969195974</v>
      </c>
      <c r="E48" s="58">
        <f>L21</f>
        <v>-0.202815688371965</v>
      </c>
      <c r="F48" s="58">
        <f>L22</f>
        <v>-0.146223409716144</v>
      </c>
      <c r="G48" s="59" t="str">
        <f>IF(D48&gt;0,"2026",IF(E48&gt;0,"2027",IF(F48&gt;0,"2028","not within 3 yrs")))</f>
        <v>not within 3 yrs</v>
      </c>
    </row>
    <row r="49" spans="1:7" ht="18" customHeight="1" x14ac:dyDescent="0.45">
      <c r="A49" s="9" t="s">
        <v>222</v>
      </c>
      <c r="B49" s="56">
        <f>$B$152</f>
        <v>0.38</v>
      </c>
      <c r="C49" s="57">
        <f>C48+B49</f>
        <v>0.53</v>
      </c>
      <c r="D49" s="60">
        <f>L25</f>
        <v>-0.105010969195974</v>
      </c>
      <c r="E49" s="60">
        <f>L26</f>
        <v>-0.101392376794098</v>
      </c>
      <c r="F49" s="60">
        <f>L27</f>
        <v>-0.0211315955109548</v>
      </c>
      <c r="G49" s="59" t="str">
        <f>IF(D49&gt;0,"2026",IF(E49&gt;0,"2027",IF(F49&gt;0,"2028","not within 3 yrs")))</f>
        <v>not within 3 yrs</v>
      </c>
    </row>
    <row r="50" spans="1:7" ht="18" customHeight="1" x14ac:dyDescent="0.45">
      <c r="A50" s="9" t="s">
        <v>224</v>
      </c>
      <c r="B50" s="56">
        <f>$B$153</f>
        <v>0.25</v>
      </c>
      <c r="C50" s="57">
        <f>C49+B50</f>
        <v>0.78</v>
      </c>
      <c r="D50" s="58">
        <f>L30</f>
        <v>-0.085010969195974</v>
      </c>
      <c r="E50" s="58">
        <f>L31</f>
        <v>0.0182059958344727</v>
      </c>
      <c r="F50" s="58">
        <f>L32</f>
        <v>0.138017255188453</v>
      </c>
      <c r="G50" s="59" t="str">
        <f>IF(D50&gt;0,"2026",IF(E50&gt;0,"2027",IF(F50&gt;0,"2028","not within 3 yrs")))</f>
        <v>2027</v>
      </c>
    </row>
    <row r="51" spans="1:7" ht="18" customHeight="1" x14ac:dyDescent="0.45">
      <c r="A51" s="9" t="s">
        <v>226</v>
      </c>
      <c r="B51" s="56">
        <f>$B$154</f>
        <v>0.17</v>
      </c>
      <c r="C51" s="57">
        <f>C50+B51</f>
        <v>0.95</v>
      </c>
      <c r="D51" s="58">
        <f>L35</f>
        <v>-0.0650109691959739</v>
      </c>
      <c r="E51" s="58">
        <f>L36</f>
        <v>0.0929870357274054</v>
      </c>
      <c r="F51" s="58">
        <f>L37</f>
        <v>0.244078698646713</v>
      </c>
      <c r="G51" s="59" t="str">
        <f>IF(D51&gt;0,"2026",IF(E51&gt;0,"2027",IF(F51&gt;0,"2028","not within 3 yrs")))</f>
        <v>2027</v>
      </c>
    </row>
    <row r="52" spans="1:7" ht="18" customHeight="1" x14ac:dyDescent="0.45">
      <c r="A52" s="9" t="s">
        <v>228</v>
      </c>
      <c r="B52" s="56">
        <f>$B$155</f>
        <v>0.05</v>
      </c>
      <c r="C52" s="57">
        <f>C51+B52</f>
        <v>1</v>
      </c>
      <c r="D52" s="58">
        <f>L40</f>
        <v>-0.00501096919597394</v>
      </c>
      <c r="E52" s="58">
        <f>L41</f>
        <v>0.20907775165108</v>
      </c>
      <c r="F52" s="58">
        <f>L42</f>
        <v>0.527449919366428</v>
      </c>
      <c r="G52" s="59" t="str">
        <f>IF(D52&gt;0,"2026",IF(E52&gt;0,"2027",IF(F52&gt;0,"2028","not within 3 yrs")))</f>
        <v>2027</v>
      </c>
    </row>
    <row r="53" spans="1:7" ht="21" customHeight="1" x14ac:dyDescent="0.45">
      <c r="A53" s="61" t="s">
        <v>235</v>
      </c>
      <c r="B53" s="56">
        <f>SUM(B48:B52)</f>
        <v>1</v>
      </c>
      <c r="C53" s="62" t="s">
        <v>236</v>
      </c>
      <c r="D53" s="63">
        <f>SUMPRODUCT($B$48:$B$52,D48:D52)</f>
        <v>-0.091210969195974</v>
      </c>
      <c r="E53" s="63">
        <f>SUMPRODUCT($B$48:$B$52,E48:E52)</f>
        <v>-0.0381382738227208</v>
      </c>
      <c r="F53" s="63">
        <f>SUMPRODUCT($B$48:$B$52,F48:F52)</f>
        <v>0.0724066707837913</v>
      </c>
      <c r="G53" s="59" t="str">
        <f>IF(D53&gt;0,"2026",IF(E53&gt;0,"2027",IF(F53&gt;0,"2028","not within 3 yrs")))</f>
        <v>2028</v>
      </c>
    </row>
    <row r="54" spans="1:7" ht="21" customHeight="1" x14ac:dyDescent="0.45">
      <c r="A54" s="61" t="s">
        <v>237</v>
      </c>
      <c r="B54" s="56">
        <f>SUM(B48:B52)</f>
        <v>1</v>
      </c>
      <c r="C54" s="62" t="s">
        <v>236</v>
      </c>
      <c r="D54" s="63">
        <f>INDEX(D48:D52,IFERROR(MATCH(0.5,$C$48:$C$52,1)+1,1))</f>
        <v>-0.105010969195974</v>
      </c>
      <c r="E54" s="63">
        <f>INDEX(E48:E52,IFERROR(MATCH(0.5,$C$48:$C$52,1)+1,1))</f>
        <v>-0.101392376794098</v>
      </c>
      <c r="F54" s="63">
        <f>INDEX(F48:F52,IFERROR(MATCH(0.5,$C$48:$C$52,1)+1,1))</f>
        <v>-0.0211315955109548</v>
      </c>
      <c r="G54" s="59" t="str">
        <f>IF(D54&gt;0,"2026",IF(E54&gt;0,"2027",IF(F54&gt;0,"2028","not within 3 yrs")))</f>
        <v>not within 3 yrs</v>
      </c>
    </row>
    <row r="55" spans="1:13" ht="33" customHeight="1" x14ac:dyDescent="0.45">
      <c r="A55" s="150" t="s">
        <v>238</v>
      </c>
      <c r="B55" s="150"/>
      <c r="C55" s="150"/>
      <c r="D55" s="150"/>
      <c r="E55" s="150"/>
      <c r="F55" s="150"/>
      <c r="G55" s="150"/>
      <c r="H55" s="150"/>
      <c r="I55" s="150"/>
      <c r="J55" s="150"/>
      <c r="K55" s="150"/>
      <c r="L55" s="150"/>
      <c r="M55" s="150"/>
    </row>
    <row r="57" spans="1:13" ht="24" customHeight="1" x14ac:dyDescent="0.45">
      <c r="A57" s="155" t="s">
        <v>239</v>
      </c>
      <c r="B57" s="155"/>
      <c r="C57" s="155"/>
      <c r="D57" s="155"/>
      <c r="E57" s="155"/>
      <c r="F57" s="155"/>
      <c r="G57" s="155"/>
      <c r="H57" s="155"/>
      <c r="I57" s="155"/>
      <c r="J57" s="155"/>
      <c r="K57" s="155"/>
      <c r="L57" s="155"/>
      <c r="M57" s="155"/>
    </row>
    <row r="58" spans="1:8" ht="31.5" customHeight="1" x14ac:dyDescent="0.45">
      <c r="A58" s="2" t="s">
        <v>200</v>
      </c>
      <c r="B58" s="2" t="s">
        <v>232</v>
      </c>
      <c r="C58" s="2" t="s">
        <v>233</v>
      </c>
      <c r="D58" s="2" t="s">
        <v>77</v>
      </c>
      <c r="E58" s="2" t="s">
        <v>78</v>
      </c>
      <c r="F58" s="2" t="s">
        <v>79</v>
      </c>
      <c r="G58" s="2" t="s">
        <v>80</v>
      </c>
      <c r="H58" s="2" t="s">
        <v>82</v>
      </c>
    </row>
    <row r="59" spans="1:8" ht="18" customHeight="1" x14ac:dyDescent="0.45">
      <c r="A59" s="9" t="s">
        <v>218</v>
      </c>
      <c r="B59" s="56">
        <f>B48</f>
        <v>0.15</v>
      </c>
      <c r="C59" s="57">
        <f>B59</f>
        <v>0.15</v>
      </c>
      <c r="D59" s="58">
        <f>M19</f>
        <v>-0.07</v>
      </c>
      <c r="E59" s="58">
        <f>M20</f>
        <v>-0.158748245307066</v>
      </c>
      <c r="F59" s="58">
        <f>M21</f>
        <v>-0.281495765970498</v>
      </c>
      <c r="G59" s="58">
        <f>M22</f>
        <v>-0.36293928457149</v>
      </c>
      <c r="H59" s="59" t="str">
        <f>IF(F59&gt;0,"filled in 2027",IF(G59&gt;0,"filled in 2028","not filled in 3 yrs"))</f>
        <v>not filled in 3 yrs</v>
      </c>
    </row>
    <row r="60" spans="1:8" ht="18" customHeight="1" x14ac:dyDescent="0.45">
      <c r="A60" s="9" t="s">
        <v>222</v>
      </c>
      <c r="B60" s="56">
        <f>B49</f>
        <v>0.38</v>
      </c>
      <c r="C60" s="57">
        <f>C59+B60</f>
        <v>0.53</v>
      </c>
      <c r="D60" s="60">
        <f>M24</f>
        <v>-0.07</v>
      </c>
      <c r="E60" s="60">
        <f>M25</f>
        <v>-0.145705582443609</v>
      </c>
      <c r="F60" s="60">
        <f>M26</f>
        <v>-0.210832606111257</v>
      </c>
      <c r="G60" s="60">
        <f>M27</f>
        <v>-0.22417369903773</v>
      </c>
      <c r="H60" s="59" t="str">
        <f>IF(F60&gt;0,"filled in 2027",IF(G60&gt;0,"filled in 2028","not filled in 3 yrs"))</f>
        <v>not filled in 3 yrs</v>
      </c>
    </row>
    <row r="61" spans="1:8" ht="18" customHeight="1" x14ac:dyDescent="0.45">
      <c r="A61" s="9" t="s">
        <v>224</v>
      </c>
      <c r="B61" s="56">
        <f>B50</f>
        <v>0.25</v>
      </c>
      <c r="C61" s="57">
        <f>C60+B61</f>
        <v>0.78</v>
      </c>
      <c r="D61" s="58">
        <f>M29</f>
        <v>-0.07</v>
      </c>
      <c r="E61" s="58">
        <f>M30</f>
        <v>-0.13225212704902</v>
      </c>
      <c r="F61" s="58">
        <f>M31</f>
        <v>-0.119812588340108</v>
      </c>
      <c r="G61" s="58">
        <f>M32</f>
        <v>-0.0177276718621864</v>
      </c>
      <c r="H61" s="59" t="str">
        <f>IF(F61&gt;0,"filled in 2027",IF(G61&gt;0,"filled in 2028","not filled in 3 yrs"))</f>
        <v>not filled in 3 yrs</v>
      </c>
    </row>
    <row r="62" spans="1:8" ht="18" customHeight="1" x14ac:dyDescent="0.45">
      <c r="A62" s="9" t="s">
        <v>226</v>
      </c>
      <c r="B62" s="56">
        <f>B51</f>
        <v>0.17</v>
      </c>
      <c r="C62" s="57">
        <f>C61+B62</f>
        <v>0.95</v>
      </c>
      <c r="D62" s="58">
        <f>M34</f>
        <v>-0.07</v>
      </c>
      <c r="E62" s="58">
        <f>M35</f>
        <v>-0.118368161081805</v>
      </c>
      <c r="F62" s="58">
        <f>M36</f>
        <v>-0.0527838960386813</v>
      </c>
      <c r="G62" s="58">
        <f>M37</f>
        <v>0.144818902245155</v>
      </c>
      <c r="H62" s="59" t="str">
        <f>IF(F62&gt;0,"filled in 2027",IF(G62&gt;0,"filled in 2028","not filled in 3 yrs"))</f>
        <v>filled in 2028</v>
      </c>
    </row>
    <row r="63" spans="1:8" ht="18" customHeight="1" x14ac:dyDescent="0.45">
      <c r="A63" s="9" t="s">
        <v>228</v>
      </c>
      <c r="B63" s="56">
        <f>B52</f>
        <v>0.05</v>
      </c>
      <c r="C63" s="57">
        <f>C62+B63</f>
        <v>1</v>
      </c>
      <c r="D63" s="58">
        <f>M39</f>
        <v>-0.07</v>
      </c>
      <c r="E63" s="58">
        <f>M40</f>
        <v>-0.0739161355901309</v>
      </c>
      <c r="F63" s="58">
        <f>M41</f>
        <v>0.0887927150074814</v>
      </c>
      <c r="G63" s="58">
        <f>M42</f>
        <v>0.706301994295062</v>
      </c>
      <c r="H63" s="59" t="str">
        <f>IF(F63&gt;0,"filled in 2027",IF(G63&gt;0,"filled in 2028","not filled in 3 yrs"))</f>
        <v>filled in 2027</v>
      </c>
    </row>
    <row r="64" spans="1:8" ht="21" customHeight="1" x14ac:dyDescent="0.45">
      <c r="A64" s="61" t="s">
        <v>235</v>
      </c>
      <c r="B64" s="28"/>
      <c r="C64" s="28"/>
      <c r="D64" s="63">
        <f>SUMPRODUCT($B$59:$B$63,D59:D63)</f>
        <v>-0.07</v>
      </c>
      <c r="E64" s="63">
        <f>SUMPRODUCT($B$59:$B$63,E59:E63)</f>
        <v>-0.1360617840503</v>
      </c>
      <c r="F64" s="63">
        <f>SUMPRODUCT($B$59:$B$63,F59:F63)</f>
        <v>-0.156827528879081</v>
      </c>
      <c r="G64" s="63">
        <f>SUMPRODUCT($B$59:$B$63,G59:G63)</f>
        <v>-0.0841245031891783</v>
      </c>
      <c r="H64" s="59" t="str">
        <f>IF(F64&gt;0,"filled in 2027",IF(G64&gt;0,"filled in 2028","not filled in 3 yrs"))</f>
        <v>not filled in 3 yrs</v>
      </c>
    </row>
    <row r="65" spans="1:8" ht="21" customHeight="1" x14ac:dyDescent="0.45">
      <c r="A65" s="61" t="s">
        <v>237</v>
      </c>
      <c r="B65" s="28"/>
      <c r="C65" s="28"/>
      <c r="D65" s="63">
        <f>INDEX(D59:D63,IFERROR(MATCH(0.5,$C$59:$C$63,1)+1,1))</f>
        <v>-0.07</v>
      </c>
      <c r="E65" s="63">
        <f>INDEX(E59:E63,IFERROR(MATCH(0.5,$C$59:$C$63,1)+1,1))</f>
        <v>-0.145705582443609</v>
      </c>
      <c r="F65" s="63">
        <f>INDEX(F59:F63,IFERROR(MATCH(0.5,$C$59:$C$63,1)+1,1))</f>
        <v>-0.210832606111257</v>
      </c>
      <c r="G65" s="63">
        <f>INDEX(G59:G63,IFERROR(MATCH(0.5,$C$59:$C$63,1)+1,1))</f>
        <v>-0.22417369903773</v>
      </c>
      <c r="H65" s="59" t="str">
        <f>IF(F65&gt;0,"filled in 2027",IF(G65&gt;0,"filled in 2028","not filled in 3 yrs"))</f>
        <v>not filled in 3 yrs</v>
      </c>
    </row>
    <row r="66" spans="1:13" ht="33" customHeight="1" x14ac:dyDescent="0.45">
      <c r="A66" s="264" t="str">
        <f>"★★ The distribution is heavily right-skewed and the mean is misleading. Rank the five scenarios from deepest to shallowest gap; cumulative probability crosses 50% inside S2 — so the median is 'the most likely case', while the weighted mean "&amp;"is pulled up hard by S5 ("&amp;SUBSTITUTE(TEXT($B$155,"0%"),"-","−")&amp;" probability at the current setting). Read the median row when deciding, not the weighted row."</f>
        <v>★★ The distribution is heavily right-skewed and the mean is misleading. Rank the five scenarios from deepest to shallowest gap; cumulative probability crosses 50% inside S2 — so the median is 'the most likely case', while the weighted mean is pulled up hard by S5 (5% probability at the current setting). Read the median row when deciding, not the weighted row.</v>
      </c>
      <c r="B66" s="264"/>
      <c r="C66" s="264"/>
      <c r="D66" s="264"/>
      <c r="E66" s="264"/>
      <c r="F66" s="264"/>
      <c r="G66" s="264"/>
      <c r="H66" s="264"/>
      <c r="I66" s="264"/>
      <c r="J66" s="264"/>
      <c r="K66" s="264"/>
      <c r="L66" s="264"/>
      <c r="M66" s="264"/>
    </row>
    <row r="67" spans="1:13" ht="33" customHeight="1" x14ac:dyDescent="0.45">
      <c r="A67" s="150" t="s">
        <v>241</v>
      </c>
      <c r="B67" s="150"/>
      <c r="C67" s="150"/>
      <c r="D67" s="150"/>
      <c r="E67" s="150"/>
      <c r="F67" s="150"/>
      <c r="G67" s="150"/>
      <c r="H67" s="150"/>
      <c r="I67" s="150"/>
      <c r="J67" s="150"/>
      <c r="K67" s="150"/>
      <c r="L67" s="150"/>
      <c r="M67" s="150"/>
    </row>
    <row r="69" spans="1:13" ht="24" customHeight="1" x14ac:dyDescent="0.45">
      <c r="A69" s="155" t="s">
        <v>242</v>
      </c>
      <c r="B69" s="155"/>
      <c r="C69" s="155"/>
      <c r="D69" s="155"/>
      <c r="E69" s="155"/>
      <c r="F69" s="155"/>
      <c r="G69" s="155"/>
      <c r="H69" s="155"/>
      <c r="I69" s="155"/>
      <c r="J69" s="155"/>
      <c r="K69" s="155"/>
      <c r="L69" s="155"/>
      <c r="M69" s="155"/>
    </row>
    <row r="70" spans="1:13" ht="45" customHeight="1" x14ac:dyDescent="0.45">
      <c r="A70" s="2" t="s">
        <v>105</v>
      </c>
      <c r="B70" s="2" t="s">
        <v>243</v>
      </c>
      <c r="C70" s="2" t="s">
        <v>244</v>
      </c>
      <c r="D70" s="2" t="s">
        <v>245</v>
      </c>
      <c r="E70" s="2" t="s">
        <v>246</v>
      </c>
      <c r="F70" s="156" t="s">
        <v>247</v>
      </c>
      <c r="G70" s="156"/>
      <c r="H70" s="156"/>
      <c r="I70" s="156"/>
      <c r="J70" s="156"/>
      <c r="K70" s="156"/>
      <c r="L70" s="156"/>
      <c r="M70" s="156"/>
    </row>
    <row r="71" spans="1:13" ht="18.75" customHeight="1" x14ac:dyDescent="0.45">
      <c r="A71" s="21" t="s">
        <v>78</v>
      </c>
      <c r="B71" s="58">
        <f>C25+$B$146</f>
        <v>0.07</v>
      </c>
      <c r="C71" s="58">
        <f>(1+C25+$B$146)*(D25+$B$147)</f>
        <v>0.1391</v>
      </c>
      <c r="D71" s="64">
        <f>(1+C25+$B$146)*(1+D25+$B$147)*I25</f>
        <v>-0.0241109691959739</v>
      </c>
      <c r="E71" s="65">
        <f>B71+C71+D71</f>
        <v>0.184989030804026</v>
      </c>
      <c r="F71" s="336" t="s">
        <v>1835</v>
      </c>
      <c r="G71" s="336"/>
      <c r="H71" s="336"/>
      <c r="I71" s="336"/>
      <c r="J71" s="336"/>
      <c r="K71" s="336"/>
      <c r="L71" s="336"/>
      <c r="M71" s="336"/>
    </row>
    <row r="72" spans="1:13" ht="18.75" customHeight="1" x14ac:dyDescent="0.45">
      <c r="A72" s="21" t="s">
        <v>79</v>
      </c>
      <c r="B72" s="58">
        <f>C26+$B$146</f>
        <v>0.12</v>
      </c>
      <c r="C72" s="58">
        <f>(1+C26+$B$146)*(D26+$B$147)</f>
        <v>0.168</v>
      </c>
      <c r="D72" s="64">
        <f>(1+C26+$B$146)*(1+D26+$B$147)*I26</f>
        <v>-0.0593923767940978</v>
      </c>
      <c r="E72" s="65">
        <f>B72+C72+D72</f>
        <v>0.228607623205902</v>
      </c>
      <c r="F72" s="336" t="s">
        <v>1836</v>
      </c>
      <c r="G72" s="336"/>
      <c r="H72" s="336"/>
      <c r="I72" s="336"/>
      <c r="J72" s="336"/>
      <c r="K72" s="336"/>
      <c r="L72" s="336"/>
      <c r="M72" s="336"/>
    </row>
    <row r="73" spans="1:13" ht="18.75" customHeight="1" x14ac:dyDescent="0.45">
      <c r="A73" s="21" t="s">
        <v>80</v>
      </c>
      <c r="B73" s="58">
        <f>C27+$B$146</f>
        <v>0.12</v>
      </c>
      <c r="C73" s="58">
        <f>(1+C27+$B$146)*(D27+$B$147)</f>
        <v>0.1232</v>
      </c>
      <c r="D73" s="64">
        <f>(1+C27+$B$146)*(1+D27+$B$147)*I27</f>
        <v>-0.0143315955109552</v>
      </c>
      <c r="E73" s="65">
        <f>B73+C73+D73</f>
        <v>0.228868404489045</v>
      </c>
      <c r="F73" s="336" t="s">
        <v>1837</v>
      </c>
      <c r="G73" s="336"/>
      <c r="H73" s="336"/>
      <c r="I73" s="336"/>
      <c r="J73" s="336"/>
      <c r="K73" s="336"/>
      <c r="L73" s="336"/>
      <c r="M73" s="336"/>
    </row>
    <row r="74" spans="1:13" ht="33" customHeight="1" x14ac:dyDescent="0.45">
      <c r="A74" s="162" t="s">
        <v>251</v>
      </c>
      <c r="B74" s="162"/>
      <c r="C74" s="162"/>
      <c r="D74" s="162"/>
      <c r="E74" s="162"/>
      <c r="F74" s="162"/>
      <c r="G74" s="162"/>
      <c r="H74" s="162"/>
      <c r="I74" s="162"/>
      <c r="J74" s="162"/>
      <c r="K74" s="162"/>
      <c r="L74" s="162"/>
      <c r="M74" s="162"/>
    </row>
    <row r="76" spans="1:13" ht="24" customHeight="1" x14ac:dyDescent="0.45">
      <c r="A76" s="155" t="s">
        <v>252</v>
      </c>
      <c r="B76" s="155"/>
      <c r="C76" s="155"/>
      <c r="D76" s="155"/>
      <c r="E76" s="155"/>
      <c r="F76" s="155"/>
      <c r="G76" s="155"/>
      <c r="H76" s="155"/>
      <c r="I76" s="155"/>
      <c r="J76" s="155"/>
      <c r="K76" s="155"/>
      <c r="L76" s="155"/>
      <c r="M76" s="155"/>
    </row>
    <row r="77" spans="1:13" ht="59.25" customHeight="1" x14ac:dyDescent="0.45">
      <c r="A77" s="2" t="s">
        <v>253</v>
      </c>
      <c r="B77" s="2" t="s">
        <v>175</v>
      </c>
      <c r="C77" s="2" t="s">
        <v>254</v>
      </c>
      <c r="D77" s="2" t="s">
        <v>255</v>
      </c>
      <c r="E77" s="2" t="s">
        <v>256</v>
      </c>
      <c r="F77" s="2" t="s">
        <v>257</v>
      </c>
      <c r="G77" s="2" t="s">
        <v>258</v>
      </c>
      <c r="H77" s="2" t="s">
        <v>259</v>
      </c>
      <c r="I77" s="2" t="s">
        <v>260</v>
      </c>
      <c r="J77" s="156" t="s">
        <v>261</v>
      </c>
      <c r="K77" s="156"/>
      <c r="L77" s="156"/>
      <c r="M77" s="156"/>
    </row>
    <row r="78" spans="1:13" ht="33.75" customHeight="1" x14ac:dyDescent="0.45">
      <c r="A78" s="9" t="s">
        <v>262</v>
      </c>
      <c r="B78" s="66">
        <f>C26+$B$146</f>
        <v>0.12</v>
      </c>
      <c r="C78" s="46">
        <f>(1+C26+$B$146+(-0.04))*(1+D26+$B$147)*(1+I26)-1-(K26+$B$149)</f>
        <v>-0.145271220480023</v>
      </c>
      <c r="D78" s="46">
        <f>(1+C26+$B$146+(-0.02))*(1+D26+$B$147)*(1+I26)-1-(K26+$B$149)</f>
        <v>-0.123331798637061</v>
      </c>
      <c r="E78" s="67">
        <f>(1+C26+$B$146+(0))*(1+D26+$B$147)*(1+I26)-1-(K26+$B$149)</f>
        <v>-0.101392376794098</v>
      </c>
      <c r="F78" s="46">
        <f>(1+C26+$B$146+(0.02))*(1+D26+$B$147)*(1+I26)-1-(K26+$B$149)</f>
        <v>-0.0794529549511353</v>
      </c>
      <c r="G78" s="46">
        <f>(1+C26+$B$146+(0.04))*(1+D26+$B$147)*(1+I26)-1-(K26+$B$149)</f>
        <v>-0.0575135331081726</v>
      </c>
      <c r="H78" s="68">
        <f>(G78-C78)/8*100</f>
        <v>1.09697109214813</v>
      </c>
      <c r="I78" s="69">
        <f>IF(H78=0,"n/a",-E78/H78*100)</f>
        <v>9.24293972009303</v>
      </c>
      <c r="J78" s="337" t="str">
        <f>SUBSTITUTE(TEXT(I78,"+0.0;-0.0;0.0"),"-","−")&amp;"pp → "&amp;SUBSTITUTE(TEXT(B78+I78/100,"0.0%"),"-","−")&amp;": physically impossible, the fabs cannot be built. Samsung P5 mass-produces in 2H28, Micron ID1 has first wafers mid-2027, ID2 and Hiroshima late 2028, the New York fab only broke ground in Jan 2026."</f>
        <v>+9.2pp → 21.2%: physically impossible, the fabs cannot be built. Samsung P5 mass-produces in 2H28, Micron ID1 has first wafers mid-2027, ID2 and Hiroshima late 2028, the New York fab only broke ground in Jan 2026.</v>
      </c>
      <c r="K78" s="337"/>
      <c r="L78" s="337"/>
      <c r="M78" s="337"/>
    </row>
    <row r="79" spans="1:13" ht="33.75" customHeight="1" x14ac:dyDescent="0.45">
      <c r="A79" s="9" t="s">
        <v>264</v>
      </c>
      <c r="B79" s="66">
        <f>D26+$B$147</f>
        <v>0.15</v>
      </c>
      <c r="C79" s="46">
        <f>(1+C26+$B$146)*(1+D26+$B$147+(-0.04))*(1+I26)-1-(K26+$B$149)</f>
        <v>-0.144126554992564</v>
      </c>
      <c r="D79" s="46">
        <f>(1+C26+$B$146)*(1+D26+$B$147+(-0.02))*(1+I26)-1-(K26+$B$149)</f>
        <v>-0.122759465893331</v>
      </c>
      <c r="E79" s="67">
        <f>(1+C26+$B$146)*(1+D26+$B$147+(0))*(1+I26)-1-(K26+$B$149)</f>
        <v>-0.101392376794098</v>
      </c>
      <c r="F79" s="46">
        <f>(1+C26+$B$146)*(1+D26+$B$147+(0.02))*(1+I26)-1-(K26+$B$149)</f>
        <v>-0.0800252876948648</v>
      </c>
      <c r="G79" s="46">
        <f>(1+C26+$B$146)*(1+D26+$B$147+(0.04))*(1+I26)-1-(K26+$B$149)</f>
        <v>-0.0586581985956318</v>
      </c>
      <c r="H79" s="68">
        <f>(G79-C79)/8*100</f>
        <v>1.06835445496165</v>
      </c>
      <c r="I79" s="69">
        <f>IF(H79=0,"n/a",-E79/H79*100)</f>
        <v>9.49051846259557</v>
      </c>
      <c r="J79" s="337" t="str">
        <f>SUBSTITUTE(TEXT(I79,"+0.0;-0.0;0.0"),"-","−")&amp;"pp: equally impossible. DRAM density has risen only about 2× in a decade — this is a physics wall, and Micron says future node transitions give less productivity gain per wafer."</f>
        <v>+9.5pp: equally impossible. DRAM density has risen only about 2× in a decade — this is a physics wall, and Micron says future node transitions give less productivity gain per wafer.</v>
      </c>
      <c r="K79" s="337"/>
      <c r="L79" s="337"/>
      <c r="M79" s="337"/>
    </row>
    <row r="80" spans="1:13" ht="53.25" customHeight="1" x14ac:dyDescent="0.45">
      <c r="A80" s="9" t="s">
        <v>266</v>
      </c>
      <c r="B80" s="66">
        <f>G26</f>
        <v>0.2457</v>
      </c>
      <c r="C80" s="46">
        <f>(1+C26+$B$146)*(1+D26+$B$147)*(((1-(G26+(-0.04)))+(G26+(-0.04))/$B$6)/H25)-1-(K26+$B$149)</f>
        <v>-0.0638735032665564</v>
      </c>
      <c r="D80" s="46">
        <f>(1+C26+$B$146)*(1+D26+$B$147)*(((1-(G26+(-0.02)))+(G26+(-0.02))/$B$6)/H25)-1-(K26+$B$149)</f>
        <v>-0.0826329400303271</v>
      </c>
      <c r="E80" s="67">
        <f>(1+C26+$B$146)*(1+D26+$B$147)*(((1-(G26+(0)))+(G26+(0))/$B$6)/H25)-1-(K26+$B$149)</f>
        <v>-0.101392376794098</v>
      </c>
      <c r="F80" s="46">
        <f>(1+C26+$B$146)*(1+D26+$B$147)*(((1-(G26+(0.02)))+(G26+(0.02))/$B$6)/H25)-1-(K26+$B$149)</f>
        <v>-0.120151813557868</v>
      </c>
      <c r="G80" s="46">
        <f>(1+C26+$B$146)*(1+D26+$B$147)*(((1-(G26+(0.04)))+(G26+(0.04))/$B$6)/H25)-1-(K26+$B$149)</f>
        <v>-0.138911250321639</v>
      </c>
      <c r="H80" s="68">
        <f>(G80-C80)/8*100</f>
        <v>-0.937971838188531</v>
      </c>
      <c r="I80" s="69">
        <f>IF(H80=0,"n/a",-E80/H80*100)</f>
        <v>-10.8097463768116</v>
      </c>
      <c r="J80" s="337" t="str">
        <f>"Needs to fall "&amp;SUBSTITUTE(TEXT(-I80,"0.0"),"-","−")&amp;"pp, to roughly "&amp;SUBSTITUTE(TEXT(B80+I80/100,"0%"),"-","−")&amp;" (about "&amp;SUBSTITUTE(TEXT((B80+I80/100)/(1-F26),"0%"),"-","−")&amp;" on TrendForce's top-three basis): possible in direction but far too large in size. Even if the HBM economics reversal holds, a fall back to 26% is already an aggressive assumption. ★ v4.0 makes this less likely, not more: 8-high lowers the"&amp;" wafer penalty but NVIDIA's stated reason is availability, not economics."</f>
        <v>Needs to fall 10.8pp, to roughly 14% (about 17% on TrendForce's top-three basis): possible in direction but far too large in size. Even if the HBM economics reversal holds, a fall back to 26% is already an aggressive assumption. ★ v4.0 makes this less likely, not more: 8-high lowers the wafer penalty but NVIDIA's stated reason is availability, not economics.</v>
      </c>
      <c r="K80" s="337"/>
      <c r="L80" s="337"/>
      <c r="M80" s="337"/>
    </row>
    <row r="81" spans="1:13" ht="33.75" customHeight="1" x14ac:dyDescent="0.45">
      <c r="A81" s="9" t="s">
        <v>268</v>
      </c>
      <c r="B81" s="66">
        <f>K26+$B$149</f>
        <v>0.33</v>
      </c>
      <c r="C81" s="46">
        <f>J26-(K26+$B$149+(-0.04))</f>
        <v>-0.0613923767940978</v>
      </c>
      <c r="D81" s="46">
        <f>J26-(K26+$B$149+(-0.02))</f>
        <v>-0.0813923767940978</v>
      </c>
      <c r="E81" s="67">
        <f>J26-(K26+$B$149+(0))</f>
        <v>-0.101392376794098</v>
      </c>
      <c r="F81" s="46">
        <f>J26-(K26+$B$149+(0.02))</f>
        <v>-0.121392376794098</v>
      </c>
      <c r="G81" s="46">
        <f>J26-(K26+$B$149+(0.04))</f>
        <v>-0.141392376794098</v>
      </c>
      <c r="H81" s="68">
        <f>(G81-C81)/8*100</f>
        <v>-1</v>
      </c>
      <c r="I81" s="69">
        <f>IF(H81=0,"n/a",-E81/H81*100)</f>
        <v>-10.1392376794098</v>
      </c>
      <c r="J81" s="337" t="str">
        <f>"★ Needs to fall to roughly "&amp;SUBSTITUTE(TEXT(B81+I81/100,"0.0%"),"-","−")&amp;" ("&amp;SUBSTITUTE(TEXT(I81,"+0.0;-0.0;0.0"),"-","−")&amp;"pp from "&amp;SUBSTITUTE(TEXT(B81,"0%"),"-","−")&amp;"): this is the only realistic path. Which is why hyperscaler capex guidance carries more information than any fab expansion announcement."</f>
        <v>★ Needs to fall to roughly 22.9% (−10.1pp from 33%): this is the only realistic path. Which is why hyperscaler capex guidance carries more information than any fab expansion announcement.</v>
      </c>
      <c r="K81" s="337"/>
      <c r="L81" s="337"/>
      <c r="M81" s="337"/>
    </row>
    <row r="82" spans="1:13" ht="31.5" customHeight="1" x14ac:dyDescent="0.45">
      <c r="A82" s="150" t="s">
        <v>270</v>
      </c>
      <c r="B82" s="150"/>
      <c r="C82" s="150"/>
      <c r="D82" s="150"/>
      <c r="E82" s="150"/>
      <c r="F82" s="150"/>
      <c r="G82" s="150"/>
      <c r="H82" s="150"/>
      <c r="I82" s="150"/>
      <c r="J82" s="150"/>
      <c r="K82" s="150"/>
      <c r="L82" s="150"/>
      <c r="M82" s="150"/>
    </row>
    <row r="84" spans="1:13" ht="24" customHeight="1" x14ac:dyDescent="0.45">
      <c r="A84" s="155" t="s">
        <v>271</v>
      </c>
      <c r="B84" s="155"/>
      <c r="C84" s="155"/>
      <c r="D84" s="155"/>
      <c r="E84" s="155"/>
      <c r="F84" s="155"/>
      <c r="G84" s="155"/>
      <c r="H84" s="155"/>
      <c r="I84" s="155"/>
      <c r="J84" s="155"/>
      <c r="K84" s="155"/>
      <c r="L84" s="155"/>
      <c r="M84" s="155"/>
    </row>
    <row r="85" spans="1:13" ht="33" customHeight="1" x14ac:dyDescent="0.45">
      <c r="A85" s="162" t="s">
        <v>272</v>
      </c>
      <c r="B85" s="162"/>
      <c r="C85" s="162"/>
      <c r="D85" s="162"/>
      <c r="E85" s="162"/>
      <c r="F85" s="162"/>
      <c r="G85" s="162"/>
      <c r="H85" s="162"/>
      <c r="I85" s="162"/>
      <c r="J85" s="162"/>
      <c r="K85" s="162"/>
      <c r="L85" s="162"/>
      <c r="M85" s="162"/>
    </row>
    <row r="86" spans="1:9" ht="45" customHeight="1" x14ac:dyDescent="0.45">
      <c r="A86" s="2" t="s">
        <v>200</v>
      </c>
      <c r="B86" s="2" t="s">
        <v>232</v>
      </c>
      <c r="C86" s="2" t="s">
        <v>233</v>
      </c>
      <c r="D86" s="2" t="s">
        <v>273</v>
      </c>
      <c r="E86" s="2" t="s">
        <v>274</v>
      </c>
      <c r="F86" s="2" t="s">
        <v>275</v>
      </c>
      <c r="G86" s="2" t="s">
        <v>276</v>
      </c>
      <c r="H86" s="2" t="s">
        <v>277</v>
      </c>
      <c r="I86" s="2" t="s">
        <v>278</v>
      </c>
    </row>
    <row r="87" spans="1:9" ht="18" customHeight="1" x14ac:dyDescent="0.45">
      <c r="A87" s="9" t="s">
        <v>218</v>
      </c>
      <c r="B87" s="56">
        <f>B48</f>
        <v>0.15</v>
      </c>
      <c r="C87" s="57">
        <f>B87</f>
        <v>0.15</v>
      </c>
      <c r="D87" s="58">
        <f>S20</f>
        <v>-0.125010969195974</v>
      </c>
      <c r="E87" s="58">
        <f>S21</f>
        <v>-0.202815688371965</v>
      </c>
      <c r="F87" s="58">
        <f>S22</f>
        <v>-0.146223409716144</v>
      </c>
      <c r="G87" s="58">
        <f>T20</f>
        <v>-0.158748245307066</v>
      </c>
      <c r="H87" s="58">
        <f>T21</f>
        <v>-0.281495765970498</v>
      </c>
      <c r="I87" s="58">
        <f>T22</f>
        <v>-0.36293928457149</v>
      </c>
    </row>
    <row r="88" spans="1:9" ht="18" customHeight="1" x14ac:dyDescent="0.45">
      <c r="A88" s="9" t="s">
        <v>222</v>
      </c>
      <c r="B88" s="56">
        <f>B49</f>
        <v>0.38</v>
      </c>
      <c r="C88" s="57">
        <f>C87+B88</f>
        <v>0.53</v>
      </c>
      <c r="D88" s="58">
        <f>S25</f>
        <v>-0.105010969195974</v>
      </c>
      <c r="E88" s="58">
        <f>S26</f>
        <v>-0.101392376794098</v>
      </c>
      <c r="F88" s="58">
        <f>S27</f>
        <v>-0.0211315955109548</v>
      </c>
      <c r="G88" s="58">
        <f>T25</f>
        <v>-0.145705582443609</v>
      </c>
      <c r="H88" s="58">
        <f>T26</f>
        <v>-0.210832606111257</v>
      </c>
      <c r="I88" s="58">
        <f>T27</f>
        <v>-0.22417369903773</v>
      </c>
    </row>
    <row r="89" spans="1:9" ht="18" customHeight="1" x14ac:dyDescent="0.45">
      <c r="A89" s="9" t="s">
        <v>224</v>
      </c>
      <c r="B89" s="56">
        <f>B50</f>
        <v>0.25</v>
      </c>
      <c r="C89" s="57">
        <f>C88+B89</f>
        <v>0.78</v>
      </c>
      <c r="D89" s="58">
        <f>S30</f>
        <v>-0.085010969195974</v>
      </c>
      <c r="E89" s="58">
        <f>S31</f>
        <v>0.0182059958344727</v>
      </c>
      <c r="F89" s="58">
        <f>S32</f>
        <v>0.138017255188453</v>
      </c>
      <c r="G89" s="58">
        <f>T30</f>
        <v>-0.13225212704902</v>
      </c>
      <c r="H89" s="58">
        <f>T31</f>
        <v>-0.119812588340108</v>
      </c>
      <c r="I89" s="58">
        <f>T32</f>
        <v>-0.0177276718621864</v>
      </c>
    </row>
    <row r="90" spans="1:9" ht="18" customHeight="1" x14ac:dyDescent="0.45">
      <c r="A90" s="9" t="s">
        <v>226</v>
      </c>
      <c r="B90" s="56">
        <f>B51</f>
        <v>0.17</v>
      </c>
      <c r="C90" s="57">
        <f>C89+B90</f>
        <v>0.95</v>
      </c>
      <c r="D90" s="58">
        <f>S35</f>
        <v>-0.0650109691959739</v>
      </c>
      <c r="E90" s="58">
        <f>S36</f>
        <v>0.0929870357274054</v>
      </c>
      <c r="F90" s="58">
        <f>S37</f>
        <v>0.244078698646713</v>
      </c>
      <c r="G90" s="58">
        <f>T35</f>
        <v>-0.118368161081805</v>
      </c>
      <c r="H90" s="58">
        <f>T36</f>
        <v>-0.0527838960386813</v>
      </c>
      <c r="I90" s="58">
        <f>T37</f>
        <v>0.144818902245155</v>
      </c>
    </row>
    <row r="91" spans="1:9" ht="18" customHeight="1" x14ac:dyDescent="0.45">
      <c r="A91" s="9" t="s">
        <v>228</v>
      </c>
      <c r="B91" s="56">
        <f>B52</f>
        <v>0.05</v>
      </c>
      <c r="C91" s="57">
        <f>C90+B91</f>
        <v>1</v>
      </c>
      <c r="D91" s="58">
        <f>S40</f>
        <v>-0.00501096919597394</v>
      </c>
      <c r="E91" s="58">
        <f>S41</f>
        <v>0.20907775165108</v>
      </c>
      <c r="F91" s="58">
        <f>S42</f>
        <v>0.527449919366428</v>
      </c>
      <c r="G91" s="58">
        <f>T40</f>
        <v>-0.0739161355901309</v>
      </c>
      <c r="H91" s="58">
        <f>T41</f>
        <v>0.0887927150074814</v>
      </c>
      <c r="I91" s="58">
        <f>T42</f>
        <v>0.706301994295062</v>
      </c>
    </row>
    <row r="92" spans="1:9" ht="21" customHeight="1" x14ac:dyDescent="0.45">
      <c r="A92" s="61" t="s">
        <v>279</v>
      </c>
      <c r="D92" s="60">
        <f>SUMPRODUCT($B$87:$B$91,D87:D91)</f>
        <v>-0.091210969195974</v>
      </c>
      <c r="E92" s="60">
        <f>SUMPRODUCT($B$87:$B$91,E87:E91)</f>
        <v>-0.0381382738227208</v>
      </c>
      <c r="F92" s="60">
        <f>SUMPRODUCT($B$87:$B$91,F87:F91)</f>
        <v>0.0724066707837913</v>
      </c>
      <c r="G92" s="60">
        <f>SUMPRODUCT($B$87:$B$91,G87:G91)</f>
        <v>-0.1360617840503</v>
      </c>
      <c r="H92" s="60">
        <f>SUMPRODUCT($B$87:$B$91,H87:H91)</f>
        <v>-0.156827528879081</v>
      </c>
      <c r="I92" s="60">
        <f>SUMPRODUCT($B$87:$B$91,I87:I91)</f>
        <v>-0.0841245031891783</v>
      </c>
    </row>
    <row r="93" spans="1:9" ht="31.5" customHeight="1" x14ac:dyDescent="0.45">
      <c r="A93" s="70" t="s">
        <v>280</v>
      </c>
      <c r="D93" s="60">
        <f>D53</f>
        <v>-0.091210969195974</v>
      </c>
      <c r="E93" s="60">
        <f>E53</f>
        <v>-0.0381382738227208</v>
      </c>
      <c r="F93" s="60">
        <f>F53</f>
        <v>0.0724066707837913</v>
      </c>
      <c r="G93" s="60">
        <f>E64</f>
        <v>-0.1360617840503</v>
      </c>
      <c r="H93" s="60">
        <f>F64</f>
        <v>-0.156827528879081</v>
      </c>
      <c r="I93" s="60">
        <f>G64</f>
        <v>-0.0841245031891783</v>
      </c>
    </row>
    <row r="94" spans="1:9" ht="21" customHeight="1" x14ac:dyDescent="0.45">
      <c r="A94" s="71" t="s">
        <v>281</v>
      </c>
      <c r="D94" s="72">
        <f>(D92-D93)*100</f>
        <v>0</v>
      </c>
      <c r="E94" s="72">
        <f>(E92-E93)*100</f>
        <v>0</v>
      </c>
      <c r="F94" s="72">
        <f>(F92-F93)*100</f>
        <v>0</v>
      </c>
      <c r="G94" s="72">
        <f>(G92-G93)*100</f>
        <v>0</v>
      </c>
      <c r="H94" s="72">
        <f>(H92-H93)*100</f>
        <v>0</v>
      </c>
      <c r="I94" s="72">
        <f>(I92-I93)*100</f>
        <v>0</v>
      </c>
    </row>
    <row r="95" spans="1:13" ht="33" customHeight="1" x14ac:dyDescent="0.45">
      <c r="A95" s="338" t="s">
        <v>1838</v>
      </c>
      <c r="B95" s="338"/>
      <c r="C95" s="338"/>
      <c r="D95" s="338"/>
      <c r="E95" s="338"/>
      <c r="F95" s="338"/>
      <c r="G95" s="338"/>
      <c r="H95" s="338"/>
      <c r="I95" s="338"/>
      <c r="J95" s="338"/>
      <c r="K95" s="338"/>
      <c r="L95" s="338"/>
      <c r="M95" s="338"/>
    </row>
    <row r="97" spans="1:13" ht="24" customHeight="1" x14ac:dyDescent="0.45">
      <c r="A97" s="155" t="s">
        <v>283</v>
      </c>
      <c r="B97" s="155"/>
      <c r="C97" s="155"/>
      <c r="D97" s="155"/>
      <c r="E97" s="155"/>
      <c r="F97" s="155"/>
      <c r="G97" s="155"/>
      <c r="H97" s="155"/>
      <c r="I97" s="155"/>
      <c r="J97" s="155"/>
      <c r="K97" s="155"/>
      <c r="L97" s="155"/>
      <c r="M97" s="155"/>
    </row>
    <row r="98" spans="1:13" ht="33" customHeight="1" x14ac:dyDescent="0.45">
      <c r="A98" s="162" t="s">
        <v>284</v>
      </c>
      <c r="B98" s="162"/>
      <c r="C98" s="162"/>
      <c r="D98" s="162"/>
      <c r="E98" s="162"/>
      <c r="F98" s="162"/>
      <c r="G98" s="162"/>
      <c r="H98" s="162"/>
      <c r="I98" s="162"/>
      <c r="J98" s="162"/>
      <c r="K98" s="162"/>
      <c r="L98" s="162"/>
      <c r="M98" s="162"/>
    </row>
    <row r="99" spans="1:9" ht="45" customHeight="1" x14ac:dyDescent="0.45">
      <c r="A99" s="2" t="s">
        <v>200</v>
      </c>
      <c r="B99" s="2" t="s">
        <v>232</v>
      </c>
      <c r="C99" s="2" t="s">
        <v>233</v>
      </c>
      <c r="D99" s="2" t="s">
        <v>285</v>
      </c>
      <c r="E99" s="2" t="s">
        <v>286</v>
      </c>
      <c r="F99" s="2" t="s">
        <v>287</v>
      </c>
      <c r="G99" s="2" t="s">
        <v>288</v>
      </c>
      <c r="H99" s="2" t="s">
        <v>289</v>
      </c>
      <c r="I99" s="2" t="s">
        <v>290</v>
      </c>
    </row>
    <row r="100" spans="1:9" ht="18" customHeight="1" x14ac:dyDescent="0.45">
      <c r="A100" s="9" t="s">
        <v>218</v>
      </c>
      <c r="B100" s="56">
        <f>B48</f>
        <v>0.15</v>
      </c>
      <c r="C100" s="57">
        <f>B100</f>
        <v>0.15</v>
      </c>
      <c r="D100" s="58">
        <f>(1+M20)/(1+$B$14)-1</f>
        <v>-0.0954282207602855</v>
      </c>
      <c r="E100" s="58">
        <f>(1+M21)/(1+$B$14)-1</f>
        <v>-0.227414802118815</v>
      </c>
      <c r="F100" s="58">
        <f>(1+M22)/(1+$B$14)-1</f>
        <v>-0.314988478033861</v>
      </c>
      <c r="G100" s="58">
        <f>$B$14/(1+K20+$B$149)+D100</f>
        <v>-0.148863335264102</v>
      </c>
      <c r="H100" s="58">
        <f>G100/(1+K21+$B$149)+E100</f>
        <v>-0.334510726769248</v>
      </c>
      <c r="I100" s="58">
        <f>H100/(1+K22+$B$149)+F100</f>
        <v>-0.574299118940254</v>
      </c>
    </row>
    <row r="101" spans="1:9" ht="18" customHeight="1" x14ac:dyDescent="0.45">
      <c r="A101" s="9" t="s">
        <v>222</v>
      </c>
      <c r="B101" s="56">
        <f>B49</f>
        <v>0.38</v>
      </c>
      <c r="C101" s="57">
        <f>C100+B101</f>
        <v>0.53</v>
      </c>
      <c r="D101" s="58">
        <f>(1+M25)/(1+$B$14)-1</f>
        <v>-0.0814038520899023</v>
      </c>
      <c r="E101" s="58">
        <f>(1+M26)/(1+$B$14)-1</f>
        <v>-0.151432909797051</v>
      </c>
      <c r="F101" s="58">
        <f>(1+M27)/(1+$B$14)-1</f>
        <v>-0.165778171008312</v>
      </c>
      <c r="G101" s="58">
        <f>$B$14/(1+K25+$B$149)+D101</f>
        <v>-0.135667417981375</v>
      </c>
      <c r="H101" s="58">
        <f>G101/(1+K26+$B$149)+E101</f>
        <v>-0.253438487226656</v>
      </c>
      <c r="I101" s="58">
        <f>H101/(1+K27+$B$149)+F101</f>
        <v>-0.368528960789637</v>
      </c>
    </row>
    <row r="102" spans="1:9" ht="18" customHeight="1" x14ac:dyDescent="0.45">
      <c r="A102" s="9" t="s">
        <v>224</v>
      </c>
      <c r="B102" s="56">
        <f>B50</f>
        <v>0.25</v>
      </c>
      <c r="C102" s="57">
        <f>C101+B102</f>
        <v>0.78</v>
      </c>
      <c r="D102" s="58">
        <f>(1+M30)/(1+$B$14)-1</f>
        <v>-0.066937771020452</v>
      </c>
      <c r="E102" s="58">
        <f>(1+M31)/(1+$B$14)-1</f>
        <v>-0.0535619229463531</v>
      </c>
      <c r="F102" s="58">
        <f>(1+M32)/(1+$B$14)-1</f>
        <v>0.0562068044492621</v>
      </c>
      <c r="G102" s="58">
        <f>$B$14/(1+K30+$B$149)+D102</f>
        <v>-0.122055881256672</v>
      </c>
      <c r="H102" s="58">
        <f>G102/(1+K31+$B$149)+E102</f>
        <v>-0.149668916061843</v>
      </c>
      <c r="I102" s="58">
        <f>H102/(1+K32+$B$149)+F102</f>
        <v>-0.0695653939220347</v>
      </c>
    </row>
    <row r="103" spans="1:9" ht="18" customHeight="1" x14ac:dyDescent="0.45">
      <c r="A103" s="9" t="s">
        <v>226</v>
      </c>
      <c r="B103" s="56">
        <f>B51</f>
        <v>0.17</v>
      </c>
      <c r="C103" s="57">
        <f>C102+B103</f>
        <v>0.95</v>
      </c>
      <c r="D103" s="58">
        <f>(1+M35)/(1+$B$14)-1</f>
        <v>-0.0520087753567792</v>
      </c>
      <c r="E103" s="58">
        <f>(1+M36)/(1+$B$14)-1</f>
        <v>0.0185119397433535</v>
      </c>
      <c r="F103" s="58">
        <f>(1+M37)/(1+$B$14)-1</f>
        <v>0.230988066930274</v>
      </c>
      <c r="G103" s="58">
        <f>$B$14/(1+K35+$B$149)+D103</f>
        <v>-0.108008775356779</v>
      </c>
      <c r="H103" s="58">
        <f>G103/(1+K36+$B$149)+E103</f>
        <v>-0.0678950805420698</v>
      </c>
      <c r="I103" s="58">
        <f>H103/(1+K37+$B$149)+F103</f>
        <v>0.172958083560984</v>
      </c>
    </row>
    <row r="104" spans="1:9" ht="18" customHeight="1" x14ac:dyDescent="0.45">
      <c r="A104" s="9" t="s">
        <v>228</v>
      </c>
      <c r="B104" s="56">
        <f>B52</f>
        <v>0.05</v>
      </c>
      <c r="C104" s="57">
        <f>C103+B104</f>
        <v>1</v>
      </c>
      <c r="D104" s="58">
        <f>(1+M40)/(1+$B$14)-1</f>
        <v>-0.00421089848401168</v>
      </c>
      <c r="E104" s="58">
        <f>(1+M41)/(1+$B$14)-1</f>
        <v>0.170744854846754</v>
      </c>
      <c r="F104" s="58">
        <f>(1+M42)/(1+$B$14)-1</f>
        <v>0.834733327198991</v>
      </c>
      <c r="G104" s="58">
        <f>$B$14/(1+K40+$B$149)+D104</f>
        <v>-0.0630344278957764</v>
      </c>
      <c r="H104" s="58">
        <f>G104/(1+K41+$B$149)+E104</f>
        <v>0.117774747371312</v>
      </c>
      <c r="I104" s="58">
        <f>H104/(1+K42+$B$149)+F104</f>
        <v>0.961372840501477</v>
      </c>
    </row>
    <row r="105" spans="1:9" ht="21" customHeight="1" x14ac:dyDescent="0.45">
      <c r="A105" s="61" t="s">
        <v>291</v>
      </c>
      <c r="G105" s="60">
        <f>SUMPRODUCT($B$100:$B$104,G100:G104)</f>
        <v>-0.125910302642147</v>
      </c>
      <c r="H105" s="60">
        <f>SUMPRODUCT($B$100:$B$104,H100:H104)</f>
        <v>-0.189553889500564</v>
      </c>
      <c r="I105" s="60">
        <f>SUMPRODUCT($B$100:$B$104,I100:I104)</f>
        <v>-0.166105705191168</v>
      </c>
    </row>
    <row r="106" spans="1:9" ht="31.5" customHeight="1" x14ac:dyDescent="0.45">
      <c r="A106" s="70" t="s">
        <v>292</v>
      </c>
      <c r="G106" s="60">
        <f>E64</f>
        <v>-0.1360617840503</v>
      </c>
      <c r="H106" s="60">
        <f>F64</f>
        <v>-0.156827528879081</v>
      </c>
      <c r="I106" s="60">
        <f>G64</f>
        <v>-0.0841245031891783</v>
      </c>
    </row>
    <row r="107" spans="1:9" ht="21" customHeight="1" x14ac:dyDescent="0.45">
      <c r="A107" s="71" t="s">
        <v>293</v>
      </c>
      <c r="G107" s="72">
        <f>(G105-G106)*100</f>
        <v>1.01514814081524</v>
      </c>
      <c r="H107" s="72">
        <f>(H105-H106)*100</f>
        <v>-3.27263606214823</v>
      </c>
      <c r="I107" s="72">
        <f>(I105-I106)*100</f>
        <v>-8.19812020019896</v>
      </c>
    </row>
    <row r="108" spans="1:13" ht="45.75" customHeight="1" x14ac:dyDescent="0.45">
      <c r="A108" s="150" t="s">
        <v>294</v>
      </c>
      <c r="B108" s="150"/>
      <c r="C108" s="150"/>
      <c r="D108" s="150"/>
      <c r="E108" s="150"/>
      <c r="F108" s="150"/>
      <c r="G108" s="150"/>
      <c r="H108" s="150"/>
      <c r="I108" s="150"/>
      <c r="J108" s="150"/>
      <c r="K108" s="150"/>
      <c r="L108" s="150"/>
      <c r="M108" s="150"/>
    </row>
    <row r="110" spans="1:13" ht="24" customHeight="1" x14ac:dyDescent="0.45">
      <c r="A110" s="155" t="s">
        <v>295</v>
      </c>
      <c r="B110" s="155"/>
      <c r="C110" s="155"/>
      <c r="D110" s="155"/>
      <c r="E110" s="155"/>
      <c r="F110" s="155"/>
      <c r="G110" s="155"/>
      <c r="H110" s="155"/>
      <c r="I110" s="155"/>
      <c r="J110" s="155"/>
      <c r="K110" s="155"/>
      <c r="L110" s="155"/>
      <c r="M110" s="155"/>
    </row>
    <row r="111" spans="1:13" ht="19.5" customHeight="1" x14ac:dyDescent="0.45">
      <c r="A111" s="73" t="s">
        <v>296</v>
      </c>
      <c r="B111" s="74">
        <v>2.5666666666666699E-2</v>
      </c>
      <c r="C111" s="183" t="s">
        <v>297</v>
      </c>
      <c r="D111" s="183"/>
      <c r="E111" s="183"/>
      <c r="F111" s="183"/>
      <c r="G111" s="183"/>
      <c r="H111" s="183"/>
      <c r="I111" s="183"/>
      <c r="J111" s="183"/>
      <c r="K111" s="183"/>
      <c r="L111" s="183"/>
      <c r="M111" s="183"/>
    </row>
    <row r="112" spans="1:13" ht="27" customHeight="1" x14ac:dyDescent="0.45">
      <c r="A112" s="2" t="s">
        <v>298</v>
      </c>
      <c r="B112" s="2" t="s">
        <v>78</v>
      </c>
      <c r="C112" s="2" t="s">
        <v>79</v>
      </c>
      <c r="D112" s="2" t="s">
        <v>80</v>
      </c>
      <c r="E112" s="156" t="s">
        <v>299</v>
      </c>
      <c r="F112" s="156"/>
      <c r="G112" s="156"/>
      <c r="H112" s="156"/>
      <c r="I112" s="156"/>
      <c r="J112" s="156"/>
      <c r="K112" s="156"/>
      <c r="L112" s="156"/>
      <c r="M112" s="156"/>
    </row>
    <row r="113" spans="1:13" ht="31.5" customHeight="1" x14ac:dyDescent="0.45">
      <c r="A113" s="14" t="s">
        <v>300</v>
      </c>
      <c r="B113" s="60">
        <f>M25</f>
        <v>-0.145705582443609</v>
      </c>
      <c r="C113" s="60">
        <f>M26</f>
        <v>-0.210832606111257</v>
      </c>
      <c r="D113" s="60">
        <f>M27</f>
        <v>-0.22417369903773</v>
      </c>
      <c r="E113" s="184" t="s">
        <v>301</v>
      </c>
      <c r="F113" s="184"/>
      <c r="G113" s="184"/>
      <c r="H113" s="184"/>
      <c r="I113" s="184"/>
      <c r="J113" s="184"/>
      <c r="K113" s="184"/>
      <c r="L113" s="184"/>
      <c r="M113" s="184"/>
    </row>
    <row r="114" spans="1:13" ht="31.5" customHeight="1" x14ac:dyDescent="0.45">
      <c r="A114" s="14" t="s">
        <v>302</v>
      </c>
      <c r="B114" s="60">
        <f>(1+J25)/(1+K25+$B$149+$B$111)-1</f>
        <v>-0.0993242735211356</v>
      </c>
      <c r="C114" s="60">
        <f>(1+B114)*(1+J26)/(1+K26+$B$149+$B$111)-1</f>
        <v>-0.183739564601588</v>
      </c>
      <c r="D114" s="60">
        <f>(1+C114)*(1+J27)/(1+K27+$B$149+$B$111)-1</f>
        <v>-0.213684354145091</v>
      </c>
      <c r="E114" s="184" t="s">
        <v>303</v>
      </c>
      <c r="F114" s="184"/>
      <c r="G114" s="184"/>
      <c r="H114" s="184"/>
      <c r="I114" s="184"/>
      <c r="J114" s="184"/>
      <c r="K114" s="184"/>
      <c r="L114" s="184"/>
      <c r="M114" s="184"/>
    </row>
    <row r="115" spans="1:13" ht="31.5" customHeight="1" x14ac:dyDescent="0.45">
      <c r="A115" s="14" t="s">
        <v>304</v>
      </c>
      <c r="B115" s="60">
        <f>(1+$B$14)*(1+J25)/(1+K25+$B$149+$B$111)-1</f>
        <v>-0.162371574374656</v>
      </c>
      <c r="C115" s="60">
        <f>(1+B115)*(1+J26)/(1+K26+$B$149+$B$111)-1</f>
        <v>-0.240877795079477</v>
      </c>
      <c r="D115" s="60">
        <f>(1+C115)*(1+J27)/(1+K27+$B$149+$B$111)-1</f>
        <v>-0.268726449354934</v>
      </c>
      <c r="E115" s="184" t="s">
        <v>305</v>
      </c>
      <c r="F115" s="184"/>
      <c r="G115" s="184"/>
      <c r="H115" s="184"/>
      <c r="I115" s="184"/>
      <c r="J115" s="184"/>
      <c r="K115" s="184"/>
      <c r="L115" s="184"/>
      <c r="M115" s="184"/>
    </row>
    <row r="116" spans="1:13" ht="31.5" customHeight="1" x14ac:dyDescent="0.45">
      <c r="A116" s="75" t="s">
        <v>306</v>
      </c>
      <c r="B116" s="72">
        <f>(B115-B113)*100</f>
        <v>-1.66659919310469</v>
      </c>
      <c r="C116" s="72">
        <f>(C115-C113)*100</f>
        <v>-3.00451889682198</v>
      </c>
      <c r="D116" s="72">
        <f>(D115-D113)*100</f>
        <v>-4.45527503172039</v>
      </c>
      <c r="E116" s="184" t="s">
        <v>307</v>
      </c>
      <c r="F116" s="184"/>
      <c r="G116" s="184"/>
      <c r="H116" s="184"/>
      <c r="I116" s="184"/>
      <c r="J116" s="184"/>
      <c r="K116" s="184"/>
      <c r="L116" s="184"/>
      <c r="M116" s="184"/>
    </row>
    <row r="117" spans="1:13" ht="33" customHeight="1" x14ac:dyDescent="0.45">
      <c r="A117" s="150" t="s">
        <v>308</v>
      </c>
      <c r="B117" s="150"/>
      <c r="C117" s="150"/>
      <c r="D117" s="150"/>
      <c r="E117" s="150"/>
      <c r="F117" s="150"/>
      <c r="G117" s="150"/>
      <c r="H117" s="150"/>
      <c r="I117" s="150"/>
      <c r="J117" s="150"/>
      <c r="K117" s="150"/>
      <c r="L117" s="150"/>
      <c r="M117" s="150"/>
    </row>
    <row r="119" spans="1:13" ht="24" customHeight="1" x14ac:dyDescent="0.45">
      <c r="A119" s="155" t="s">
        <v>309</v>
      </c>
      <c r="B119" s="155"/>
      <c r="C119" s="155"/>
      <c r="D119" s="155"/>
      <c r="E119" s="155"/>
      <c r="F119" s="155"/>
      <c r="G119" s="155"/>
      <c r="H119" s="155"/>
      <c r="I119" s="155"/>
      <c r="J119" s="155"/>
      <c r="K119" s="155"/>
      <c r="L119" s="155"/>
      <c r="M119" s="155"/>
    </row>
    <row r="120" spans="1:13" ht="27" customHeight="1" x14ac:dyDescent="0.45">
      <c r="A120" s="2" t="s">
        <v>27</v>
      </c>
      <c r="B120" s="2" t="s">
        <v>78</v>
      </c>
      <c r="C120" s="2" t="s">
        <v>79</v>
      </c>
      <c r="D120" s="2" t="s">
        <v>80</v>
      </c>
      <c r="E120" s="156" t="s">
        <v>310</v>
      </c>
      <c r="F120" s="156"/>
      <c r="G120" s="156"/>
      <c r="H120" s="156"/>
      <c r="I120" s="156"/>
      <c r="J120" s="156"/>
      <c r="K120" s="156"/>
      <c r="L120" s="156"/>
      <c r="M120" s="156"/>
    </row>
    <row r="121" spans="1:13" ht="31.5" customHeight="1" x14ac:dyDescent="0.45">
      <c r="A121" s="14" t="s">
        <v>311</v>
      </c>
      <c r="B121" s="16">
        <f>D53</f>
        <v>-0.091210969195974</v>
      </c>
      <c r="C121" s="16">
        <f>E53</f>
        <v>-0.0381382738227208</v>
      </c>
      <c r="D121" s="16">
        <f>F53</f>
        <v>0.0724066707837913</v>
      </c>
      <c r="E121" s="183" t="s">
        <v>312</v>
      </c>
      <c r="F121" s="183"/>
      <c r="G121" s="183"/>
      <c r="H121" s="183"/>
      <c r="I121" s="183"/>
      <c r="J121" s="183"/>
      <c r="K121" s="183"/>
      <c r="L121" s="183"/>
      <c r="M121" s="183"/>
    </row>
    <row r="122" spans="1:13" ht="31.5" customHeight="1" x14ac:dyDescent="0.45">
      <c r="A122" s="14" t="s">
        <v>313</v>
      </c>
      <c r="B122" s="16">
        <f>E64</f>
        <v>-0.1360617840503</v>
      </c>
      <c r="C122" s="16">
        <f>F64</f>
        <v>-0.156827528879081</v>
      </c>
      <c r="D122" s="16">
        <f>G64</f>
        <v>-0.0841245031891783</v>
      </c>
      <c r="E122" s="183" t="s">
        <v>314</v>
      </c>
      <c r="F122" s="183"/>
      <c r="G122" s="183"/>
      <c r="H122" s="183"/>
      <c r="I122" s="183"/>
      <c r="J122" s="183"/>
      <c r="K122" s="183"/>
      <c r="L122" s="183"/>
      <c r="M122" s="183"/>
    </row>
    <row r="123" spans="1:13" ht="18.75" customHeight="1" x14ac:dyDescent="0.45">
      <c r="A123" s="9" t="s">
        <v>315</v>
      </c>
      <c r="B123" s="16">
        <f>G92</f>
        <v>-0.1360617840503</v>
      </c>
      <c r="C123" s="16">
        <f>H92</f>
        <v>-0.156827528879081</v>
      </c>
      <c r="D123" s="16">
        <f>I92</f>
        <v>-0.0841245031891783</v>
      </c>
      <c r="E123" s="183" t="s">
        <v>316</v>
      </c>
      <c r="F123" s="183"/>
      <c r="G123" s="183"/>
      <c r="H123" s="183"/>
      <c r="I123" s="183"/>
      <c r="J123" s="183"/>
      <c r="K123" s="183"/>
      <c r="L123" s="183"/>
      <c r="M123" s="183"/>
    </row>
    <row r="124" spans="1:13" ht="31.5" customHeight="1" x14ac:dyDescent="0.45">
      <c r="A124" s="14" t="s">
        <v>317</v>
      </c>
      <c r="B124" s="16">
        <f>G105</f>
        <v>-0.125910302642147</v>
      </c>
      <c r="C124" s="16">
        <f>H105</f>
        <v>-0.189553889500564</v>
      </c>
      <c r="D124" s="16">
        <f>I105</f>
        <v>-0.166105705191168</v>
      </c>
      <c r="E124" s="183" t="s">
        <v>318</v>
      </c>
      <c r="F124" s="183"/>
      <c r="G124" s="183"/>
      <c r="H124" s="183"/>
      <c r="I124" s="183"/>
      <c r="J124" s="183"/>
      <c r="K124" s="183"/>
      <c r="L124" s="183"/>
      <c r="M124" s="183"/>
    </row>
    <row r="125" spans="1:13" ht="33" customHeight="1" x14ac:dyDescent="0.45">
      <c r="A125" s="264" t="s">
        <v>1289</v>
      </c>
      <c r="B125" s="264"/>
      <c r="C125" s="264"/>
      <c r="D125" s="264"/>
      <c r="E125" s="264"/>
      <c r="F125" s="264"/>
      <c r="G125" s="264"/>
      <c r="H125" s="264"/>
      <c r="I125" s="264"/>
      <c r="J125" s="264"/>
      <c r="K125" s="264"/>
      <c r="L125" s="264"/>
      <c r="M125" s="264"/>
    </row>
    <row r="127" spans="1:13" ht="24" customHeight="1" x14ac:dyDescent="0.45">
      <c r="A127" s="171" t="s">
        <v>320</v>
      </c>
      <c r="B127" s="171"/>
      <c r="C127" s="171"/>
      <c r="D127" s="171"/>
      <c r="E127" s="171"/>
      <c r="F127" s="171"/>
      <c r="G127" s="171"/>
      <c r="H127" s="171"/>
      <c r="I127" s="171"/>
      <c r="J127" s="171"/>
      <c r="K127" s="171"/>
      <c r="L127" s="171"/>
      <c r="M127" s="171"/>
    </row>
    <row r="128" spans="1:13" ht="45" customHeight="1" x14ac:dyDescent="0.45">
      <c r="A128" s="207" t="s">
        <v>1290</v>
      </c>
      <c r="B128" s="207"/>
      <c r="C128" s="207"/>
      <c r="D128" s="207"/>
      <c r="E128" s="207"/>
      <c r="F128" s="207"/>
      <c r="G128" s="207"/>
      <c r="H128" s="207"/>
      <c r="I128" s="207"/>
      <c r="J128" s="207"/>
      <c r="K128" s="207"/>
      <c r="L128" s="207"/>
      <c r="M128" s="207"/>
    </row>
    <row r="129" spans="1:8" ht="59.25" customHeight="1" x14ac:dyDescent="0.45">
      <c r="A129" s="1" t="s">
        <v>200</v>
      </c>
      <c r="B129" s="1" t="s">
        <v>232</v>
      </c>
      <c r="C129" s="1" t="s">
        <v>322</v>
      </c>
      <c r="D129" s="247" t="s">
        <v>1291</v>
      </c>
      <c r="E129" s="1" t="s">
        <v>324</v>
      </c>
      <c r="F129" s="1" t="s">
        <v>325</v>
      </c>
      <c r="G129" s="247" t="s">
        <v>1292</v>
      </c>
      <c r="H129" s="1" t="s">
        <v>327</v>
      </c>
    </row>
    <row r="130" spans="1:8" ht="18" customHeight="1" x14ac:dyDescent="0.45">
      <c r="A130" s="11" t="s">
        <v>218</v>
      </c>
      <c r="B130" s="56">
        <f>B48</f>
        <v>0.15</v>
      </c>
      <c r="C130" s="58">
        <f>E48</f>
        <v>-0.202815688371965</v>
      </c>
      <c r="D130" s="19">
        <f>'06-Inventory-Burn-v4'!$E$18</f>
        <v>-0.21863107298735</v>
      </c>
      <c r="E130" s="20">
        <f>(D130-C130)*100</f>
        <v>-1.58153846153846</v>
      </c>
      <c r="F130" s="58">
        <f>F59</f>
        <v>-0.281495765970498</v>
      </c>
      <c r="G130" s="19">
        <f>'06-Inventory-Burn-v4'!$G$30</f>
        <v>-0.274244982479405</v>
      </c>
      <c r="H130" s="249" t="str">
        <f>IF(D130&lt;0,IF(C130&lt;0,"widening before and after","★ flips to widening"),IF(C130&lt;0,"flips to narrowing","narrowing before and after"))</f>
        <v>widening before and after</v>
      </c>
    </row>
    <row r="131" spans="1:8" ht="18" customHeight="1" x14ac:dyDescent="0.45">
      <c r="A131" s="11" t="s">
        <v>222</v>
      </c>
      <c r="B131" s="56">
        <f>B49</f>
        <v>0.38</v>
      </c>
      <c r="C131" s="58">
        <f>E49</f>
        <v>-0.101392376794098</v>
      </c>
      <c r="D131" s="19">
        <f>'06-Inventory-Burn-v4'!$E$19</f>
        <v>-0.117207761409482</v>
      </c>
      <c r="E131" s="20">
        <f>(D131-C131)*100</f>
        <v>-1.58153846153846</v>
      </c>
      <c r="F131" s="58">
        <f>F60</f>
        <v>-0.210832606111257</v>
      </c>
      <c r="G131" s="19">
        <f>'06-Inventory-Burn-v4'!$G$31</f>
        <v>-0.201302094624672</v>
      </c>
      <c r="H131" s="249" t="str">
        <f>IF(D131&lt;0,IF(C131&lt;0,"widening before and after","★ flips to widening"),IF(C131&lt;0,"flips to narrowing","narrowing before and after"))</f>
        <v>widening before and after</v>
      </c>
    </row>
    <row r="132" spans="1:8" ht="18" customHeight="1" x14ac:dyDescent="0.45">
      <c r="A132" s="11" t="s">
        <v>224</v>
      </c>
      <c r="B132" s="56">
        <f>B50</f>
        <v>0.25</v>
      </c>
      <c r="C132" s="58">
        <f>E50</f>
        <v>0.0182059958344727</v>
      </c>
      <c r="D132" s="19">
        <f>'06-Inventory-Burn-v4'!$E$20</f>
        <v>0.00239061121908807</v>
      </c>
      <c r="E132" s="20">
        <f>(D132-C132)*100</f>
        <v>-1.58153846153846</v>
      </c>
      <c r="F132" s="58">
        <f>F61</f>
        <v>-0.119812588340108</v>
      </c>
      <c r="G132" s="19">
        <f>'06-Inventory-Burn-v4'!$G$32</f>
        <v>-0.107888131465113</v>
      </c>
      <c r="H132" s="249" t="str">
        <f>IF(D132&lt;0,IF(C132&lt;0,"widening before and after","★ flips to widening"),IF(C132&lt;0,"flips to narrowing","narrowing before and after"))</f>
        <v>narrowing before and after</v>
      </c>
    </row>
    <row r="133" spans="1:8" ht="18" customHeight="1" x14ac:dyDescent="0.45">
      <c r="A133" s="11" t="s">
        <v>226</v>
      </c>
      <c r="B133" s="56">
        <f>B51</f>
        <v>0.17</v>
      </c>
      <c r="C133" s="58">
        <f>E51</f>
        <v>0.0929870357274054</v>
      </c>
      <c r="D133" s="19">
        <f>'06-Inventory-Burn-v4'!$E$21</f>
        <v>0.0771716511120208</v>
      </c>
      <c r="E133" s="20">
        <f>(D133-C133)*100</f>
        <v>-1.58153846153846</v>
      </c>
      <c r="F133" s="58">
        <f>F62</f>
        <v>-0.0527838960386813</v>
      </c>
      <c r="G133" s="19">
        <f>'06-Inventory-Burn-v4'!$G$33</f>
        <v>-0.0386306486650885</v>
      </c>
      <c r="H133" s="249" t="str">
        <f>IF(D133&lt;0,IF(C133&lt;0,"widening before and after","★ flips to widening"),IF(C133&lt;0,"flips to narrowing","narrowing before and after"))</f>
        <v>narrowing before and after</v>
      </c>
    </row>
    <row r="134" spans="1:8" ht="18" customHeight="1" x14ac:dyDescent="0.45">
      <c r="A134" s="11" t="s">
        <v>228</v>
      </c>
      <c r="B134" s="56">
        <f>B52</f>
        <v>0.05</v>
      </c>
      <c r="C134" s="58">
        <f>E52</f>
        <v>0.20907775165108</v>
      </c>
      <c r="D134" s="19">
        <f>'06-Inventory-Burn-v4'!$E$22</f>
        <v>0.193262367035695</v>
      </c>
      <c r="E134" s="20">
        <f>(D134-C134)*100</f>
        <v>-1.58153846153846</v>
      </c>
      <c r="F134" s="58">
        <f>F63</f>
        <v>0.0887927150074814</v>
      </c>
      <c r="G134" s="19">
        <f>'06-Inventory-Burn-v4'!$G$34</f>
        <v>0.107309468231479</v>
      </c>
      <c r="H134" s="249" t="str">
        <f>IF(D134&lt;0,IF(C134&lt;0,"widening before and after","★ flips to widening"),IF(C134&lt;0,"flips to narrowing","narrowing before and after"))</f>
        <v>narrowing before and after</v>
      </c>
    </row>
    <row r="135" spans="1:7" ht="21" customHeight="1" x14ac:dyDescent="0.45">
      <c r="A135" s="76" t="s">
        <v>235</v>
      </c>
      <c r="C135" s="63">
        <f>E53</f>
        <v>-0.0381382738227208</v>
      </c>
      <c r="D135" s="77">
        <f>'06-Inventory-Burn-v4'!$E$23</f>
        <v>-0.0539536584381055</v>
      </c>
      <c r="E135" s="20">
        <f>(D135-C135)*100</f>
        <v>-1.58153846153846</v>
      </c>
      <c r="F135" s="63">
        <f>F64</f>
        <v>-0.156827528879081</v>
      </c>
      <c r="G135" s="77">
        <f>'06-Inventory-Burn-v4'!$G$35</f>
        <v>-0.145805313057055</v>
      </c>
    </row>
    <row r="136" spans="1:6" ht="21" customHeight="1" x14ac:dyDescent="0.45">
      <c r="A136" s="76" t="s">
        <v>237</v>
      </c>
      <c r="C136" s="63">
        <f>E54</f>
        <v>-0.101392376794098</v>
      </c>
      <c r="D136" s="77">
        <f>'06-Inventory-Burn-v4'!$E$24</f>
        <v>-0.117207761409482</v>
      </c>
      <c r="F136" s="63">
        <f>F65</f>
        <v>-0.210832606111257</v>
      </c>
    </row>
    <row r="137" spans="1:5" ht="21" customHeight="1" x14ac:dyDescent="0.45">
      <c r="A137" s="221" t="s">
        <v>1293</v>
      </c>
      <c r="C137" s="78">
        <f>'06-Inventory-Burn-v4'!$D$25</f>
        <v>0.53</v>
      </c>
      <c r="D137" s="79">
        <f>'06-Inventory-Burn-v4'!$E$25</f>
        <v>0.53</v>
      </c>
      <c r="E137" s="20">
        <f>(D137-C137)*100</f>
        <v>0</v>
      </c>
    </row>
    <row r="138" spans="1:13" ht="60" customHeight="1" x14ac:dyDescent="0.45">
      <c r="A138" s="207" t="str">
        <f>"★★ v4.1: this line measures whether the 2027 growth gap is still widening: "&amp;SUBSTITUTE(TEXT(C137,"0%"),"-","−")&amp;" on v3.0 production → "&amp;SUBSTITUTE(TEXT(D137,"0%"),"-","−")&amp;" with the inventory correction alone. It is not the probability of shortage: on a level basis DRAM is short in 2027 with probability "&amp;SUBSTITUTE(TEXT('09-v4.1-Corrections'!$H$31,"0%"),"-","−")&amp;" and in 2028 with probability "&amp;SUBSTITUTE(TEXT('09-v4.1-Corrections'!$I$31,"0%"),"-","−")&amp;" (sheet 09 [B]). v4.0 read it as ""53% → 78% short"" and assumed the whole 4.9% release was consumed; with the effective release ("&amp;SUBSTITUTE(TEXT('09-v4.1-Corrections'!$B$17,"0.00%"),"-","−")&amp;") "&amp;IF(D132&lt;0,"S3 still flips.","S3 no longer flips.")</f>
        <v>★★ v4.1: this line measures whether the 2027 growth gap is still widening: 53% on v3.0 production → 53% with the inventory correction alone. It is not the probability of shortage: on a level basis DRAM is short in 2027 with probability 95% and in 2028 with probability 53% (sheet 09 [B]). v4.0 read it as "53% → 78% short" and assumed the whole 4.9% release was consumed; with the effective release (1.58%) S3 no longer flips.</v>
      </c>
      <c r="B138" s="207"/>
      <c r="C138" s="207"/>
      <c r="D138" s="207"/>
      <c r="E138" s="207"/>
      <c r="F138" s="207"/>
      <c r="G138" s="207"/>
      <c r="H138" s="207"/>
      <c r="I138" s="207"/>
      <c r="J138" s="207"/>
      <c r="K138" s="207"/>
      <c r="L138" s="207"/>
      <c r="M138" s="207"/>
    </row>
    <row r="140" spans="1:13" ht="24" customHeight="1" x14ac:dyDescent="0.45">
      <c r="A140" s="181" t="s">
        <v>329</v>
      </c>
      <c r="B140" s="181"/>
      <c r="C140" s="181"/>
      <c r="D140" s="181"/>
      <c r="E140" s="181"/>
      <c r="F140" s="181"/>
      <c r="G140" s="181"/>
      <c r="H140" s="181"/>
      <c r="I140" s="181"/>
      <c r="J140" s="181"/>
      <c r="K140" s="181"/>
      <c r="L140" s="181"/>
      <c r="M140" s="181"/>
    </row>
    <row r="141" spans="1:13" ht="33" customHeight="1" x14ac:dyDescent="0.45">
      <c r="A141" s="182" t="s">
        <v>330</v>
      </c>
      <c r="B141" s="182"/>
      <c r="C141" s="182"/>
      <c r="D141" s="182"/>
      <c r="E141" s="182"/>
      <c r="F141" s="182"/>
      <c r="G141" s="182"/>
      <c r="H141" s="182"/>
      <c r="I141" s="182"/>
      <c r="J141" s="182"/>
      <c r="K141" s="182"/>
      <c r="L141" s="182"/>
      <c r="M141" s="182"/>
    </row>
    <row r="142" spans="1:13" ht="31.5" customHeight="1" x14ac:dyDescent="0.45">
      <c r="A142" s="2" t="s">
        <v>174</v>
      </c>
      <c r="B142" s="2" t="s">
        <v>175</v>
      </c>
      <c r="C142" s="156" t="s">
        <v>331</v>
      </c>
      <c r="D142" s="156"/>
      <c r="E142" s="156"/>
      <c r="F142" s="156"/>
      <c r="G142" s="156"/>
      <c r="H142" s="2" t="s">
        <v>332</v>
      </c>
      <c r="I142" s="2" t="s">
        <v>333</v>
      </c>
      <c r="J142" s="156" t="s">
        <v>55</v>
      </c>
      <c r="K142" s="156"/>
      <c r="L142" s="156"/>
      <c r="M142" s="156"/>
    </row>
    <row r="143" spans="1:13" ht="37.5" customHeight="1" x14ac:dyDescent="0.45">
      <c r="A143" s="80" t="s">
        <v>334</v>
      </c>
      <c r="B143" s="81">
        <f>H143/10</f>
        <v>2.8</v>
      </c>
      <c r="C143" s="177"/>
      <c r="D143" s="177"/>
      <c r="E143" s="177"/>
      <c r="F143" s="177"/>
      <c r="G143" s="177"/>
      <c r="H143" s="82">
        <v>28</v>
      </c>
      <c r="I143" s="83" t="s">
        <v>335</v>
      </c>
      <c r="J143" s="245" t="s">
        <v>1294</v>
      </c>
      <c r="K143" s="245"/>
      <c r="L143" s="245"/>
      <c r="M143" s="245"/>
    </row>
    <row r="144" spans="1:13" ht="37.5" customHeight="1" x14ac:dyDescent="0.45">
      <c r="A144" s="80" t="s">
        <v>337</v>
      </c>
      <c r="B144" s="84">
        <f>-H144/1000</f>
        <v>-0.07</v>
      </c>
      <c r="C144" s="177"/>
      <c r="D144" s="177"/>
      <c r="E144" s="177"/>
      <c r="F144" s="177"/>
      <c r="G144" s="177"/>
      <c r="H144" s="82">
        <v>70</v>
      </c>
      <c r="I144" s="83" t="s">
        <v>338</v>
      </c>
      <c r="J144" s="245" t="str">
        <f>"Inventory method: (normal "&amp;SUBSTITUTE(TEXT($B$10,"0"),"-","−")&amp;" − actual "&amp;SUBSTITUTE(TEXT($B$12,"0.00"),"-","−")&amp;" weeks) ÷ 52 = "&amp;SUBSTITUTE(TEXT($B$13,"0.0%"),"-","−")&amp;". Default −7.0%. ★ The most fragile parameter, with a cleared-demand denominator (audit A5). ▲ v4.1: the level headline is anchored externally instead (sheet 09 [C])."</f>
        <v>Inventory method: (normal 6 − actual 1.43 weeks) ÷ 52 = −8.8%. Default −7.0%. ★ The most fragile parameter, with a cleared-demand denominator (audit A5). ▲ v4.1: the level headline is anchored externally instead (sheet 09 [C]).</v>
      </c>
      <c r="K144" s="245"/>
      <c r="L144" s="245"/>
      <c r="M144" s="245"/>
    </row>
    <row r="145" spans="1:13" ht="37.5" customHeight="1" x14ac:dyDescent="0.45">
      <c r="A145" s="80" t="s">
        <v>184</v>
      </c>
      <c r="B145" s="85">
        <f>H145</f>
        <v>1</v>
      </c>
      <c r="C145" s="177"/>
      <c r="D145" s="177"/>
      <c r="E145" s="177"/>
      <c r="F145" s="177"/>
      <c r="G145" s="177"/>
      <c r="H145" s="82">
        <v>1</v>
      </c>
      <c r="I145" s="83" t="s">
        <v>340</v>
      </c>
      <c r="J145" s="178" t="s">
        <v>341</v>
      </c>
      <c r="K145" s="178"/>
      <c r="L145" s="178"/>
      <c r="M145" s="178"/>
    </row>
    <row r="146" spans="1:13" ht="37.5" customHeight="1" x14ac:dyDescent="0.45">
      <c r="A146" s="80" t="s">
        <v>342</v>
      </c>
      <c r="B146" s="86">
        <f>(H146-50)/1000</f>
        <v>0</v>
      </c>
      <c r="C146" s="177"/>
      <c r="D146" s="177"/>
      <c r="E146" s="177"/>
      <c r="F146" s="177"/>
      <c r="G146" s="177"/>
      <c r="H146" s="82">
        <v>50</v>
      </c>
      <c r="I146" s="83" t="s">
        <v>343</v>
      </c>
      <c r="J146" s="178" t="s">
        <v>344</v>
      </c>
      <c r="K146" s="178"/>
      <c r="L146" s="178"/>
      <c r="M146" s="178"/>
    </row>
    <row r="147" spans="1:13" ht="37.5" customHeight="1" x14ac:dyDescent="0.45">
      <c r="A147" s="80" t="s">
        <v>345</v>
      </c>
      <c r="B147" s="86">
        <f>(H147-50)/1000</f>
        <v>0</v>
      </c>
      <c r="C147" s="177"/>
      <c r="D147" s="177"/>
      <c r="E147" s="177"/>
      <c r="F147" s="177"/>
      <c r="G147" s="177"/>
      <c r="H147" s="82">
        <v>50</v>
      </c>
      <c r="I147" s="83" t="s">
        <v>346</v>
      </c>
      <c r="J147" s="178" t="s">
        <v>347</v>
      </c>
      <c r="K147" s="178"/>
      <c r="L147" s="178"/>
      <c r="M147" s="178"/>
    </row>
    <row r="148" spans="1:13" ht="37.5" customHeight="1" x14ac:dyDescent="0.45">
      <c r="A148" s="80" t="s">
        <v>348</v>
      </c>
      <c r="B148" s="86">
        <f>(H148-100)/1000</f>
        <v>0</v>
      </c>
      <c r="C148" s="177"/>
      <c r="D148" s="177"/>
      <c r="E148" s="177"/>
      <c r="F148" s="177"/>
      <c r="G148" s="177"/>
      <c r="H148" s="82">
        <v>100</v>
      </c>
      <c r="I148" s="83" t="s">
        <v>349</v>
      </c>
      <c r="J148" s="178" t="s">
        <v>350</v>
      </c>
      <c r="K148" s="178"/>
      <c r="L148" s="178"/>
      <c r="M148" s="178"/>
    </row>
    <row r="149" spans="1:13" ht="37.5" customHeight="1" x14ac:dyDescent="0.45">
      <c r="A149" s="80" t="s">
        <v>351</v>
      </c>
      <c r="B149" s="86">
        <f>(H149-100)/1000</f>
        <v>0.01</v>
      </c>
      <c r="C149" s="177"/>
      <c r="D149" s="177"/>
      <c r="E149" s="177"/>
      <c r="F149" s="177"/>
      <c r="G149" s="177"/>
      <c r="H149" s="82">
        <v>110</v>
      </c>
      <c r="I149" s="83" t="s">
        <v>352</v>
      </c>
      <c r="J149" s="178" t="s">
        <v>353</v>
      </c>
      <c r="K149" s="178"/>
      <c r="L149" s="178"/>
      <c r="M149" s="178"/>
    </row>
    <row r="150" spans="1:13" ht="18.75" customHeight="1" x14ac:dyDescent="0.45">
      <c r="A150" s="180" t="s">
        <v>354</v>
      </c>
      <c r="B150" s="180"/>
      <c r="C150" s="180"/>
      <c r="D150" s="180"/>
      <c r="E150" s="180"/>
      <c r="F150" s="180"/>
      <c r="G150" s="180"/>
      <c r="H150" s="180"/>
      <c r="I150" s="180"/>
      <c r="J150" s="180"/>
      <c r="K150" s="180"/>
      <c r="L150" s="180"/>
      <c r="M150" s="180"/>
    </row>
    <row r="151" spans="1:13" ht="37.5" customHeight="1" x14ac:dyDescent="0.45">
      <c r="A151" s="80" t="s">
        <v>355</v>
      </c>
      <c r="B151" s="87">
        <f>H151/100</f>
        <v>0.15</v>
      </c>
      <c r="C151" s="177"/>
      <c r="D151" s="177"/>
      <c r="E151" s="177"/>
      <c r="F151" s="177"/>
      <c r="G151" s="177"/>
      <c r="H151" s="82">
        <v>15</v>
      </c>
      <c r="I151" s="83" t="s">
        <v>356</v>
      </c>
      <c r="J151" s="245" t="s">
        <v>1295</v>
      </c>
      <c r="K151" s="245"/>
      <c r="L151" s="245"/>
      <c r="M151" s="245"/>
    </row>
    <row r="152" spans="1:13" ht="37.5" customHeight="1" x14ac:dyDescent="0.45">
      <c r="A152" s="80" t="s">
        <v>358</v>
      </c>
      <c r="B152" s="87">
        <f>H152/100</f>
        <v>0.38</v>
      </c>
      <c r="C152" s="177"/>
      <c r="D152" s="177"/>
      <c r="E152" s="177"/>
      <c r="F152" s="177"/>
      <c r="G152" s="177"/>
      <c r="H152" s="82">
        <v>38</v>
      </c>
      <c r="I152" s="83" t="s">
        <v>356</v>
      </c>
      <c r="J152" s="339" t="s">
        <v>1839</v>
      </c>
      <c r="K152" s="339"/>
      <c r="L152" s="339"/>
      <c r="M152" s="339"/>
    </row>
    <row r="153" spans="1:13" ht="37.5" customHeight="1" x14ac:dyDescent="0.45">
      <c r="A153" s="80" t="s">
        <v>360</v>
      </c>
      <c r="B153" s="87">
        <f>H153/100</f>
        <v>0.25</v>
      </c>
      <c r="C153" s="177"/>
      <c r="D153" s="177"/>
      <c r="E153" s="177"/>
      <c r="F153" s="177"/>
      <c r="G153" s="177"/>
      <c r="H153" s="82">
        <v>25</v>
      </c>
      <c r="I153" s="83" t="s">
        <v>356</v>
      </c>
      <c r="J153" s="245" t="str">
        <f>"Core assumption: HBM economics reverse and wafers flow back to DDR5. v4.0: the inventory correction flipped its growth gap negative. ▲ v4.1: "&amp;IF('06-Inventory-Burn-v4'!$E$20&lt;0,"it still flips at the current φ × coverage.","no longer flips at φ × coverage "&amp;TEXT('09-v4.1-Corrections'!$B$9*'09-v4.1-Corrections'!$B$10,"0.00")&amp;" (needs &gt; "&amp;TEXT(('06-Inventory-Burn-v4'!$C$20-'06-Inventory-Burn-v4'!$H$20)/'06-Inventory-Burn-v4'!$B$15,"0.00")&amp;").")</f>
        <v>Core assumption: HBM economics reverse and wafers flow back to DDR5. v4.0: the inventory correction flipped its growth gap negative. ▲ v4.1: no longer flips at φ × coverage 0.32 (needs &gt; 0.37).</v>
      </c>
      <c r="K153" s="245"/>
      <c r="L153" s="245"/>
      <c r="M153" s="245"/>
    </row>
    <row r="154" spans="1:13" ht="37.5" customHeight="1" x14ac:dyDescent="0.45">
      <c r="A154" s="80" t="s">
        <v>362</v>
      </c>
      <c r="B154" s="87">
        <f>H154/100</f>
        <v>0.17</v>
      </c>
      <c r="C154" s="177"/>
      <c r="D154" s="177"/>
      <c r="E154" s="177"/>
      <c r="F154" s="177"/>
      <c r="G154" s="177"/>
      <c r="H154" s="82">
        <v>17</v>
      </c>
      <c r="I154" s="83" t="s">
        <v>356</v>
      </c>
      <c r="J154" s="178" t="s">
        <v>363</v>
      </c>
      <c r="K154" s="178"/>
      <c r="L154" s="178"/>
      <c r="M154" s="178"/>
    </row>
    <row r="155" spans="1:13" ht="37.5" customHeight="1" x14ac:dyDescent="0.45">
      <c r="A155" s="80" t="s">
        <v>364</v>
      </c>
      <c r="B155" s="87">
        <f>H155/100</f>
        <v>0.05</v>
      </c>
      <c r="C155" s="177"/>
      <c r="D155" s="177"/>
      <c r="E155" s="177"/>
      <c r="F155" s="177"/>
      <c r="G155" s="177"/>
      <c r="H155" s="82">
        <v>5</v>
      </c>
      <c r="I155" s="83" t="s">
        <v>356</v>
      </c>
      <c r="J155" s="245" t="s">
        <v>1296</v>
      </c>
      <c r="K155" s="245"/>
      <c r="L155" s="245"/>
      <c r="M155" s="245"/>
    </row>
    <row r="156" spans="1:13" ht="33.75" customHeight="1" x14ac:dyDescent="0.45">
      <c r="A156" s="88" t="s">
        <v>366</v>
      </c>
      <c r="B156" s="89">
        <f>SUM(B151:B155)</f>
        <v>1</v>
      </c>
      <c r="C156" s="179" t="str">
        <f>IF(ABS(B156-1)&lt;0.0001,"✔  Cumulative probability = 100%; the weighted and median rows are valid.","⚠  Currently "&amp;TEXT(B156,"0%")&amp;" — "&amp;TEXT(1-B156,"0%")&amp;" still to allocate. Keep adjusting the five rows above until this reads 100%, otherwise the weighted row is unreadable.")</f>
        <v>✔  Cumulative probability = 100%; the weighted and median rows are valid.</v>
      </c>
      <c r="D156" s="179"/>
      <c r="E156" s="179"/>
      <c r="F156" s="179"/>
      <c r="G156" s="179"/>
      <c r="H156" s="179"/>
      <c r="I156" s="179"/>
      <c r="J156" s="179"/>
      <c r="K156" s="179"/>
      <c r="L156" s="179"/>
      <c r="M156" s="179"/>
    </row>
    <row r="158" spans="1:13" ht="24" customHeight="1" x14ac:dyDescent="0.45">
      <c r="A158" s="155" t="s">
        <v>367</v>
      </c>
      <c r="B158" s="155"/>
      <c r="C158" s="155"/>
      <c r="D158" s="155"/>
      <c r="E158" s="155"/>
      <c r="F158" s="155"/>
      <c r="G158" s="155"/>
      <c r="H158" s="155"/>
      <c r="I158" s="155"/>
      <c r="J158" s="155"/>
      <c r="K158" s="155"/>
      <c r="L158" s="155"/>
      <c r="M158" s="155"/>
    </row>
    <row r="159" spans="1:6" ht="31.5" customHeight="1" x14ac:dyDescent="0.45">
      <c r="A159" s="2" t="s">
        <v>27</v>
      </c>
      <c r="B159" s="2" t="s">
        <v>78</v>
      </c>
      <c r="C159" s="2" t="s">
        <v>79</v>
      </c>
      <c r="D159" s="2" t="s">
        <v>80</v>
      </c>
      <c r="E159" s="2" t="s">
        <v>368</v>
      </c>
      <c r="F159" s="2" t="s">
        <v>369</v>
      </c>
    </row>
    <row r="160" spans="1:13" ht="31.5" customHeight="1" x14ac:dyDescent="0.45">
      <c r="A160" s="14" t="s">
        <v>370</v>
      </c>
      <c r="B160" s="90">
        <f>D53</f>
        <v>-0.091210969195974</v>
      </c>
      <c r="C160" s="90">
        <f>E53</f>
        <v>-0.0381382738227208</v>
      </c>
      <c r="D160" s="90">
        <f>F53</f>
        <v>0.0724066707837913</v>
      </c>
      <c r="E160" s="90">
        <f>E54</f>
        <v>-0.101392376794098</v>
      </c>
      <c r="F160" s="90">
        <f>F54</f>
        <v>-0.0211315955109548</v>
      </c>
      <c r="G160" s="158"/>
      <c r="H160" s="158"/>
      <c r="I160" s="158"/>
      <c r="J160" s="158"/>
      <c r="K160" s="158"/>
      <c r="L160" s="158"/>
      <c r="M160" s="158"/>
    </row>
    <row r="161" spans="1:13" ht="25.5" customHeight="1" x14ac:dyDescent="0.45">
      <c r="A161" s="9" t="s">
        <v>86</v>
      </c>
      <c r="B161" s="90">
        <f>E64</f>
        <v>-0.1360617840503</v>
      </c>
      <c r="C161" s="90">
        <f>F64</f>
        <v>-0.156827528879081</v>
      </c>
      <c r="D161" s="90">
        <f>G64</f>
        <v>-0.0841245031891783</v>
      </c>
      <c r="E161" s="90">
        <f>F65</f>
        <v>-0.210832606111257</v>
      </c>
      <c r="F161" s="90">
        <f>G65</f>
        <v>-0.22417369903773</v>
      </c>
      <c r="G161" s="158"/>
      <c r="H161" s="158"/>
      <c r="I161" s="158"/>
      <c r="J161" s="158"/>
      <c r="K161" s="158"/>
      <c r="L161" s="158"/>
      <c r="M161" s="158"/>
    </row>
    <row r="162" spans="1:13" ht="25.5" customHeight="1" x14ac:dyDescent="0.45">
      <c r="A162" s="216" t="s">
        <v>1297</v>
      </c>
      <c r="B162" s="91">
        <f>'06-Inventory-Burn-v4'!$C$35</f>
        <v>-0.091210969195974</v>
      </c>
      <c r="C162" s="91">
        <f>'06-Inventory-Burn-v4'!$D$35</f>
        <v>-0.0372256495811009</v>
      </c>
      <c r="D162" s="91">
        <f>'06-Inventory-Burn-v4'!$E$35</f>
        <v>0.0616483750322258</v>
      </c>
      <c r="E162" s="91">
        <f>'06-Inventory-Burn-v4'!$D$36</f>
        <v>-0.100743305136998</v>
      </c>
      <c r="F162" s="15" t="s">
        <v>84</v>
      </c>
      <c r="G162" s="158"/>
      <c r="H162" s="158"/>
      <c r="I162" s="158"/>
      <c r="J162" s="158"/>
      <c r="K162" s="158"/>
      <c r="L162" s="158"/>
      <c r="M162" s="158"/>
    </row>
    <row r="163" spans="1:13" ht="25.5" customHeight="1" x14ac:dyDescent="0.45">
      <c r="A163" s="216" t="s">
        <v>1298</v>
      </c>
      <c r="B163" s="91">
        <f>'06-Inventory-Burn-v4'!$F$35</f>
        <v>-0.122398268881126</v>
      </c>
      <c r="C163" s="91">
        <f>'06-Inventory-Burn-v4'!$G$35</f>
        <v>-0.145805313057055</v>
      </c>
      <c r="D163" s="91">
        <f>'06-Inventory-Burn-v4'!$H$35</f>
        <v>-0.0791666393226184</v>
      </c>
      <c r="E163" s="15" t="s">
        <v>84</v>
      </c>
      <c r="F163" s="15" t="s">
        <v>84</v>
      </c>
      <c r="G163" s="158"/>
      <c r="H163" s="158"/>
      <c r="I163" s="158"/>
      <c r="J163" s="158"/>
      <c r="K163" s="158"/>
      <c r="L163" s="158"/>
      <c r="M163" s="158"/>
    </row>
    <row r="164" spans="1:13" ht="31.5" customHeight="1" x14ac:dyDescent="0.45">
      <c r="A164" s="276" t="s">
        <v>1299</v>
      </c>
      <c r="B164" s="92">
        <f>'06-Inventory-Burn-v4'!$D$25</f>
        <v>0.53</v>
      </c>
      <c r="C164" s="92">
        <f>'06-Inventory-Burn-v4'!$E$25</f>
        <v>0.53</v>
      </c>
      <c r="D164" s="92">
        <f>'06-Inventory-Burn-v4'!$G$25</f>
        <v>0.53</v>
      </c>
      <c r="E164" s="15" t="s">
        <v>84</v>
      </c>
      <c r="F164" s="15" t="s">
        <v>84</v>
      </c>
      <c r="G164" s="158"/>
      <c r="H164" s="158"/>
      <c r="I164" s="158"/>
      <c r="J164" s="158"/>
      <c r="K164" s="158"/>
      <c r="L164" s="158"/>
      <c r="M164" s="158"/>
    </row>
    <row r="165" ht="31.5" customHeight="1" spans="1:13">
      <c r="A165" s="277" t="s">
        <v>1300</v>
      </c>
      <c r="B165" s="223">
        <f>'09-v4.1-Corrections'!$E$31</f>
        <v>1</v>
      </c>
      <c r="C165" s="223">
        <f>'09-v4.1-Corrections'!$F$31</f>
        <v>0.95</v>
      </c>
      <c r="D165" s="223">
        <f>'09-v4.1-Corrections'!$G$31</f>
        <v>0.78</v>
      </c>
      <c r="E165" s="278" t="s">
        <v>1221</v>
      </c>
      <c r="F165" s="278" t="s">
        <v>1221</v>
      </c>
      <c r="G165" s="279" t="str">
        <f>"Sheet 06 stock basis. On the external anchor (sheet 09 [C]): 2027 "&amp;SUBSTITUTE(TEXT('09-v4.1-Corrections'!$H$31,"0%"),"-","−")&amp;", 2028 "&amp;SUBSTITUTE(TEXT('09-v4.1-Corrections'!$I$31,"0%"),"-","−")&amp;"."</f>
        <v>Sheet 06 stock basis. On the external anchor (sheet 09 [C]): 2027 95%, 2028 53%.</v>
      </c>
      <c r="H165" s="279"/>
      <c r="I165" s="279"/>
      <c r="J165" s="279"/>
      <c r="K165" s="279"/>
      <c r="L165" s="279"/>
      <c r="M165" s="279"/>
    </row>
    <row r="346" spans="1:13" ht="60" customHeight="1" x14ac:dyDescent="0.45">
      <c r="A346" s="208" t="s">
        <v>1301</v>
      </c>
      <c r="B346" s="208"/>
      <c r="C346" s="208"/>
      <c r="D346" s="208"/>
      <c r="E346" s="208"/>
      <c r="F346" s="208"/>
      <c r="G346" s="208"/>
      <c r="H346" s="208"/>
      <c r="I346" s="208"/>
      <c r="J346" s="208"/>
      <c r="K346" s="208"/>
      <c r="L346" s="208"/>
      <c r="M346" s="208"/>
    </row>
  </sheetData>
  <mergeCells count="100">
    <mergeCell ref="A1:M1"/>
    <mergeCell ref="A2:M2"/>
    <mergeCell ref="A4:M4"/>
    <mergeCell ref="D5:M5"/>
    <mergeCell ref="D6:M6"/>
    <mergeCell ref="D7:M7"/>
    <mergeCell ref="D8:M8"/>
    <mergeCell ref="D9:M9"/>
    <mergeCell ref="D10:M10"/>
    <mergeCell ref="D11:M11"/>
    <mergeCell ref="D12:M12"/>
    <mergeCell ref="D13:M13"/>
    <mergeCell ref="D14:M14"/>
    <mergeCell ref="A17:M17"/>
    <mergeCell ref="A23:M23"/>
    <mergeCell ref="A28:M28"/>
    <mergeCell ref="A33:M33"/>
    <mergeCell ref="A38:M38"/>
    <mergeCell ref="A43:M43"/>
    <mergeCell ref="A44:M44"/>
    <mergeCell ref="A46:M46"/>
    <mergeCell ref="A55:M55"/>
    <mergeCell ref="A57:M57"/>
    <mergeCell ref="A66:M66"/>
    <mergeCell ref="A67:M67"/>
    <mergeCell ref="A69:M69"/>
    <mergeCell ref="F70:M70"/>
    <mergeCell ref="F71:M71"/>
    <mergeCell ref="F72:M72"/>
    <mergeCell ref="F73:M73"/>
    <mergeCell ref="A74:M74"/>
    <mergeCell ref="A76:M76"/>
    <mergeCell ref="J77:M77"/>
    <mergeCell ref="J78:M78"/>
    <mergeCell ref="J79:M79"/>
    <mergeCell ref="J80:M80"/>
    <mergeCell ref="J81:M81"/>
    <mergeCell ref="A82:M82"/>
    <mergeCell ref="A84:M84"/>
    <mergeCell ref="A85:M85"/>
    <mergeCell ref="A95:M95"/>
    <mergeCell ref="A97:M97"/>
    <mergeCell ref="A98:M98"/>
    <mergeCell ref="A108:M108"/>
    <mergeCell ref="A110:M110"/>
    <mergeCell ref="C111:M111"/>
    <mergeCell ref="E112:M112"/>
    <mergeCell ref="E113:M113"/>
    <mergeCell ref="E114:M114"/>
    <mergeCell ref="E115:M115"/>
    <mergeCell ref="E116:M116"/>
    <mergeCell ref="A117:M117"/>
    <mergeCell ref="A119:M119"/>
    <mergeCell ref="E120:M120"/>
    <mergeCell ref="E121:M121"/>
    <mergeCell ref="E122:M122"/>
    <mergeCell ref="E123:M123"/>
    <mergeCell ref="E124:M124"/>
    <mergeCell ref="A125:M125"/>
    <mergeCell ref="A127:M127"/>
    <mergeCell ref="A128:M128"/>
    <mergeCell ref="A138:M138"/>
    <mergeCell ref="A140:M140"/>
    <mergeCell ref="A141:M141"/>
    <mergeCell ref="C142:G142"/>
    <mergeCell ref="J142:M142"/>
    <mergeCell ref="C143:G143"/>
    <mergeCell ref="J143:M143"/>
    <mergeCell ref="C144:G144"/>
    <mergeCell ref="J144:M144"/>
    <mergeCell ref="C145:G145"/>
    <mergeCell ref="J145:M145"/>
    <mergeCell ref="C146:G146"/>
    <mergeCell ref="J146:M146"/>
    <mergeCell ref="C147:G147"/>
    <mergeCell ref="J147:M147"/>
    <mergeCell ref="C148:G148"/>
    <mergeCell ref="J148:M148"/>
    <mergeCell ref="C149:G149"/>
    <mergeCell ref="J149:M149"/>
    <mergeCell ref="A150:M150"/>
    <mergeCell ref="C151:G151"/>
    <mergeCell ref="J151:M151"/>
    <mergeCell ref="C152:G152"/>
    <mergeCell ref="J152:M152"/>
    <mergeCell ref="C153:G153"/>
    <mergeCell ref="J153:M153"/>
    <mergeCell ref="C154:G154"/>
    <mergeCell ref="J154:M154"/>
    <mergeCell ref="C155:G155"/>
    <mergeCell ref="J155:M155"/>
    <mergeCell ref="C156:M156"/>
    <mergeCell ref="A158:M158"/>
    <mergeCell ref="G160:M160"/>
    <mergeCell ref="G161:M161"/>
    <mergeCell ref="G162:M162"/>
    <mergeCell ref="G163:M163"/>
    <mergeCell ref="G164:M164"/>
    <mergeCell ref="A346:M346"/>
    <mergeCell ref="G165:M165"/>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1025" r:id="rId3" name="Scroll Bar 1">
              <controlPr defaultSize="0" print="0" autoLine="0" autoPict="0" altText="">
                <anchor moveWithCells="1">
                  <from>
                    <xdr:col>2</xdr:col>
                    <xdr:colOff>19050</xdr:colOff>
                    <xdr:row>142</xdr:row>
                    <xdr:rowOff>23813</xdr:rowOff>
                  </from>
                  <to>
                    <xdr:col>7</xdr:col>
                    <xdr:colOff>0</xdr:colOff>
                    <xdr:row>143</xdr:row>
                    <xdr:rowOff>0</xdr:rowOff>
                  </to>
                </anchor>
              </controlPr>
            </control>
          </mc:Choice>
        </mc:AlternateContent>
        <mc:AlternateContent xmlns:mc="http://schemas.openxmlformats.org/markup-compatibility/2006">
          <mc:Choice Requires="x14">
            <control shapeId="1026" r:id="rId4" name="Scroll Bar 2">
              <controlPr defaultSize="0" print="0" autoLine="0" autoPict="0" altText="">
                <anchor moveWithCells="1">
                  <from>
                    <xdr:col>2</xdr:col>
                    <xdr:colOff>19050</xdr:colOff>
                    <xdr:row>143</xdr:row>
                    <xdr:rowOff>23813</xdr:rowOff>
                  </from>
                  <to>
                    <xdr:col>7</xdr:col>
                    <xdr:colOff>0</xdr:colOff>
                    <xdr:row>144</xdr:row>
                    <xdr:rowOff>0</xdr:rowOff>
                  </to>
                </anchor>
              </controlPr>
            </control>
          </mc:Choice>
        </mc:AlternateContent>
        <mc:AlternateContent xmlns:mc="http://schemas.openxmlformats.org/markup-compatibility/2006">
          <mc:Choice Requires="x14">
            <control shapeId="1027" r:id="rId5" name="Scroll Bar 3">
              <controlPr defaultSize="0" print="0" autoLine="0" autoPict="0" altText="">
                <anchor moveWithCells="1">
                  <from>
                    <xdr:col>2</xdr:col>
                    <xdr:colOff>19050</xdr:colOff>
                    <xdr:row>144</xdr:row>
                    <xdr:rowOff>23813</xdr:rowOff>
                  </from>
                  <to>
                    <xdr:col>7</xdr:col>
                    <xdr:colOff>0</xdr:colOff>
                    <xdr:row>145</xdr:row>
                    <xdr:rowOff>0</xdr:rowOff>
                  </to>
                </anchor>
              </controlPr>
            </control>
          </mc:Choice>
        </mc:AlternateContent>
        <mc:AlternateContent xmlns:mc="http://schemas.openxmlformats.org/markup-compatibility/2006">
          <mc:Choice Requires="x14">
            <control shapeId="1028" r:id="rId6" name="Scroll Bar 4">
              <controlPr defaultSize="0" print="0" autoLine="0" autoPict="0" altText="">
                <anchor moveWithCells="1">
                  <from>
                    <xdr:col>2</xdr:col>
                    <xdr:colOff>19050</xdr:colOff>
                    <xdr:row>145</xdr:row>
                    <xdr:rowOff>23813</xdr:rowOff>
                  </from>
                  <to>
                    <xdr:col>7</xdr:col>
                    <xdr:colOff>0</xdr:colOff>
                    <xdr:row>146</xdr:row>
                    <xdr:rowOff>0</xdr:rowOff>
                  </to>
                </anchor>
              </controlPr>
            </control>
          </mc:Choice>
        </mc:AlternateContent>
        <mc:AlternateContent xmlns:mc="http://schemas.openxmlformats.org/markup-compatibility/2006">
          <mc:Choice Requires="x14">
            <control shapeId="1029" r:id="rId7" name="Scroll Bar 5">
              <controlPr defaultSize="0" print="0" autoLine="0" autoPict="0" altText="">
                <anchor moveWithCells="1">
                  <from>
                    <xdr:col>2</xdr:col>
                    <xdr:colOff>19050</xdr:colOff>
                    <xdr:row>146</xdr:row>
                    <xdr:rowOff>23813</xdr:rowOff>
                  </from>
                  <to>
                    <xdr:col>7</xdr:col>
                    <xdr:colOff>0</xdr:colOff>
                    <xdr:row>147</xdr:row>
                    <xdr:rowOff>0</xdr:rowOff>
                  </to>
                </anchor>
              </controlPr>
            </control>
          </mc:Choice>
        </mc:AlternateContent>
        <mc:AlternateContent xmlns:mc="http://schemas.openxmlformats.org/markup-compatibility/2006">
          <mc:Choice Requires="x14">
            <control shapeId="1030" r:id="rId8" name="Scroll Bar 6">
              <controlPr defaultSize="0" print="0" autoLine="0" autoPict="0" altText="">
                <anchor moveWithCells="1">
                  <from>
                    <xdr:col>2</xdr:col>
                    <xdr:colOff>19050</xdr:colOff>
                    <xdr:row>147</xdr:row>
                    <xdr:rowOff>23813</xdr:rowOff>
                  </from>
                  <to>
                    <xdr:col>7</xdr:col>
                    <xdr:colOff>0</xdr:colOff>
                    <xdr:row>148</xdr:row>
                    <xdr:rowOff>0</xdr:rowOff>
                  </to>
                </anchor>
              </controlPr>
            </control>
          </mc:Choice>
        </mc:AlternateContent>
        <mc:AlternateContent xmlns:mc="http://schemas.openxmlformats.org/markup-compatibility/2006">
          <mc:Choice Requires="x14">
            <control shapeId="1031" r:id="rId9" name="Scroll Bar 7">
              <controlPr defaultSize="0" print="0" autoLine="0" autoPict="0" altText="">
                <anchor moveWithCells="1">
                  <from>
                    <xdr:col>2</xdr:col>
                    <xdr:colOff>19050</xdr:colOff>
                    <xdr:row>148</xdr:row>
                    <xdr:rowOff>23813</xdr:rowOff>
                  </from>
                  <to>
                    <xdr:col>7</xdr:col>
                    <xdr:colOff>0</xdr:colOff>
                    <xdr:row>149</xdr:row>
                    <xdr:rowOff>0</xdr:rowOff>
                  </to>
                </anchor>
              </controlPr>
            </control>
          </mc:Choice>
        </mc:AlternateContent>
        <mc:AlternateContent xmlns:mc="http://schemas.openxmlformats.org/markup-compatibility/2006">
          <mc:Choice Requires="x14">
            <control shapeId="1032" r:id="rId10" name="Scroll Bar 8">
              <controlPr defaultSize="0" print="0" autoLine="0" autoPict="0" altText="">
                <anchor moveWithCells="1">
                  <from>
                    <xdr:col>2</xdr:col>
                    <xdr:colOff>19050</xdr:colOff>
                    <xdr:row>150</xdr:row>
                    <xdr:rowOff>23813</xdr:rowOff>
                  </from>
                  <to>
                    <xdr:col>7</xdr:col>
                    <xdr:colOff>0</xdr:colOff>
                    <xdr:row>151</xdr:row>
                    <xdr:rowOff>0</xdr:rowOff>
                  </to>
                </anchor>
              </controlPr>
            </control>
          </mc:Choice>
        </mc:AlternateContent>
        <mc:AlternateContent xmlns:mc="http://schemas.openxmlformats.org/markup-compatibility/2006">
          <mc:Choice Requires="x14">
            <control shapeId="1033" r:id="rId11" name="Scroll Bar 9">
              <controlPr defaultSize="0" print="0" autoLine="0" autoPict="0" altText="">
                <anchor moveWithCells="1">
                  <from>
                    <xdr:col>2</xdr:col>
                    <xdr:colOff>19050</xdr:colOff>
                    <xdr:row>151</xdr:row>
                    <xdr:rowOff>23813</xdr:rowOff>
                  </from>
                  <to>
                    <xdr:col>7</xdr:col>
                    <xdr:colOff>0</xdr:colOff>
                    <xdr:row>152</xdr:row>
                    <xdr:rowOff>0</xdr:rowOff>
                  </to>
                </anchor>
              </controlPr>
            </control>
          </mc:Choice>
        </mc:AlternateContent>
        <mc:AlternateContent xmlns:mc="http://schemas.openxmlformats.org/markup-compatibility/2006">
          <mc:Choice Requires="x14">
            <control shapeId="1034" r:id="rId12" name="Scroll Bar 10">
              <controlPr defaultSize="0" print="0" autoLine="0" autoPict="0" altText="">
                <anchor moveWithCells="1">
                  <from>
                    <xdr:col>2</xdr:col>
                    <xdr:colOff>19050</xdr:colOff>
                    <xdr:row>152</xdr:row>
                    <xdr:rowOff>23813</xdr:rowOff>
                  </from>
                  <to>
                    <xdr:col>7</xdr:col>
                    <xdr:colOff>0</xdr:colOff>
                    <xdr:row>153</xdr:row>
                    <xdr:rowOff>0</xdr:rowOff>
                  </to>
                </anchor>
              </controlPr>
            </control>
          </mc:Choice>
        </mc:AlternateContent>
        <mc:AlternateContent xmlns:mc="http://schemas.openxmlformats.org/markup-compatibility/2006">
          <mc:Choice Requires="x14">
            <control shapeId="1035" r:id="rId13" name="Scroll Bar 11">
              <controlPr defaultSize="0" print="0" autoLine="0" autoPict="0" altText="">
                <anchor moveWithCells="1">
                  <from>
                    <xdr:col>2</xdr:col>
                    <xdr:colOff>19050</xdr:colOff>
                    <xdr:row>153</xdr:row>
                    <xdr:rowOff>23813</xdr:rowOff>
                  </from>
                  <to>
                    <xdr:col>7</xdr:col>
                    <xdr:colOff>0</xdr:colOff>
                    <xdr:row>154</xdr:row>
                    <xdr:rowOff>0</xdr:rowOff>
                  </to>
                </anchor>
              </controlPr>
            </control>
          </mc:Choice>
        </mc:AlternateContent>
        <mc:AlternateContent xmlns:mc="http://schemas.openxmlformats.org/markup-compatibility/2006">
          <mc:Choice Requires="x14">
            <control shapeId="1036" r:id="rId14" name="Scroll Bar 12">
              <controlPr defaultSize="0" print="0" autoLine="0" autoPict="0" altText="">
                <anchor moveWithCells="1">
                  <from>
                    <xdr:col>2</xdr:col>
                    <xdr:colOff>19050</xdr:colOff>
                    <xdr:row>154</xdr:row>
                    <xdr:rowOff>23813</xdr:rowOff>
                  </from>
                  <to>
                    <xdr:col>7</xdr:col>
                    <xdr:colOff>0</xdr:colOff>
                    <xdr:row>155</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6305B"/>
  </sheetPr>
  <dimension ref="A1:L216"/>
  <sheetViews>
    <sheetView showGridLines="0" topLeftCell="A5" zoomScale="66" zoomScaleNormal="100" workbookViewId="0">
      <selection activeCell="F9" sqref="F9"/>
    </sheetView>
  </sheetViews>
  <sheetFormatPr defaultColWidth="8.6640625" defaultRowHeight="14.25" x14ac:dyDescent="0.45"/>
  <cols>
    <col min="1" max="1" width="22.46484375" customWidth="1"/>
    <col min="2" max="2" width="11.46484375" customWidth="1"/>
    <col min="3" max="3" width="12.6640625" customWidth="1"/>
    <col min="4" max="4" width="12" customWidth="1"/>
    <col min="5" max="5" width="11.46484375" customWidth="1"/>
    <col min="6" max="6" width="13.6640625" customWidth="1"/>
    <col min="7" max="7" width="12.6640625" customWidth="1"/>
    <col min="8" max="8" width="13.6640625" customWidth="1"/>
    <col min="9" max="9" width="12" customWidth="1"/>
    <col min="10" max="10" width="13.6640625" customWidth="1"/>
    <col min="11" max="11" width="12" customWidth="1"/>
    <col min="12" max="12" width="36" customWidth="1"/>
  </cols>
  <sheetData>
    <row r="1" spans="1:12" ht="37.5" customHeight="1" x14ac:dyDescent="0.45">
      <c r="A1" s="167" t="s">
        <v>375</v>
      </c>
      <c r="B1" s="167"/>
      <c r="C1" s="167"/>
      <c r="D1" s="167"/>
      <c r="E1" s="167"/>
      <c r="F1" s="167"/>
      <c r="G1" s="167"/>
      <c r="H1" s="167"/>
      <c r="I1" s="167"/>
      <c r="J1" s="167"/>
      <c r="K1" s="167"/>
      <c r="L1" s="167"/>
    </row>
    <row r="2" spans="1:12" ht="36" customHeight="1" x14ac:dyDescent="0.45">
      <c r="A2" s="327" t="s">
        <v>1840</v>
      </c>
      <c r="B2" s="327"/>
      <c r="C2" s="327"/>
      <c r="D2" s="327"/>
      <c r="E2" s="327"/>
      <c r="F2" s="327"/>
      <c r="G2" s="327"/>
      <c r="H2" s="327"/>
      <c r="I2" s="327"/>
      <c r="J2" s="327"/>
      <c r="K2" s="327"/>
      <c r="L2" s="327"/>
    </row>
    <row r="4" spans="1:12" ht="24" customHeight="1" x14ac:dyDescent="0.45">
      <c r="A4" s="334" t="s">
        <v>1841</v>
      </c>
      <c r="B4" s="334"/>
      <c r="C4" s="334"/>
      <c r="D4" s="334"/>
      <c r="E4" s="334"/>
      <c r="F4" s="334"/>
      <c r="G4" s="334"/>
      <c r="H4" s="334"/>
      <c r="I4" s="334"/>
      <c r="J4" s="334"/>
      <c r="K4" s="334"/>
      <c r="L4" s="334"/>
    </row>
    <row r="5" spans="1:11" ht="59.25" customHeight="1" x14ac:dyDescent="0.45">
      <c r="A5" s="2" t="s">
        <v>200</v>
      </c>
      <c r="B5" s="2" t="s">
        <v>105</v>
      </c>
      <c r="C5" s="2" t="s">
        <v>201</v>
      </c>
      <c r="D5" s="2" t="s">
        <v>378</v>
      </c>
      <c r="E5" s="2" t="s">
        <v>379</v>
      </c>
      <c r="F5" s="2" t="s">
        <v>209</v>
      </c>
      <c r="G5" s="2" t="s">
        <v>208</v>
      </c>
      <c r="H5" s="2" t="s">
        <v>210</v>
      </c>
      <c r="I5" s="2" t="s">
        <v>211</v>
      </c>
      <c r="J5" s="2" t="s">
        <v>380</v>
      </c>
      <c r="K5" s="2" t="s">
        <v>381</v>
      </c>
    </row>
    <row r="6" spans="1:11" ht="18" customHeight="1" x14ac:dyDescent="0.45">
      <c r="A6" s="39" t="s">
        <v>382</v>
      </c>
      <c r="B6" s="40" t="s">
        <v>219</v>
      </c>
      <c r="C6" s="41" t="s">
        <v>84</v>
      </c>
      <c r="D6" s="41" t="s">
        <v>84</v>
      </c>
      <c r="E6" s="41" t="s">
        <v>84</v>
      </c>
      <c r="F6" s="41" t="s">
        <v>84</v>
      </c>
      <c r="G6" s="41" t="s">
        <v>84</v>
      </c>
      <c r="H6" s="41" t="s">
        <v>84</v>
      </c>
      <c r="I6" s="45">
        <f>$B$76</f>
        <v>-0.025</v>
      </c>
      <c r="J6" s="93" t="s">
        <v>84</v>
      </c>
      <c r="K6" s="93" t="s">
        <v>84</v>
      </c>
    </row>
    <row r="7" spans="1:11" ht="18" customHeight="1" x14ac:dyDescent="0.45">
      <c r="A7" s="50"/>
      <c r="B7" s="40" t="s">
        <v>220</v>
      </c>
      <c r="C7" s="42">
        <v>0</v>
      </c>
      <c r="D7" s="42">
        <v>0.15</v>
      </c>
      <c r="E7" s="42">
        <v>0.03</v>
      </c>
      <c r="F7" s="42">
        <v>0.22</v>
      </c>
      <c r="G7" s="51">
        <f>(1+C7+$B$78)*(1+D7+$B$79)*(1+E7+$B$80)*(1+$B$77)-1</f>
        <v>0.172655</v>
      </c>
      <c r="H7" s="52">
        <f>G7-(F7+$B$81)</f>
        <v>-0.0673450000000002</v>
      </c>
      <c r="I7" s="52">
        <f>(1+I6)*(1+G7)/(1+F7+$B$81)-1</f>
        <v>-0.0779527217741938</v>
      </c>
      <c r="J7" s="94">
        <f>'01-DRAM-Model'!J25</f>
        <v>0.184989030804026</v>
      </c>
      <c r="K7" s="95">
        <f>IF(J7&lt;=0,"n/a",G7/J7)</f>
        <v>0.93332560990012</v>
      </c>
    </row>
    <row r="8" spans="1:11" ht="18" customHeight="1" x14ac:dyDescent="0.45">
      <c r="A8" s="50"/>
      <c r="B8" s="40" t="s">
        <v>79</v>
      </c>
      <c r="C8" s="42">
        <v>0.02</v>
      </c>
      <c r="D8" s="324">
        <f>'11-v4.2-Recalibration'!$F$40</f>
        <v>0.14</v>
      </c>
      <c r="E8" s="42">
        <v>0.04</v>
      </c>
      <c r="F8" s="324">
        <f>'11-v4.2-Recalibration'!$J$40</f>
        <v>0.28</v>
      </c>
      <c r="G8" s="51">
        <f>(1+C8+$B$78)*(1+D8+$B$79)*(1+E8+$B$80)*(1+$B$77)-1</f>
        <v>0.197456</v>
      </c>
      <c r="H8" s="52">
        <f>G8-(F8+$B$81)</f>
        <v>-0.102544</v>
      </c>
      <c r="I8" s="52">
        <f>(1+I7)*(1+G8)/(1+F8+$B$81)-1</f>
        <v>-0.150683811080645</v>
      </c>
      <c r="J8" s="94">
        <f>'01-DRAM-Model'!J26</f>
        <v>0.228607623205902</v>
      </c>
      <c r="K8" s="95">
        <f>IF(J8&lt;=0,"n/a",G8/J8)</f>
        <v>0.863733226525678</v>
      </c>
    </row>
    <row r="9" spans="1:11" ht="18" customHeight="1" x14ac:dyDescent="0.45">
      <c r="A9" s="50"/>
      <c r="B9" s="40" t="s">
        <v>80</v>
      </c>
      <c r="C9" s="324">
        <f>'11-v4.2-Recalibration'!$D$44</f>
        <v>0.05</v>
      </c>
      <c r="D9" s="324">
        <f>'11-v4.2-Recalibration'!$F$44</f>
        <v>0.13</v>
      </c>
      <c r="E9" s="42">
        <v>0.04</v>
      </c>
      <c r="F9" s="324">
        <f>'11-v4.2-Recalibration'!$J$44</f>
        <v>0.28</v>
      </c>
      <c r="G9" s="51">
        <f>(1+C9+$B$78)*(1+D9+$B$79)*(1+E9+$B$80)*(1+$B$77)-1</f>
        <v>0.222208</v>
      </c>
      <c r="H9" s="52">
        <f>G9-(F9+$B$81)</f>
        <v>-0.077792</v>
      </c>
      <c r="I9" s="52">
        <f>(1+I8)*(1+G9)/(1+F9+$B$81)-1</f>
        <v>-0.201506891825579</v>
      </c>
      <c r="J9" s="94">
        <f>'01-DRAM-Model'!J27</f>
        <v>0.228868404489045</v>
      </c>
      <c r="K9" s="95">
        <f>IF(J9&lt;=0,"n/a",G9/J9)</f>
        <v>0.97089854100257</v>
      </c>
    </row>
    <row r="10" spans="1:12" ht="17.25" customHeight="1" x14ac:dyDescent="0.45">
      <c r="A10" s="187" t="s">
        <v>383</v>
      </c>
      <c r="B10" s="187"/>
      <c r="C10" s="187"/>
      <c r="D10" s="187"/>
      <c r="E10" s="187"/>
      <c r="F10" s="187"/>
      <c r="G10" s="187"/>
      <c r="H10" s="187"/>
      <c r="I10" s="187"/>
      <c r="J10" s="187"/>
      <c r="K10" s="187"/>
      <c r="L10" s="187"/>
    </row>
    <row r="11" spans="1:11" ht="18" customHeight="1" x14ac:dyDescent="0.45">
      <c r="A11" s="39" t="s">
        <v>384</v>
      </c>
      <c r="B11" s="40" t="s">
        <v>219</v>
      </c>
      <c r="C11" s="41" t="s">
        <v>84</v>
      </c>
      <c r="D11" s="41" t="s">
        <v>84</v>
      </c>
      <c r="E11" s="41" t="s">
        <v>84</v>
      </c>
      <c r="F11" s="41" t="s">
        <v>84</v>
      </c>
      <c r="G11" s="41" t="s">
        <v>84</v>
      </c>
      <c r="H11" s="41" t="s">
        <v>84</v>
      </c>
      <c r="I11" s="45">
        <f>$B$76</f>
        <v>-0.025</v>
      </c>
      <c r="J11" s="93" t="s">
        <v>84</v>
      </c>
      <c r="K11" s="93" t="s">
        <v>84</v>
      </c>
    </row>
    <row r="12" spans="1:11" ht="18" customHeight="1" x14ac:dyDescent="0.45">
      <c r="A12" s="50"/>
      <c r="B12" s="40" t="s">
        <v>220</v>
      </c>
      <c r="C12" s="42">
        <v>0</v>
      </c>
      <c r="D12" s="42">
        <v>0.15</v>
      </c>
      <c r="E12" s="42">
        <v>0.03</v>
      </c>
      <c r="F12" s="42">
        <v>0.22</v>
      </c>
      <c r="G12" s="51">
        <f>(1+C12+$B$78)*(1+D12+$B$79)*(1+E12+$B$80)*(1+$B$77)-1</f>
        <v>0.172655</v>
      </c>
      <c r="H12" s="52">
        <f>G12-(F12+$B$81)</f>
        <v>-0.0673450000000002</v>
      </c>
      <c r="I12" s="52">
        <f>(1+I11)*(1+G12)/(1+F12+$B$81)-1</f>
        <v>-0.0779527217741938</v>
      </c>
      <c r="J12" s="94">
        <f>'01-DRAM-Model'!J25</f>
        <v>0.184989030804026</v>
      </c>
      <c r="K12" s="95">
        <f>IF(J12&lt;=0,"n/a",G12/J12)</f>
        <v>0.93332560990012</v>
      </c>
    </row>
    <row r="13" spans="1:11" ht="18" customHeight="1" x14ac:dyDescent="0.45">
      <c r="A13" s="50"/>
      <c r="B13" s="40" t="s">
        <v>79</v>
      </c>
      <c r="C13" s="42">
        <v>0.04</v>
      </c>
      <c r="D13" s="324">
        <f>'11-v4.2-Recalibration'!$F$41</f>
        <v>0.16</v>
      </c>
      <c r="E13" s="42">
        <v>0.05</v>
      </c>
      <c r="F13" s="324">
        <f>'11-v4.2-Recalibration'!$J$41</f>
        <v>0.24</v>
      </c>
      <c r="G13" s="51">
        <f>(1+C13+$B$78)*(1+D13+$B$79)*(1+E13+$B$80)*(1+$B$77)-1</f>
        <v>0.25454</v>
      </c>
      <c r="H13" s="52">
        <f>G13-(F13+$B$81)</f>
        <v>-0.00546000000000002</v>
      </c>
      <c r="I13" s="52">
        <f>(1+I12)*(1+G13)/(1+F13+$B$81)-1</f>
        <v>-0.081948259979839</v>
      </c>
      <c r="J13" s="94">
        <f>'01-DRAM-Model'!J26</f>
        <v>0.228607623205902</v>
      </c>
      <c r="K13" s="95">
        <f>IF(J13&lt;=0,"n/a",G13/J13)</f>
        <v>1.11343618568109</v>
      </c>
    </row>
    <row r="14" spans="1:11" ht="18" customHeight="1" x14ac:dyDescent="0.45">
      <c r="A14" s="50"/>
      <c r="B14" s="40" t="s">
        <v>80</v>
      </c>
      <c r="C14" s="324">
        <f>'11-v4.2-Recalibration'!$D$45</f>
        <v>0.08</v>
      </c>
      <c r="D14" s="324">
        <f>'11-v4.2-Recalibration'!$F$45</f>
        <v>0.15</v>
      </c>
      <c r="E14" s="42">
        <v>0.05</v>
      </c>
      <c r="F14" s="324">
        <f>'11-v4.2-Recalibration'!$J$45</f>
        <v>0.22</v>
      </c>
      <c r="G14" s="51">
        <f>(1+C14+$B$78)*(1+D14+$B$79)*(1+E14+$B$80)*(1+$B$77)-1</f>
        <v>0.292025</v>
      </c>
      <c r="H14" s="52">
        <f>G14-(F14+$B$81)</f>
        <v>0.052025</v>
      </c>
      <c r="I14" s="52">
        <f>(1+I13)*(1+G14)/(1+F14+$B$81)-1</f>
        <v>-0.0434308069358479</v>
      </c>
      <c r="J14" s="94">
        <f>'01-DRAM-Model'!J27</f>
        <v>0.228868404489045</v>
      </c>
      <c r="K14" s="95">
        <f>IF(J14&lt;=0,"n/a",G14/J14)</f>
        <v>1.27595156986371</v>
      </c>
    </row>
    <row r="15" spans="1:12" ht="28.5" customHeight="1" x14ac:dyDescent="0.45">
      <c r="A15" s="335" t="s">
        <v>1842</v>
      </c>
      <c r="B15" s="335"/>
      <c r="C15" s="335"/>
      <c r="D15" s="335"/>
      <c r="E15" s="335"/>
      <c r="F15" s="335"/>
      <c r="G15" s="335"/>
      <c r="H15" s="335"/>
      <c r="I15" s="335"/>
      <c r="J15" s="335"/>
      <c r="K15" s="335"/>
      <c r="L15" s="335"/>
    </row>
    <row r="16" spans="1:11" ht="18" customHeight="1" x14ac:dyDescent="0.45">
      <c r="A16" s="39" t="s">
        <v>386</v>
      </c>
      <c r="B16" s="40" t="s">
        <v>219</v>
      </c>
      <c r="C16" s="41" t="s">
        <v>84</v>
      </c>
      <c r="D16" s="41" t="s">
        <v>84</v>
      </c>
      <c r="E16" s="41" t="s">
        <v>84</v>
      </c>
      <c r="F16" s="41" t="s">
        <v>84</v>
      </c>
      <c r="G16" s="41" t="s">
        <v>84</v>
      </c>
      <c r="H16" s="41" t="s">
        <v>84</v>
      </c>
      <c r="I16" s="45">
        <f>$B$76</f>
        <v>-0.025</v>
      </c>
      <c r="J16" s="93" t="s">
        <v>84</v>
      </c>
      <c r="K16" s="93" t="s">
        <v>84</v>
      </c>
    </row>
    <row r="17" spans="1:11" ht="18" customHeight="1" x14ac:dyDescent="0.45">
      <c r="A17" s="50"/>
      <c r="B17" s="40" t="s">
        <v>220</v>
      </c>
      <c r="C17" s="42">
        <v>0</v>
      </c>
      <c r="D17" s="42">
        <v>0.15</v>
      </c>
      <c r="E17" s="42">
        <v>0.03</v>
      </c>
      <c r="F17" s="42">
        <v>0.2</v>
      </c>
      <c r="G17" s="51">
        <f>(1+C17+$B$78)*(1+D17+$B$79)*(1+E17+$B$80)*(1+$B$77)-1</f>
        <v>0.172655</v>
      </c>
      <c r="H17" s="52">
        <f>G17-(F17+$B$81)</f>
        <v>-0.0473450000000002</v>
      </c>
      <c r="I17" s="52">
        <f>(1+I16)*(1+G17)/(1+F17+$B$81)-1</f>
        <v>-0.0628371926229511</v>
      </c>
      <c r="J17" s="94">
        <f>'01-DRAM-Model'!J25</f>
        <v>0.184989030804026</v>
      </c>
      <c r="K17" s="95">
        <f>IF(J17&lt;=0,"n/a",G17/J17)</f>
        <v>0.93332560990012</v>
      </c>
    </row>
    <row r="18" spans="1:11" ht="18" customHeight="1" x14ac:dyDescent="0.45">
      <c r="A18" s="50"/>
      <c r="B18" s="40" t="s">
        <v>79</v>
      </c>
      <c r="C18" s="42">
        <v>0.06</v>
      </c>
      <c r="D18" s="324">
        <f>'11-v4.2-Recalibration'!$F$42</f>
        <v>0.19</v>
      </c>
      <c r="E18" s="42">
        <v>7.0000000000000007E-2</v>
      </c>
      <c r="F18" s="324">
        <f>'11-v4.2-Recalibration'!$J$42</f>
        <v>0.2</v>
      </c>
      <c r="G18" s="51">
        <f>(1+C18+$B$78)*(1+D18+$B$79)*(1+E18+$B$80)*(1+$B$77)-1</f>
        <v>0.336965</v>
      </c>
      <c r="H18" s="52">
        <f>G18-(F18+$B$81)</f>
        <v>0.116965</v>
      </c>
      <c r="I18" s="52">
        <f>(1+I17)*(1+G18)/(1+F18+$B$81)-1</f>
        <v>0.0270113711187348</v>
      </c>
      <c r="J18" s="94">
        <f>'01-DRAM-Model'!J26</f>
        <v>0.228607623205902</v>
      </c>
      <c r="K18" s="95">
        <f>IF(J18&lt;=0,"n/a",G18/J18)</f>
        <v>1.47398846667726</v>
      </c>
    </row>
    <row r="19" spans="1:11" ht="18" customHeight="1" x14ac:dyDescent="0.45">
      <c r="A19" s="50"/>
      <c r="B19" s="40" t="s">
        <v>80</v>
      </c>
      <c r="C19" s="324">
        <f>'11-v4.2-Recalibration'!$D$46</f>
        <v>0.12</v>
      </c>
      <c r="D19" s="324">
        <f>'11-v4.2-Recalibration'!$F$46</f>
        <v>0.18</v>
      </c>
      <c r="E19" s="42">
        <v>0.06</v>
      </c>
      <c r="F19" s="324">
        <f>'11-v4.2-Recalibration'!$J$46</f>
        <v>0.16</v>
      </c>
      <c r="G19" s="51">
        <f>(1+C19+$B$78)*(1+D19+$B$79)*(1+E19+$B$80)*(1+$B$77)-1</f>
        <v>0.388388</v>
      </c>
      <c r="H19" s="52">
        <f>G19-(F19+$B$81)</f>
        <v>0.208388</v>
      </c>
      <c r="I19" s="52">
        <f>(1+I18)*(1+G19)/(1+F19+$B$81)-1</f>
        <v>0.208381579258303</v>
      </c>
      <c r="J19" s="94">
        <f>'01-DRAM-Model'!J27</f>
        <v>0.228868404489045</v>
      </c>
      <c r="K19" s="95">
        <f>IF(J19&lt;=0,"n/a",G19/J19)</f>
        <v>1.69699264897261</v>
      </c>
    </row>
    <row r="20" spans="1:12" ht="17.25" customHeight="1" x14ac:dyDescent="0.45">
      <c r="A20" s="187" t="s">
        <v>387</v>
      </c>
      <c r="B20" s="187"/>
      <c r="C20" s="187"/>
      <c r="D20" s="187"/>
      <c r="E20" s="187"/>
      <c r="F20" s="187"/>
      <c r="G20" s="187"/>
      <c r="H20" s="187"/>
      <c r="I20" s="187"/>
      <c r="J20" s="187"/>
      <c r="K20" s="187"/>
      <c r="L20" s="187"/>
    </row>
    <row r="21" spans="1:11" ht="18" customHeight="1" x14ac:dyDescent="0.45">
      <c r="A21" s="39" t="s">
        <v>388</v>
      </c>
      <c r="B21" s="40" t="s">
        <v>219</v>
      </c>
      <c r="C21" s="41" t="s">
        <v>84</v>
      </c>
      <c r="D21" s="41" t="s">
        <v>84</v>
      </c>
      <c r="E21" s="41" t="s">
        <v>84</v>
      </c>
      <c r="F21" s="41" t="s">
        <v>84</v>
      </c>
      <c r="G21" s="41" t="s">
        <v>84</v>
      </c>
      <c r="H21" s="41" t="s">
        <v>84</v>
      </c>
      <c r="I21" s="45">
        <f>$B$76</f>
        <v>-0.025</v>
      </c>
      <c r="J21" s="93" t="s">
        <v>84</v>
      </c>
      <c r="K21" s="93" t="s">
        <v>84</v>
      </c>
    </row>
    <row r="22" spans="1:11" ht="18" customHeight="1" x14ac:dyDescent="0.45">
      <c r="A22" s="50"/>
      <c r="B22" s="40" t="s">
        <v>220</v>
      </c>
      <c r="C22" s="42">
        <v>0</v>
      </c>
      <c r="D22" s="42">
        <v>0.15</v>
      </c>
      <c r="E22" s="42">
        <v>0.03</v>
      </c>
      <c r="F22" s="42">
        <v>0.18</v>
      </c>
      <c r="G22" s="51">
        <f>(1+C22+$B$78)*(1+D22+$B$79)*(1+E22+$B$80)*(1+$B$77)-1</f>
        <v>0.172655</v>
      </c>
      <c r="H22" s="52">
        <f>G22-(F22+$B$81)</f>
        <v>-0.0273450000000002</v>
      </c>
      <c r="I22" s="52">
        <f>(1+I21)*(1+G22)/(1+F22+$B$81)-1</f>
        <v>-0.0472178125000002</v>
      </c>
      <c r="J22" s="94">
        <f>'01-DRAM-Model'!J25</f>
        <v>0.184989030804026</v>
      </c>
      <c r="K22" s="95">
        <f>IF(J22&lt;=0,"n/a",G22/J22)</f>
        <v>0.93332560990012</v>
      </c>
    </row>
    <row r="23" spans="1:11" ht="18" customHeight="1" x14ac:dyDescent="0.45">
      <c r="A23" s="50"/>
      <c r="B23" s="40" t="s">
        <v>79</v>
      </c>
      <c r="C23" s="42">
        <v>0.08</v>
      </c>
      <c r="D23" s="324">
        <f>'11-v4.2-Recalibration'!$F$43</f>
        <v>0.22</v>
      </c>
      <c r="E23" s="42">
        <v>0.08</v>
      </c>
      <c r="F23" s="324">
        <f>'11-v4.2-Recalibration'!$J$43</f>
        <v>0.16</v>
      </c>
      <c r="G23" s="51">
        <f>(1+C23+$B$78)*(1+D23+$B$79)*(1+E23+$B$80)*(1+$B$77)-1</f>
        <v>0.409832</v>
      </c>
      <c r="H23" s="52">
        <f>G23-(F23+$B$81)</f>
        <v>0.229832</v>
      </c>
      <c r="I23" s="52">
        <f>(1+I22)*(1+G23)/(1+F23+$B$81)-1</f>
        <v>0.138358319463983</v>
      </c>
      <c r="J23" s="94">
        <f>'01-DRAM-Model'!J26</f>
        <v>0.228607623205902</v>
      </c>
      <c r="K23" s="95">
        <f>IF(J23&lt;=0,"n/a",G23/J23)</f>
        <v>1.79273111829203</v>
      </c>
    </row>
    <row r="24" spans="1:11" ht="18" customHeight="1" x14ac:dyDescent="0.45">
      <c r="A24" s="50"/>
      <c r="B24" s="40" t="s">
        <v>80</v>
      </c>
      <c r="C24" s="324">
        <f>'11-v4.2-Recalibration'!$D$47</f>
        <v>0.16</v>
      </c>
      <c r="D24" s="324">
        <f>'11-v4.2-Recalibration'!$F$47</f>
        <v>0.2</v>
      </c>
      <c r="E24" s="42">
        <v>7.0000000000000007E-2</v>
      </c>
      <c r="F24" s="324">
        <f>'11-v4.2-Recalibration'!$J$47</f>
        <v>0.12</v>
      </c>
      <c r="G24" s="51">
        <f>(1+C24+$B$78)*(1+D24+$B$79)*(1+E24+$B$80)*(1+$B$77)-1</f>
        <v>0.4766</v>
      </c>
      <c r="H24" s="52">
        <f>G24-(F24+$B$81)</f>
        <v>0.3366</v>
      </c>
      <c r="I24" s="52">
        <f>(1+I23)*(1+G24)/(1+F24+$B$81)-1</f>
        <v>0.474473591684664</v>
      </c>
      <c r="J24" s="94">
        <f>'01-DRAM-Model'!J27</f>
        <v>0.228868404489045</v>
      </c>
      <c r="K24" s="95">
        <f>IF(J24&lt;=0,"n/a",G24/J24)</f>
        <v>2.08241937572826</v>
      </c>
    </row>
    <row r="25" spans="1:12" ht="28.5" customHeight="1" x14ac:dyDescent="0.45">
      <c r="A25" s="270" t="s">
        <v>1303</v>
      </c>
      <c r="B25" s="270"/>
      <c r="C25" s="270"/>
      <c r="D25" s="270"/>
      <c r="E25" s="270"/>
      <c r="F25" s="270"/>
      <c r="G25" s="270"/>
      <c r="H25" s="270"/>
      <c r="I25" s="270"/>
      <c r="J25" s="270"/>
      <c r="K25" s="270"/>
      <c r="L25" s="270"/>
    </row>
    <row r="26" spans="1:12" ht="45" customHeight="1" x14ac:dyDescent="0.45">
      <c r="A26" s="264" t="s">
        <v>1304</v>
      </c>
      <c r="B26" s="264"/>
      <c r="C26" s="264"/>
      <c r="D26" s="264"/>
      <c r="E26" s="264"/>
      <c r="F26" s="264"/>
      <c r="G26" s="264"/>
      <c r="H26" s="264"/>
      <c r="I26" s="264"/>
      <c r="J26" s="264"/>
      <c r="K26" s="264"/>
      <c r="L26" s="264"/>
    </row>
    <row r="28" spans="1:12" ht="24" customHeight="1" x14ac:dyDescent="0.45">
      <c r="A28" s="155" t="s">
        <v>391</v>
      </c>
      <c r="B28" s="155"/>
      <c r="C28" s="155"/>
      <c r="D28" s="155"/>
      <c r="E28" s="155"/>
      <c r="F28" s="155"/>
      <c r="G28" s="155"/>
      <c r="H28" s="155"/>
      <c r="I28" s="155"/>
      <c r="J28" s="155"/>
      <c r="K28" s="155"/>
      <c r="L28" s="155"/>
    </row>
    <row r="29" spans="1:7" ht="31.5" customHeight="1" x14ac:dyDescent="0.45">
      <c r="A29" s="2" t="s">
        <v>200</v>
      </c>
      <c r="B29" s="2" t="s">
        <v>232</v>
      </c>
      <c r="C29" s="2" t="s">
        <v>233</v>
      </c>
      <c r="D29" s="2" t="s">
        <v>78</v>
      </c>
      <c r="E29" s="2" t="s">
        <v>79</v>
      </c>
      <c r="F29" s="2" t="s">
        <v>80</v>
      </c>
      <c r="G29" s="2" t="s">
        <v>234</v>
      </c>
    </row>
    <row r="30" spans="1:7" ht="18" customHeight="1" x14ac:dyDescent="0.45">
      <c r="A30" s="9" t="s">
        <v>382</v>
      </c>
      <c r="B30" s="56">
        <f>$B$83</f>
        <v>0.24</v>
      </c>
      <c r="C30" s="57">
        <f>B30</f>
        <v>0.24</v>
      </c>
      <c r="D30" s="58">
        <f>H7</f>
        <v>-0.0673450000000002</v>
      </c>
      <c r="E30" s="58">
        <f>H8</f>
        <v>-0.102544</v>
      </c>
      <c r="F30" s="58">
        <f>H9</f>
        <v>-0.077792</v>
      </c>
      <c r="G30" s="59" t="str">
        <f>IF(D30&gt;0,"2026",IF(E30&gt;0,"2027",IF(F30&gt;0,"2028","not within 3 yrs")))</f>
        <v>not within 3 yrs</v>
      </c>
    </row>
    <row r="31" spans="1:7" ht="18" customHeight="1" x14ac:dyDescent="0.45">
      <c r="A31" s="9" t="s">
        <v>384</v>
      </c>
      <c r="B31" s="56">
        <f>$B$84</f>
        <v>0.44</v>
      </c>
      <c r="C31" s="57">
        <f>C30+B31</f>
        <v>0.68</v>
      </c>
      <c r="D31" s="60">
        <f>H12</f>
        <v>-0.0673450000000002</v>
      </c>
      <c r="E31" s="60">
        <f>H13</f>
        <v>-0.00546000000000002</v>
      </c>
      <c r="F31" s="60">
        <f>H14</f>
        <v>0.052025</v>
      </c>
      <c r="G31" s="59" t="str">
        <f>IF(D31&gt;0,"2026",IF(E31&gt;0,"2027",IF(F31&gt;0,"2028","not within 3 yrs")))</f>
        <v>2028</v>
      </c>
    </row>
    <row r="32" spans="1:7" ht="18" customHeight="1" x14ac:dyDescent="0.45">
      <c r="A32" s="9" t="s">
        <v>386</v>
      </c>
      <c r="B32" s="56">
        <f>$B$85</f>
        <v>0.27</v>
      </c>
      <c r="C32" s="57">
        <f>C31+B32</f>
        <v>0.95</v>
      </c>
      <c r="D32" s="58">
        <f>H17</f>
        <v>-0.0473450000000002</v>
      </c>
      <c r="E32" s="58">
        <f>H18</f>
        <v>0.116965</v>
      </c>
      <c r="F32" s="58">
        <f>H19</f>
        <v>0.208388</v>
      </c>
      <c r="G32" s="59" t="str">
        <f>IF(D32&gt;0,"2026",IF(E32&gt;0,"2027",IF(F32&gt;0,"2028","not within 3 yrs")))</f>
        <v>2027</v>
      </c>
    </row>
    <row r="33" spans="1:7" ht="18" customHeight="1" x14ac:dyDescent="0.45">
      <c r="A33" s="9" t="s">
        <v>388</v>
      </c>
      <c r="B33" s="56">
        <f>$B$86</f>
        <v>0.05</v>
      </c>
      <c r="C33" s="57">
        <f>C32+B33</f>
        <v>1</v>
      </c>
      <c r="D33" s="58">
        <f>H22</f>
        <v>-0.0273450000000002</v>
      </c>
      <c r="E33" s="58">
        <f>H23</f>
        <v>0.229832</v>
      </c>
      <c r="F33" s="58">
        <f>H24</f>
        <v>0.3366</v>
      </c>
      <c r="G33" s="59" t="str">
        <f>IF(D33&gt;0,"2026",IF(E33&gt;0,"2027",IF(F33&gt;0,"2028","not within 3 yrs")))</f>
        <v>2027</v>
      </c>
    </row>
    <row r="34" spans="1:7" ht="21" customHeight="1" x14ac:dyDescent="0.45">
      <c r="A34" s="61" t="s">
        <v>235</v>
      </c>
      <c r="B34" s="56">
        <f>SUM(B30:B33)</f>
        <v>1</v>
      </c>
      <c r="C34" s="62" t="s">
        <v>236</v>
      </c>
      <c r="D34" s="63">
        <f>SUMPRODUCT($B$30:$B$33,D30:D33)</f>
        <v>-0.0599450000000002</v>
      </c>
      <c r="E34" s="63">
        <f>SUMPRODUCT($B$30:$B$33,E30:E33)</f>
        <v>0.0160591900000001</v>
      </c>
      <c r="F34" s="63">
        <f>SUMPRODUCT($B$30:$B$33,F30:F33)</f>
        <v>0.07731568</v>
      </c>
      <c r="G34" s="59" t="str">
        <f>IF(D34&gt;0,"2026",IF(E34&gt;0,"2027",IF(F34&gt;0,"2028","not within 3 yrs")))</f>
        <v>2027</v>
      </c>
    </row>
    <row r="35" spans="1:7" ht="21" customHeight="1" x14ac:dyDescent="0.45">
      <c r="A35" s="61" t="s">
        <v>237</v>
      </c>
      <c r="B35" s="56">
        <f>SUM(B30:B33)</f>
        <v>1</v>
      </c>
      <c r="C35" s="62" t="s">
        <v>236</v>
      </c>
      <c r="D35" s="63">
        <f>INDEX(D30:D33,IFERROR(MATCH(0.5,$C$30:$C$33,1)+1,1))</f>
        <v>-0.0673450000000002</v>
      </c>
      <c r="E35" s="63">
        <f>INDEX(E30:E33,IFERROR(MATCH(0.5,$C$30:$C$33,1)+1,1))</f>
        <v>-0.00546000000000002</v>
      </c>
      <c r="F35" s="63">
        <f>INDEX(F30:F33,IFERROR(MATCH(0.5,$C$30:$C$33,1)+1,1))</f>
        <v>0.052025</v>
      </c>
      <c r="G35" s="59" t="str">
        <f>IF(D35&gt;0,"2026",IF(E35&gt;0,"2027",IF(F35&gt;0,"2028","not within 3 yrs")))</f>
        <v>2028</v>
      </c>
    </row>
    <row r="37" spans="1:12" ht="24" customHeight="1" x14ac:dyDescent="0.45">
      <c r="A37" s="155" t="s">
        <v>392</v>
      </c>
      <c r="B37" s="155"/>
      <c r="C37" s="155"/>
      <c r="D37" s="155"/>
      <c r="E37" s="155"/>
      <c r="F37" s="155"/>
      <c r="G37" s="155"/>
      <c r="H37" s="155"/>
      <c r="I37" s="155"/>
      <c r="J37" s="155"/>
      <c r="K37" s="155"/>
      <c r="L37" s="155"/>
    </row>
    <row r="38" spans="1:8" ht="31.5" customHeight="1" x14ac:dyDescent="0.45">
      <c r="A38" s="2" t="s">
        <v>200</v>
      </c>
      <c r="B38" s="2" t="s">
        <v>232</v>
      </c>
      <c r="C38" s="2" t="s">
        <v>233</v>
      </c>
      <c r="D38" s="2" t="s">
        <v>77</v>
      </c>
      <c r="E38" s="2" t="s">
        <v>78</v>
      </c>
      <c r="F38" s="2" t="s">
        <v>79</v>
      </c>
      <c r="G38" s="2" t="s">
        <v>80</v>
      </c>
      <c r="H38" s="2" t="s">
        <v>393</v>
      </c>
    </row>
    <row r="39" spans="1:8" ht="18" customHeight="1" x14ac:dyDescent="0.45">
      <c r="A39" s="9" t="s">
        <v>382</v>
      </c>
      <c r="B39" s="56">
        <f>B30</f>
        <v>0.24</v>
      </c>
      <c r="C39" s="57">
        <f>B39</f>
        <v>0.24</v>
      </c>
      <c r="D39" s="58">
        <f>I6</f>
        <v>-0.025</v>
      </c>
      <c r="E39" s="58">
        <f>I7</f>
        <v>-0.0779527217741938</v>
      </c>
      <c r="F39" s="58">
        <f>I8</f>
        <v>-0.150683811080645</v>
      </c>
      <c r="G39" s="58">
        <f>I9</f>
        <v>-0.201506891825579</v>
      </c>
      <c r="H39" s="59" t="str">
        <f>IF(F39&gt;0,"filled in 2027",IF(G39&gt;0,"filled in 2028","not filled in 3 yrs"))</f>
        <v>not filled in 3 yrs</v>
      </c>
    </row>
    <row r="40" spans="1:8" ht="18" customHeight="1" x14ac:dyDescent="0.45">
      <c r="A40" s="9" t="s">
        <v>384</v>
      </c>
      <c r="B40" s="56">
        <f>B31</f>
        <v>0.44</v>
      </c>
      <c r="C40" s="57">
        <f>C39+B40</f>
        <v>0.68</v>
      </c>
      <c r="D40" s="60">
        <f>I11</f>
        <v>-0.025</v>
      </c>
      <c r="E40" s="60">
        <f>I12</f>
        <v>-0.0779527217741938</v>
      </c>
      <c r="F40" s="60">
        <f>I13</f>
        <v>-0.081948259979839</v>
      </c>
      <c r="G40" s="60">
        <f>I14</f>
        <v>-0.0434308069358479</v>
      </c>
      <c r="H40" s="59" t="str">
        <f>IF(F40&gt;0,"filled in 2027",IF(G40&gt;0,"filled in 2028","not filled in 3 yrs"))</f>
        <v>not filled in 3 yrs</v>
      </c>
    </row>
    <row r="41" spans="1:8" ht="18" customHeight="1" x14ac:dyDescent="0.45">
      <c r="A41" s="9" t="s">
        <v>386</v>
      </c>
      <c r="B41" s="56">
        <f>B32</f>
        <v>0.27</v>
      </c>
      <c r="C41" s="57">
        <f>C40+B41</f>
        <v>0.95</v>
      </c>
      <c r="D41" s="58">
        <f>I16</f>
        <v>-0.025</v>
      </c>
      <c r="E41" s="58">
        <f>I17</f>
        <v>-0.0628371926229511</v>
      </c>
      <c r="F41" s="58">
        <f>I18</f>
        <v>0.0270113711187348</v>
      </c>
      <c r="G41" s="58">
        <f>I19</f>
        <v>0.208381579258303</v>
      </c>
      <c r="H41" s="59" t="str">
        <f>IF(F41&gt;0,"filled in 2027",IF(G41&gt;0,"filled in 2028","not filled in 3 yrs"))</f>
        <v>filled in 2027</v>
      </c>
    </row>
    <row r="42" spans="1:8" ht="18" customHeight="1" x14ac:dyDescent="0.45">
      <c r="A42" s="9" t="s">
        <v>388</v>
      </c>
      <c r="B42" s="56">
        <f>B33</f>
        <v>0.05</v>
      </c>
      <c r="C42" s="57">
        <f>C41+B42</f>
        <v>1</v>
      </c>
      <c r="D42" s="58">
        <f>I21</f>
        <v>-0.025</v>
      </c>
      <c r="E42" s="58">
        <f>I22</f>
        <v>-0.0472178125000002</v>
      </c>
      <c r="F42" s="58">
        <f>I23</f>
        <v>0.138358319463983</v>
      </c>
      <c r="G42" s="58">
        <f>I24</f>
        <v>0.474473591684664</v>
      </c>
      <c r="H42" s="59" t="str">
        <f>IF(F42&gt;0,"filled in 2027",IF(G42&gt;0,"filled in 2028","not filled in 3 yrs"))</f>
        <v>filled in 2027</v>
      </c>
    </row>
    <row r="43" spans="1:8" ht="21" customHeight="1" x14ac:dyDescent="0.45">
      <c r="A43" s="61" t="s">
        <v>235</v>
      </c>
      <c r="D43" s="63">
        <f>SUMPRODUCT($B$39:$B$42,D39:D42)</f>
        <v>-0.025</v>
      </c>
      <c r="E43" s="63">
        <f>SUMPRODUCT($B$39:$B$42,E39:E42)</f>
        <v>-0.0723347834396486</v>
      </c>
      <c r="F43" s="63">
        <f>SUMPRODUCT($B$39:$B$42,F39:F42)</f>
        <v>-0.0580103628752265</v>
      </c>
      <c r="G43" s="63">
        <f>SUMPRODUCT($B$39:$B$42,G39:G42)</f>
        <v>0.012515496894063</v>
      </c>
      <c r="H43" s="59" t="str">
        <f>IF(F43&gt;0,"filled in 2027",IF(G43&gt;0,"filled in 2028","not filled in 3 yrs"))</f>
        <v>filled in 2028</v>
      </c>
    </row>
    <row r="44" spans="1:8" ht="21" customHeight="1" x14ac:dyDescent="0.45">
      <c r="A44" s="61" t="s">
        <v>237</v>
      </c>
      <c r="D44" s="63">
        <f>INDEX(D39:D42,IFERROR(MATCH(0.5,$C$39:$C$42,1)+1,1))</f>
        <v>-0.025</v>
      </c>
      <c r="E44" s="63">
        <f>INDEX(E39:E42,IFERROR(MATCH(0.5,$C$39:$C$42,1)+1,1))</f>
        <v>-0.0779527217741938</v>
      </c>
      <c r="F44" s="63">
        <f>INDEX(F39:F42,IFERROR(MATCH(0.5,$C$39:$C$42,1)+1,1))</f>
        <v>-0.081948259979839</v>
      </c>
      <c r="G44" s="63">
        <f>INDEX(G39:G42,IFERROR(MATCH(0.5,$C$39:$C$42,1)+1,1))</f>
        <v>-0.0434308069358479</v>
      </c>
      <c r="H44" s="59" t="str">
        <f>IF(F44&gt;0,"filled in 2027",IF(G44&gt;0,"filled in 2028","not filled in 3 yrs"))</f>
        <v>not filled in 3 yrs</v>
      </c>
    </row>
    <row r="45" spans="1:12" ht="33" customHeight="1" x14ac:dyDescent="0.45">
      <c r="A45" s="264" t="str">
        <f>"★★ Symmetric treatment added by this workbook: v2.0 warned only on the DRAM side that the mean is dragged up by extreme scenarios and the median should be read instead. The NAND skew is worse: N4's 2028 level ("&amp;SUBSTITUTE(TEXT(G42,"+0%;-0%;0%"),"-","−")&amp;") carries "&amp;SUBSTITUTE(TEXT(B42,"0%"),"-","−")&amp;" probability, and the weighted 2028 level is "&amp;SUBSTITUTE(TEXT(G43,"+0.0%;-0.0%;0.0%"),"-","−")&amp;" against a median of "&amp;SUBSTITUTE(TEXT(G44,"+0.0%;-0.0%;0.0%"),"-","−")&amp;". Use the median row."</f>
        <v>★★ Symmetric treatment added by this workbook: v2.0 warned only on the DRAM side that the mean is dragged up by extreme scenarios and the median should be read instead. The NAND skew is worse: N4's 2028 level (+47%) carries 5% probability, and the weighted 2028 level is +1.3% against a median of −4.3%. Use the median row.</v>
      </c>
      <c r="B45" s="264"/>
      <c r="C45" s="264"/>
      <c r="D45" s="264"/>
      <c r="E45" s="264"/>
      <c r="F45" s="264"/>
      <c r="G45" s="264"/>
      <c r="H45" s="264"/>
      <c r="I45" s="264"/>
      <c r="J45" s="264"/>
      <c r="K45" s="264"/>
      <c r="L45" s="264"/>
    </row>
    <row r="47" spans="1:12" ht="24" customHeight="1" x14ac:dyDescent="0.45">
      <c r="A47" s="155" t="s">
        <v>395</v>
      </c>
      <c r="B47" s="155"/>
      <c r="C47" s="155"/>
      <c r="D47" s="155"/>
      <c r="E47" s="155"/>
      <c r="F47" s="155"/>
      <c r="G47" s="155"/>
      <c r="H47" s="155"/>
      <c r="I47" s="155"/>
      <c r="J47" s="155"/>
      <c r="K47" s="155"/>
      <c r="L47" s="155"/>
    </row>
    <row r="48" spans="1:12" ht="39.75" customHeight="1" x14ac:dyDescent="0.45">
      <c r="A48" s="2" t="s">
        <v>105</v>
      </c>
      <c r="B48" s="2" t="s">
        <v>396</v>
      </c>
      <c r="C48" s="2" t="s">
        <v>397</v>
      </c>
      <c r="D48" s="2" t="s">
        <v>398</v>
      </c>
      <c r="E48" s="2" t="s">
        <v>399</v>
      </c>
      <c r="F48" s="2" t="s">
        <v>400</v>
      </c>
      <c r="G48" s="2" t="s">
        <v>401</v>
      </c>
      <c r="H48" s="2" t="s">
        <v>402</v>
      </c>
      <c r="I48" s="2" t="s">
        <v>403</v>
      </c>
      <c r="J48" s="2" t="s">
        <v>404</v>
      </c>
      <c r="K48" s="156" t="s">
        <v>113</v>
      </c>
      <c r="L48" s="156"/>
    </row>
    <row r="49" spans="1:12" ht="21.75" customHeight="1" x14ac:dyDescent="0.45">
      <c r="A49" s="21" t="s">
        <v>78</v>
      </c>
      <c r="B49" s="94">
        <f>'01-DRAM-Model'!D53</f>
        <v>-0.091210969195974</v>
      </c>
      <c r="C49" s="46">
        <f>D34</f>
        <v>-0.0599450000000002</v>
      </c>
      <c r="D49" s="96">
        <f>(C49-B49)*100</f>
        <v>3.12659691959737</v>
      </c>
      <c r="E49" s="94">
        <f>'01-DRAM-Model'!E64</f>
        <v>-0.1360617840503</v>
      </c>
      <c r="F49" s="46">
        <f>E43</f>
        <v>-0.0723347834396486</v>
      </c>
      <c r="G49" s="96">
        <f>(F49-E49)*100</f>
        <v>6.37270006106512</v>
      </c>
      <c r="H49" s="94">
        <f>'01-DRAM-Model'!E65</f>
        <v>-0.145705582443609</v>
      </c>
      <c r="I49" s="46">
        <f>E44</f>
        <v>-0.0779527217741938</v>
      </c>
      <c r="J49" s="96">
        <f>(I49-H49)*100</f>
        <v>6.77528606694154</v>
      </c>
      <c r="K49" s="190" t="s">
        <v>114</v>
      </c>
      <c r="L49" s="190"/>
    </row>
    <row r="50" spans="1:12" ht="21.75" customHeight="1" x14ac:dyDescent="0.45">
      <c r="A50" s="21" t="s">
        <v>79</v>
      </c>
      <c r="B50" s="94">
        <f>'01-DRAM-Model'!E53</f>
        <v>-0.0381382738227208</v>
      </c>
      <c r="C50" s="46">
        <f>E34</f>
        <v>0.0160591900000001</v>
      </c>
      <c r="D50" s="96">
        <f>(C50-B50)*100</f>
        <v>5.4197463822721</v>
      </c>
      <c r="E50" s="94">
        <f>'01-DRAM-Model'!F64</f>
        <v>-0.156827528879081</v>
      </c>
      <c r="F50" s="46">
        <f>F43</f>
        <v>-0.0580103628752265</v>
      </c>
      <c r="G50" s="96">
        <f>(F50-E50)*100</f>
        <v>9.88171660038548</v>
      </c>
      <c r="H50" s="94">
        <f>'01-DRAM-Model'!F65</f>
        <v>-0.210832606111257</v>
      </c>
      <c r="I50" s="46">
        <f>F44</f>
        <v>-0.081948259979839</v>
      </c>
      <c r="J50" s="96">
        <f>(I50-H50)*100</f>
        <v>12.8884346131418</v>
      </c>
      <c r="K50" s="190" t="s">
        <v>115</v>
      </c>
      <c r="L50" s="190"/>
    </row>
    <row r="51" spans="1:12" ht="21.75" customHeight="1" x14ac:dyDescent="0.45">
      <c r="A51" s="21" t="s">
        <v>80</v>
      </c>
      <c r="B51" s="94">
        <f>'01-DRAM-Model'!F53</f>
        <v>0.0724066707837913</v>
      </c>
      <c r="C51" s="46">
        <f>F34</f>
        <v>0.07731568</v>
      </c>
      <c r="D51" s="96">
        <f>(C51-B51)*100</f>
        <v>0.490900921620872</v>
      </c>
      <c r="E51" s="94">
        <f>'01-DRAM-Model'!G64</f>
        <v>-0.0841245031891783</v>
      </c>
      <c r="F51" s="46">
        <f>G43</f>
        <v>0.012515496894063</v>
      </c>
      <c r="G51" s="96">
        <f>(F51-E51)*100</f>
        <v>9.66400000832413</v>
      </c>
      <c r="H51" s="94">
        <f>'01-DRAM-Model'!G65</f>
        <v>-0.22417369903773</v>
      </c>
      <c r="I51" s="46">
        <f>G44</f>
        <v>-0.0434308069358479</v>
      </c>
      <c r="J51" s="96">
        <f>(I51-H51)*100</f>
        <v>18.0742892101882</v>
      </c>
      <c r="K51" s="190" t="s">
        <v>405</v>
      </c>
      <c r="L51" s="190"/>
    </row>
    <row r="52" spans="1:12" ht="60" customHeight="1" x14ac:dyDescent="0.45">
      <c r="A52" s="208" t="s">
        <v>1305</v>
      </c>
      <c r="B52" s="208"/>
      <c r="C52" s="208"/>
      <c r="D52" s="208"/>
      <c r="E52" s="208"/>
      <c r="F52" s="208"/>
      <c r="G52" s="208"/>
      <c r="H52" s="208"/>
      <c r="I52" s="208"/>
      <c r="J52" s="208"/>
      <c r="K52" s="208"/>
      <c r="L52" s="208"/>
    </row>
    <row r="53" spans="1:12" ht="60" customHeight="1" x14ac:dyDescent="0.45">
      <c r="A53" s="264" t="str">
        <f>"★ Robustness: in 2027 the divergence is "&amp;SUBSTITUTE(TEXT(D50,"+0.0;-0.0;0.0"),"-","−")&amp;"pp"&amp;" on the flow basis, "&amp;SUBSTITUTE(TEXT(G50,"+0.0;-0.0;0.0"),"-","−")&amp;"pp"&amp;" on the stock basis and "&amp;SUBSTITUTE(TEXT(J50,"+0.0;-0.0;0.0"),"-","−")&amp;"pp"&amp;" on the medians, so 'pure NAND exposure (Sandisk, Kioxia, Western Digital) and DRAM exposure (Samsung, SK hynix, Micron) should be priced separately in 2027' does not depend on the tail scenarios — but it does depend on the NAND supply elas"&amp;"ticity assumption, the loosest link in the model (see the yield term in the console). ▲ v4.1: it is a divergence in the rate of change; on a level basis most outside sources still see NAND short in 2027 (sheet 09 [D]). ⚠ v4.0 adds a second "&amp;"challenge from the demand side: see block [F]."</f>
        <v>★ Robustness: in 2027 the divergence is +5.4pp on the flow basis, +9.9pp on the stock basis and +12.9pp on the medians, so 'pure NAND exposure (Sandisk, Kioxia, Western Digital) and DRAM exposure (Samsung, SK hynix, Micron) should be priced separately in 2027' does not depend on the tail scenarios — but it does depend on the NAND supply elasticity assumption, the loosest link in the model (see the yield term in the console). ▲ v4.1: it is a divergence in the rate of change; on a level basis most outside sources still see NAND short in 2027 (sheet 09 [D]). ⚠ v4.0 adds a second challenge from the demand side: see block [F].</v>
      </c>
      <c r="B53" s="264"/>
      <c r="C53" s="264"/>
      <c r="D53" s="264"/>
      <c r="E53" s="264"/>
      <c r="F53" s="264"/>
      <c r="G53" s="264"/>
      <c r="H53" s="264"/>
      <c r="I53" s="264"/>
      <c r="J53" s="264"/>
      <c r="K53" s="264"/>
      <c r="L53" s="264"/>
    </row>
    <row r="55" spans="1:12" ht="24" customHeight="1" x14ac:dyDescent="0.45">
      <c r="A55" s="155" t="s">
        <v>408</v>
      </c>
      <c r="B55" s="155"/>
      <c r="C55" s="155"/>
      <c r="D55" s="155"/>
      <c r="E55" s="155"/>
      <c r="F55" s="155"/>
      <c r="G55" s="155"/>
      <c r="H55" s="155"/>
      <c r="I55" s="155"/>
      <c r="J55" s="155"/>
      <c r="K55" s="155"/>
      <c r="L55" s="155"/>
    </row>
    <row r="56" spans="1:7" ht="31.5" customHeight="1" x14ac:dyDescent="0.45">
      <c r="A56" s="2" t="s">
        <v>105</v>
      </c>
      <c r="B56" s="2" t="s">
        <v>243</v>
      </c>
      <c r="C56" s="2" t="s">
        <v>409</v>
      </c>
      <c r="D56" s="2" t="s">
        <v>410</v>
      </c>
      <c r="E56" s="2" t="s">
        <v>246</v>
      </c>
      <c r="F56" s="2" t="s">
        <v>411</v>
      </c>
      <c r="G56" s="2" t="s">
        <v>412</v>
      </c>
    </row>
    <row r="57" spans="1:7" ht="18.75" customHeight="1" x14ac:dyDescent="0.45">
      <c r="A57" s="21" t="s">
        <v>78</v>
      </c>
      <c r="B57" s="58">
        <f>C12+$B$78</f>
        <v>-0.01</v>
      </c>
      <c r="C57" s="58">
        <f>(1+C12+$B$78)*(D12+$B$79)</f>
        <v>0.1485</v>
      </c>
      <c r="D57" s="58">
        <f>(1+C12+$B$78)*(1+D12+$B$79)*(E12+$B$80)</f>
        <v>0.034155</v>
      </c>
      <c r="E57" s="65">
        <f>B57+C57+D57</f>
        <v>0.172655</v>
      </c>
      <c r="F57" s="22">
        <f>'01-DRAM-Model'!J25</f>
        <v>0.184989030804026</v>
      </c>
      <c r="G57" s="97">
        <f>IF(F57&lt;=0,"n/a",E57/F57)</f>
        <v>0.933325609900121</v>
      </c>
    </row>
    <row r="58" spans="1:7" ht="18.75" customHeight="1" x14ac:dyDescent="0.45">
      <c r="A58" s="21" t="s">
        <v>79</v>
      </c>
      <c r="B58" s="58">
        <f>C13+$B$78</f>
        <v>0.03</v>
      </c>
      <c r="C58" s="58">
        <f>(1+C13+$B$78)*(D13+$B$79)</f>
        <v>0.1648</v>
      </c>
      <c r="D58" s="58">
        <f>(1+C13+$B$78)*(1+D13+$B$79)*(E13+$B$80)</f>
        <v>0.05974</v>
      </c>
      <c r="E58" s="65">
        <f>B58+C58+D58</f>
        <v>0.25454</v>
      </c>
      <c r="F58" s="22">
        <f>'01-DRAM-Model'!J26</f>
        <v>0.228607623205902</v>
      </c>
      <c r="G58" s="97">
        <f>IF(F58&lt;=0,"n/a",E58/F58)</f>
        <v>1.11343618568109</v>
      </c>
    </row>
    <row r="59" spans="1:7" ht="18.75" customHeight="1" x14ac:dyDescent="0.45">
      <c r="A59" s="21" t="s">
        <v>80</v>
      </c>
      <c r="B59" s="58">
        <f>C14+$B$78</f>
        <v>0.07</v>
      </c>
      <c r="C59" s="58">
        <f>(1+C14+$B$78)*(D14+$B$79)</f>
        <v>0.1605</v>
      </c>
      <c r="D59" s="58">
        <f>(1+C14+$B$78)*(1+D14+$B$79)*(E14+$B$80)</f>
        <v>0.061525</v>
      </c>
      <c r="E59" s="65">
        <f>B59+C59+D59</f>
        <v>0.292025</v>
      </c>
      <c r="F59" s="22">
        <f>'01-DRAM-Model'!J27</f>
        <v>0.228868404489045</v>
      </c>
      <c r="G59" s="97">
        <f>IF(F59&lt;=0,"n/a",E59/F59)</f>
        <v>1.27595156986371</v>
      </c>
    </row>
    <row r="60" spans="1:12" ht="20.25" customHeight="1" x14ac:dyDescent="0.45">
      <c r="A60" s="162" t="s">
        <v>413</v>
      </c>
      <c r="B60" s="162"/>
      <c r="C60" s="162"/>
      <c r="D60" s="162"/>
      <c r="E60" s="162"/>
      <c r="F60" s="162"/>
      <c r="G60" s="162"/>
      <c r="H60" s="162"/>
      <c r="I60" s="162"/>
      <c r="J60" s="162"/>
      <c r="K60" s="162"/>
      <c r="L60" s="162"/>
    </row>
    <row r="62" spans="1:12" ht="24" customHeight="1" x14ac:dyDescent="0.45">
      <c r="A62" s="171" t="s">
        <v>414</v>
      </c>
      <c r="B62" s="171"/>
      <c r="C62" s="171"/>
      <c r="D62" s="171"/>
      <c r="E62" s="171"/>
      <c r="F62" s="171"/>
      <c r="G62" s="171"/>
      <c r="H62" s="171"/>
      <c r="I62" s="171"/>
      <c r="J62" s="171"/>
      <c r="K62" s="171"/>
      <c r="L62" s="171"/>
    </row>
    <row r="63" spans="1:12" ht="72" customHeight="1" x14ac:dyDescent="0.45">
      <c r="A63" s="207" t="str">
        <f>"KB Securities (2026-09-07) expects 2027 NAND bit demand growth, like DRAM's, to exceed supply growth by more than 10 percentage points (a growth-gap statement: '10%포인트 이상'). My N2 base case has the 2027 growth gap at "&amp;SUBSTITUTE(TEXT(H13,"+0.0%;-0.0%;0.0%"),"-","−")&amp;" (the gap starts to narrow). That is an opposite-direction contradiction, not a difference of degree, and the disagreement is on the demand side, not the supply side: KB's logic is that AI server investment pulls server DDR5 and enterprise "&amp;"SSD together. Evidence on KB's side sits in my own earlier reports — Sandisk (QLC adoption accelerating in AI workloads, read-heavy profiles suit QLC), Western Digital (AI data compounds; the warm tier of high-capacity QLC SSD is the fastes"&amp;"t-growing and least-discussed layer) and Astera Labs (Leo CXL memory tiering and pooling ships in 2027). ⚠ Honest label: the correction below moves toward KB's judgement; it is not the result of me finding new demand-side data. An independe"&amp;"nt read on eSSD bit demand is item 2 on the tracking list (sheet 08) and its top information gap."</f>
        <v>KB Securities (2026-09-07) expects 2027 NAND bit demand growth, like DRAM's, to exceed supply growth by more than 10 percentage points (a growth-gap statement: '10%포인트 이상'). My N2 base case has the 2027 growth gap at −0.5% (the gap starts to narrow). That is an opposite-direction contradiction, not a difference of degree, and the disagreement is on the demand side, not the supply side: KB's logic is that AI server investment pulls server DDR5 and enterprise SSD together. Evidence on KB's side sits in my own earlier reports — Sandisk (QLC adoption accelerating in AI workloads, read-heavy profiles suit QLC), Western Digital (AI data compounds; the warm tier of high-capacity QLC SSD is the fastest-growing and least-discussed layer) and Astera Labs (Leo CXL memory tiering and pooling ships in 2027). ⚠ Honest label: the correction below moves toward KB's judgement; it is not the result of me finding new demand-side data. An independent read on eSSD bit demand is item 2 on the tracking list (sheet 08) and its top information gap.</v>
      </c>
      <c r="B63" s="207"/>
      <c r="C63" s="207"/>
      <c r="D63" s="207"/>
      <c r="E63" s="207"/>
      <c r="F63" s="207"/>
      <c r="G63" s="207"/>
      <c r="H63" s="207"/>
      <c r="I63" s="207"/>
      <c r="J63" s="207"/>
      <c r="K63" s="207"/>
      <c r="L63" s="207"/>
    </row>
    <row r="64" spans="1:12" ht="39.75" customHeight="1" x14ac:dyDescent="0.45">
      <c r="A64" s="1" t="s">
        <v>200</v>
      </c>
      <c r="B64" s="1" t="s">
        <v>232</v>
      </c>
      <c r="C64" s="1" t="s">
        <v>416</v>
      </c>
      <c r="D64" s="1" t="s">
        <v>417</v>
      </c>
      <c r="E64" s="1" t="s">
        <v>418</v>
      </c>
      <c r="F64" s="1" t="s">
        <v>419</v>
      </c>
      <c r="G64" s="1" t="s">
        <v>420</v>
      </c>
      <c r="H64" s="1" t="s">
        <v>421</v>
      </c>
      <c r="I64" s="1" t="s">
        <v>324</v>
      </c>
      <c r="J64" s="172" t="s">
        <v>327</v>
      </c>
      <c r="K64" s="172"/>
      <c r="L64" s="172"/>
    </row>
    <row r="65" spans="1:12" ht="18" customHeight="1" x14ac:dyDescent="0.45">
      <c r="A65" s="11" t="s">
        <v>382</v>
      </c>
      <c r="B65" s="56">
        <f>B30</f>
        <v>0.24</v>
      </c>
      <c r="C65" s="58">
        <f>G8</f>
        <v>0.197456</v>
      </c>
      <c r="D65" s="19">
        <f>G8+'06-Inventory-Burn-v4'!$B$14</f>
        <v>0.167456</v>
      </c>
      <c r="E65" s="58">
        <f>F8+$B$81</f>
        <v>0.3</v>
      </c>
      <c r="F65" s="19">
        <f>F8+$B$81+'06-Inventory-Burn-v4'!$B$13</f>
        <v>0.34</v>
      </c>
      <c r="G65" s="58">
        <f>C65-E65</f>
        <v>-0.102544</v>
      </c>
      <c r="H65" s="98">
        <f>D65-F65</f>
        <v>-0.172544</v>
      </c>
      <c r="I65" s="20">
        <f>(H65-G65)*100</f>
        <v>-7</v>
      </c>
      <c r="J65" s="252" t="str">
        <f>IF(H65&lt;0,"gap widening after correction",IF(H65&lt;0.05,"gap roughly flat","gap narrowing"))</f>
        <v>gap widening after correction</v>
      </c>
      <c r="K65" s="252"/>
      <c r="L65" s="252"/>
    </row>
    <row r="66" spans="1:12" ht="18" customHeight="1" x14ac:dyDescent="0.45">
      <c r="A66" s="11" t="s">
        <v>384</v>
      </c>
      <c r="B66" s="56">
        <f>B31</f>
        <v>0.44</v>
      </c>
      <c r="C66" s="58">
        <f>G13</f>
        <v>0.25454</v>
      </c>
      <c r="D66" s="19">
        <f>G13+'06-Inventory-Burn-v4'!$B$14</f>
        <v>0.22454</v>
      </c>
      <c r="E66" s="58">
        <f>F13+$B$81</f>
        <v>0.26</v>
      </c>
      <c r="F66" s="19">
        <f>F13+$B$81+'06-Inventory-Burn-v4'!$B$13</f>
        <v>0.3</v>
      </c>
      <c r="G66" s="58">
        <f>C66-E66</f>
        <v>-0.00546000000000002</v>
      </c>
      <c r="H66" s="98">
        <f>D66-F66</f>
        <v>-0.07546</v>
      </c>
      <c r="I66" s="20">
        <f>(H66-G66)*100</f>
        <v>-7</v>
      </c>
      <c r="J66" s="252" t="str">
        <f>IF(H66&lt;0,"gap widening after correction",IF(H66&lt;0.05,"gap roughly flat","gap narrowing"))</f>
        <v>gap widening after correction</v>
      </c>
      <c r="K66" s="252"/>
      <c r="L66" s="252"/>
    </row>
    <row r="67" spans="1:12" ht="18" customHeight="1" x14ac:dyDescent="0.45">
      <c r="A67" s="11" t="s">
        <v>386</v>
      </c>
      <c r="B67" s="56">
        <f>B32</f>
        <v>0.27</v>
      </c>
      <c r="C67" s="58">
        <f>G18</f>
        <v>0.336965</v>
      </c>
      <c r="D67" s="19">
        <f>G18+'06-Inventory-Burn-v4'!$B$14</f>
        <v>0.306965</v>
      </c>
      <c r="E67" s="58">
        <f>F18+$B$81</f>
        <v>0.22</v>
      </c>
      <c r="F67" s="19">
        <f>F18+$B$81+'06-Inventory-Burn-v4'!$B$13</f>
        <v>0.26</v>
      </c>
      <c r="G67" s="58">
        <f>C67-E67</f>
        <v>0.116965</v>
      </c>
      <c r="H67" s="98">
        <f>D67-F67</f>
        <v>0.0469650000000001</v>
      </c>
      <c r="I67" s="20">
        <f>(H67-G67)*100</f>
        <v>-7</v>
      </c>
      <c r="J67" s="252" t="str">
        <f>IF(H67&lt;0,"gap widening after correction",IF(H67&lt;0.05,"gap roughly flat","gap narrowing"))</f>
        <v>gap roughly flat</v>
      </c>
      <c r="K67" s="252"/>
      <c r="L67" s="252"/>
    </row>
    <row r="68" spans="1:12" ht="18" customHeight="1" x14ac:dyDescent="0.45">
      <c r="A68" s="11" t="s">
        <v>388</v>
      </c>
      <c r="B68" s="56">
        <f>B33</f>
        <v>0.05</v>
      </c>
      <c r="C68" s="58">
        <f>G23</f>
        <v>0.409832</v>
      </c>
      <c r="D68" s="19">
        <f>G23+'06-Inventory-Burn-v4'!$B$14</f>
        <v>0.379832</v>
      </c>
      <c r="E68" s="58">
        <f>F23+$B$81</f>
        <v>0.18</v>
      </c>
      <c r="F68" s="19">
        <f>F23+$B$81+'06-Inventory-Burn-v4'!$B$13</f>
        <v>0.22</v>
      </c>
      <c r="G68" s="58">
        <f>C68-E68</f>
        <v>0.229832</v>
      </c>
      <c r="H68" s="98">
        <f>D68-F68</f>
        <v>0.159832</v>
      </c>
      <c r="I68" s="20">
        <f>(H68-G68)*100</f>
        <v>-7</v>
      </c>
      <c r="J68" s="252" t="str">
        <f>IF(H68&lt;0,"gap widening after correction",IF(H68&lt;0.05,"gap roughly flat","gap narrowing"))</f>
        <v>gap narrowing</v>
      </c>
      <c r="K68" s="252"/>
      <c r="L68" s="252"/>
    </row>
    <row r="69" spans="1:12" ht="21" customHeight="1" x14ac:dyDescent="0.45">
      <c r="A69" s="76" t="s">
        <v>235</v>
      </c>
      <c r="C69" s="63">
        <f>SUMPRODUCT($B$65:$B$68,C65:C68)</f>
        <v>0.27085919</v>
      </c>
      <c r="D69" s="77">
        <f>SUMPRODUCT($B$65:$B$68,D65:D68)</f>
        <v>0.24085919</v>
      </c>
      <c r="G69" s="63">
        <f>SUMPRODUCT($B$65:$B$68,G65:G68)</f>
        <v>0.0160591900000001</v>
      </c>
      <c r="H69" s="77">
        <f>SUMPRODUCT($B$65:$B$68,H65:H68)</f>
        <v>-0.0539408099999999</v>
      </c>
      <c r="I69" s="20">
        <f>(H69-G69)*100</f>
        <v>-7</v>
      </c>
      <c r="J69" s="158"/>
      <c r="K69" s="158"/>
      <c r="L69" s="158"/>
    </row>
    <row r="70" spans="1:12" ht="33" customHeight="1" x14ac:dyDescent="0.45">
      <c r="A70" s="99" t="s">
        <v>422</v>
      </c>
      <c r="B70" s="280" t="str">
        <f>"'2027 NAND and DRAM bit demand growth will exceed supply growth by more than 10 percentage points.' ▲ v4.1: a growth-gap statement (the earlier reading 'the 2027 supply gap will exceed 10%' was a misreading). On my N2 base case the growth g"&amp;"ap is "&amp;SUBSTITUTE(TEXT(G66,"+0.0%;-0.0%;0.0%"),"-","−")&amp;" before and "&amp;SUBSTITUTE(TEXT(H66,"+0.0%;-0.0%;0.0%"),"-","−")&amp;" after the v4.0 alignment — still short of KB's −10pp, and the residual difference is the eSSD demand assumption."</f>
        <v>'2027 NAND and DRAM bit demand growth will exceed supply growth by more than 10 percentage points.' ▲ v4.1: a growth-gap statement (the earlier reading 'the 2027 supply gap will exceed 10%' was a misreading). On my N2 base case the growth gap is −0.5% before and −7.5% after the v4.0 alignment — still short of KB's −10pp, and the residual difference is the eSSD demand assumption.</v>
      </c>
      <c r="C70" s="280"/>
      <c r="D70" s="280"/>
      <c r="E70" s="280"/>
      <c r="F70" s="280"/>
      <c r="G70" s="280"/>
      <c r="H70" s="280"/>
      <c r="I70" s="280"/>
      <c r="J70" s="280"/>
      <c r="K70" s="280"/>
      <c r="L70" s="280"/>
    </row>
    <row r="71" spans="1:12" ht="45.75" customHeight="1" x14ac:dyDescent="0.45">
      <c r="A71" s="170" t="s">
        <v>424</v>
      </c>
      <c r="B71" s="170"/>
      <c r="C71" s="170"/>
      <c r="D71" s="170"/>
      <c r="E71" s="170"/>
      <c r="F71" s="170"/>
      <c r="G71" s="170"/>
      <c r="H71" s="170"/>
      <c r="I71" s="170"/>
      <c r="J71" s="170"/>
      <c r="K71" s="170"/>
      <c r="L71" s="170"/>
    </row>
    <row r="73" spans="1:12" ht="24" customHeight="1" x14ac:dyDescent="0.45">
      <c r="A73" s="181" t="s">
        <v>425</v>
      </c>
      <c r="B73" s="181"/>
      <c r="C73" s="181"/>
      <c r="D73" s="181"/>
      <c r="E73" s="181"/>
      <c r="F73" s="181"/>
      <c r="G73" s="181"/>
      <c r="H73" s="181"/>
      <c r="I73" s="181"/>
      <c r="J73" s="181"/>
      <c r="K73" s="181"/>
      <c r="L73" s="181"/>
    </row>
    <row r="74" spans="1:12" ht="33" customHeight="1" x14ac:dyDescent="0.45">
      <c r="A74" s="182" t="s">
        <v>426</v>
      </c>
      <c r="B74" s="182"/>
      <c r="C74" s="182"/>
      <c r="D74" s="182"/>
      <c r="E74" s="182"/>
      <c r="F74" s="182"/>
      <c r="G74" s="182"/>
      <c r="H74" s="182"/>
      <c r="I74" s="182"/>
      <c r="J74" s="182"/>
      <c r="K74" s="182"/>
      <c r="L74" s="182"/>
    </row>
    <row r="75" spans="1:12" ht="31.5" customHeight="1" x14ac:dyDescent="0.45">
      <c r="A75" s="2" t="s">
        <v>174</v>
      </c>
      <c r="B75" s="2" t="s">
        <v>175</v>
      </c>
      <c r="C75" s="156" t="s">
        <v>331</v>
      </c>
      <c r="D75" s="156"/>
      <c r="E75" s="156"/>
      <c r="F75" s="156"/>
      <c r="G75" s="156"/>
      <c r="H75" s="2" t="s">
        <v>332</v>
      </c>
      <c r="I75" s="2" t="s">
        <v>333</v>
      </c>
      <c r="J75" s="156" t="s">
        <v>55</v>
      </c>
      <c r="K75" s="156"/>
      <c r="L75" s="156"/>
    </row>
    <row r="76" spans="1:12" ht="37.5" customHeight="1" x14ac:dyDescent="0.45">
      <c r="A76" s="80" t="s">
        <v>337</v>
      </c>
      <c r="B76" s="84">
        <f>-H76/1000</f>
        <v>-0.025</v>
      </c>
      <c r="C76" s="177"/>
      <c r="D76" s="177"/>
      <c r="E76" s="177"/>
      <c r="F76" s="177"/>
      <c r="G76" s="177"/>
      <c r="H76" s="82">
        <v>25</v>
      </c>
      <c r="I76" s="83" t="s">
        <v>427</v>
      </c>
      <c r="J76" s="178" t="s">
        <v>428</v>
      </c>
      <c r="K76" s="178"/>
      <c r="L76" s="178"/>
    </row>
    <row r="77" spans="1:12" ht="37.5" customHeight="1" x14ac:dyDescent="0.45">
      <c r="A77" s="80" t="s">
        <v>429</v>
      </c>
      <c r="B77" s="86">
        <f>(H77-100)/1000</f>
        <v>0</v>
      </c>
      <c r="C77" s="177"/>
      <c r="D77" s="177"/>
      <c r="E77" s="177"/>
      <c r="F77" s="177"/>
      <c r="G77" s="177"/>
      <c r="H77" s="82">
        <v>100</v>
      </c>
      <c r="I77" s="83" t="s">
        <v>430</v>
      </c>
      <c r="J77" s="245" t="s">
        <v>1306</v>
      </c>
      <c r="K77" s="245"/>
      <c r="L77" s="245"/>
    </row>
    <row r="78" spans="1:12" ht="37.5" customHeight="1" x14ac:dyDescent="0.45">
      <c r="A78" s="80" t="s">
        <v>342</v>
      </c>
      <c r="B78" s="86">
        <f>(H78-50)/1000</f>
        <v>-0.01</v>
      </c>
      <c r="C78" s="177"/>
      <c r="D78" s="177"/>
      <c r="E78" s="177"/>
      <c r="F78" s="177"/>
      <c r="G78" s="177"/>
      <c r="H78" s="82">
        <v>40</v>
      </c>
      <c r="I78" s="83" t="s">
        <v>343</v>
      </c>
      <c r="J78" s="178" t="s">
        <v>432</v>
      </c>
      <c r="K78" s="178"/>
      <c r="L78" s="178"/>
    </row>
    <row r="79" spans="1:12" ht="37.5" customHeight="1" x14ac:dyDescent="0.45">
      <c r="A79" s="80" t="s">
        <v>433</v>
      </c>
      <c r="B79" s="86">
        <f>(H79-80)/1000</f>
        <v>0</v>
      </c>
      <c r="C79" s="177"/>
      <c r="D79" s="177"/>
      <c r="E79" s="177"/>
      <c r="F79" s="177"/>
      <c r="G79" s="177"/>
      <c r="H79" s="82">
        <v>80</v>
      </c>
      <c r="I79" s="83" t="s">
        <v>434</v>
      </c>
      <c r="J79" s="245" t="s">
        <v>1307</v>
      </c>
      <c r="K79" s="245"/>
      <c r="L79" s="245"/>
    </row>
    <row r="80" spans="1:12" ht="37.5" customHeight="1" x14ac:dyDescent="0.45">
      <c r="A80" s="80" t="s">
        <v>436</v>
      </c>
      <c r="B80" s="86">
        <f>(H80-50)/1000</f>
        <v>0</v>
      </c>
      <c r="C80" s="177"/>
      <c r="D80" s="177"/>
      <c r="E80" s="177"/>
      <c r="F80" s="177"/>
      <c r="G80" s="177"/>
      <c r="H80" s="82">
        <v>50</v>
      </c>
      <c r="I80" s="83" t="s">
        <v>346</v>
      </c>
      <c r="J80" s="178" t="s">
        <v>437</v>
      </c>
      <c r="K80" s="178"/>
      <c r="L80" s="178"/>
    </row>
    <row r="81" spans="1:12" ht="37.5" customHeight="1" x14ac:dyDescent="0.45">
      <c r="A81" s="80" t="s">
        <v>351</v>
      </c>
      <c r="B81" s="86">
        <f>(H81-100)/1000</f>
        <v>0.02</v>
      </c>
      <c r="C81" s="177"/>
      <c r="D81" s="177"/>
      <c r="E81" s="177"/>
      <c r="F81" s="177"/>
      <c r="G81" s="177"/>
      <c r="H81" s="82">
        <v>120</v>
      </c>
      <c r="I81" s="83" t="s">
        <v>352</v>
      </c>
      <c r="J81" s="178" t="s">
        <v>438</v>
      </c>
      <c r="K81" s="178"/>
      <c r="L81" s="178"/>
    </row>
    <row r="82" spans="1:12" ht="18.75" customHeight="1" x14ac:dyDescent="0.45">
      <c r="A82" s="180" t="s">
        <v>439</v>
      </c>
      <c r="B82" s="180"/>
      <c r="C82" s="180"/>
      <c r="D82" s="180"/>
      <c r="E82" s="180"/>
      <c r="F82" s="180"/>
      <c r="G82" s="180"/>
      <c r="H82" s="180"/>
      <c r="I82" s="180"/>
      <c r="J82" s="180"/>
      <c r="K82" s="180"/>
      <c r="L82" s="180"/>
    </row>
    <row r="83" spans="1:12" ht="37.5" customHeight="1" x14ac:dyDescent="0.45">
      <c r="A83" s="80" t="s">
        <v>440</v>
      </c>
      <c r="B83" s="87">
        <f>H83/100</f>
        <v>0.24</v>
      </c>
      <c r="C83" s="177"/>
      <c r="D83" s="177"/>
      <c r="E83" s="177"/>
      <c r="F83" s="177"/>
      <c r="G83" s="177"/>
      <c r="H83" s="82">
        <v>24</v>
      </c>
      <c r="I83" s="83" t="s">
        <v>356</v>
      </c>
      <c r="J83" s="178" t="s">
        <v>441</v>
      </c>
      <c r="K83" s="178"/>
      <c r="L83" s="178"/>
    </row>
    <row r="84" spans="1:12" ht="37.5" customHeight="1" x14ac:dyDescent="0.45">
      <c r="A84" s="80" t="s">
        <v>442</v>
      </c>
      <c r="B84" s="87">
        <f>H84/100</f>
        <v>0.44</v>
      </c>
      <c r="C84" s="177"/>
      <c r="D84" s="177"/>
      <c r="E84" s="177"/>
      <c r="F84" s="177"/>
      <c r="G84" s="177"/>
      <c r="H84" s="82">
        <v>44</v>
      </c>
      <c r="I84" s="83" t="s">
        <v>356</v>
      </c>
      <c r="J84" s="339" t="s">
        <v>1843</v>
      </c>
      <c r="K84" s="339"/>
      <c r="L84" s="339"/>
    </row>
    <row r="85" spans="1:12" ht="37.5" customHeight="1" x14ac:dyDescent="0.45">
      <c r="A85" s="80" t="s">
        <v>444</v>
      </c>
      <c r="B85" s="87">
        <f>H85/100</f>
        <v>0.27</v>
      </c>
      <c r="C85" s="177"/>
      <c r="D85" s="177"/>
      <c r="E85" s="177"/>
      <c r="F85" s="177"/>
      <c r="G85" s="177"/>
      <c r="H85" s="82">
        <v>27</v>
      </c>
      <c r="I85" s="83" t="s">
        <v>356</v>
      </c>
      <c r="J85" s="178" t="s">
        <v>445</v>
      </c>
      <c r="K85" s="178"/>
      <c r="L85" s="178"/>
    </row>
    <row r="86" spans="1:12" ht="37.5" customHeight="1" x14ac:dyDescent="0.45">
      <c r="A86" s="80" t="s">
        <v>446</v>
      </c>
      <c r="B86" s="87">
        <f>H86/100</f>
        <v>0.05</v>
      </c>
      <c r="C86" s="177"/>
      <c r="D86" s="177"/>
      <c r="E86" s="177"/>
      <c r="F86" s="177"/>
      <c r="G86" s="177"/>
      <c r="H86" s="82">
        <v>5</v>
      </c>
      <c r="I86" s="83" t="s">
        <v>356</v>
      </c>
      <c r="J86" s="245" t="s">
        <v>1308</v>
      </c>
      <c r="K86" s="245"/>
      <c r="L86" s="245"/>
    </row>
    <row r="87" spans="1:12" ht="33.75" customHeight="1" x14ac:dyDescent="0.45">
      <c r="A87" s="88" t="s">
        <v>366</v>
      </c>
      <c r="B87" s="89">
        <f>SUM(B83:B86)</f>
        <v>1</v>
      </c>
      <c r="C87" s="179" t="str">
        <f>IF(ABS(B87-1)&lt;0.0001,"✔  Cumulative probability = 100%; the weighted and median rows are valid.","⚠  Currently "&amp;TEXT(B87,"0%")&amp;" — "&amp;TEXT(1-B87,"0%")&amp;" still to allocate. Keep adjusting the four rows above until this reads 100%.")</f>
        <v>✔  Cumulative probability = 100%; the weighted and median rows are valid.</v>
      </c>
      <c r="D87" s="179"/>
      <c r="E87" s="179"/>
      <c r="F87" s="179"/>
      <c r="G87" s="179"/>
      <c r="H87" s="179"/>
      <c r="I87" s="179"/>
      <c r="J87" s="179"/>
      <c r="K87" s="179"/>
      <c r="L87" s="179"/>
    </row>
    <row r="89" spans="1:12" ht="24" customHeight="1" x14ac:dyDescent="0.45">
      <c r="A89" s="155" t="s">
        <v>448</v>
      </c>
      <c r="B89" s="155"/>
      <c r="C89" s="155"/>
      <c r="D89" s="155"/>
      <c r="E89" s="155"/>
      <c r="F89" s="155"/>
      <c r="G89" s="155"/>
      <c r="H89" s="155"/>
      <c r="I89" s="155"/>
      <c r="J89" s="155"/>
      <c r="K89" s="155"/>
      <c r="L89" s="155"/>
    </row>
    <row r="90" spans="1:6" ht="31.5" customHeight="1" x14ac:dyDescent="0.45">
      <c r="A90" s="2" t="s">
        <v>27</v>
      </c>
      <c r="B90" s="2" t="s">
        <v>78</v>
      </c>
      <c r="C90" s="2" t="s">
        <v>79</v>
      </c>
      <c r="D90" s="2" t="s">
        <v>80</v>
      </c>
      <c r="E90" s="2" t="s">
        <v>368</v>
      </c>
      <c r="F90" s="2" t="s">
        <v>369</v>
      </c>
    </row>
    <row r="91" spans="1:12" ht="31.5" customHeight="1" x14ac:dyDescent="0.45">
      <c r="A91" s="14" t="s">
        <v>370</v>
      </c>
      <c r="B91" s="90">
        <f>D34</f>
        <v>-0.0599450000000002</v>
      </c>
      <c r="C91" s="90">
        <f>E34</f>
        <v>0.0160591900000001</v>
      </c>
      <c r="D91" s="90">
        <f>F34</f>
        <v>0.07731568</v>
      </c>
      <c r="E91" s="90">
        <f>E35</f>
        <v>-0.00546000000000002</v>
      </c>
      <c r="F91" s="90">
        <f>F35</f>
        <v>0.052025</v>
      </c>
      <c r="G91" s="158"/>
      <c r="H91" s="158"/>
      <c r="I91" s="158"/>
      <c r="J91" s="158"/>
      <c r="K91" s="158"/>
      <c r="L91" s="158"/>
    </row>
    <row r="92" spans="1:12" ht="31.5" customHeight="1" x14ac:dyDescent="0.45">
      <c r="A92" s="14" t="s">
        <v>86</v>
      </c>
      <c r="B92" s="90">
        <f>E43</f>
        <v>-0.0723347834396486</v>
      </c>
      <c r="C92" s="90">
        <f>F43</f>
        <v>-0.0580103628752265</v>
      </c>
      <c r="D92" s="90">
        <f>G43</f>
        <v>0.012515496894063</v>
      </c>
      <c r="E92" s="90">
        <f>F44</f>
        <v>-0.081948259979839</v>
      </c>
      <c r="F92" s="90">
        <f>G44</f>
        <v>-0.0434308069358479</v>
      </c>
      <c r="G92" s="158"/>
      <c r="H92" s="158"/>
      <c r="I92" s="158"/>
      <c r="J92" s="158"/>
      <c r="K92" s="158"/>
      <c r="L92" s="158"/>
    </row>
    <row r="93" spans="1:12" ht="31.5" customHeight="1" x14ac:dyDescent="0.45">
      <c r="A93" s="18" t="s">
        <v>449</v>
      </c>
      <c r="B93" s="15" t="s">
        <v>84</v>
      </c>
      <c r="C93" s="91">
        <f>H69</f>
        <v>-0.0539408099999999</v>
      </c>
      <c r="D93" s="15" t="s">
        <v>84</v>
      </c>
      <c r="E93" s="15" t="s">
        <v>84</v>
      </c>
      <c r="F93" s="15" t="s">
        <v>84</v>
      </c>
      <c r="G93" s="158"/>
      <c r="H93" s="158"/>
      <c r="I93" s="158"/>
      <c r="J93" s="158"/>
      <c r="K93" s="158"/>
      <c r="L93" s="158"/>
    </row>
    <row r="216" spans="1:12" ht="45" customHeight="1" x14ac:dyDescent="0.45">
      <c r="A216" s="162" t="s">
        <v>450</v>
      </c>
      <c r="B216" s="162"/>
      <c r="C216" s="162"/>
      <c r="D216" s="162"/>
      <c r="E216" s="162"/>
      <c r="F216" s="162"/>
      <c r="G216" s="162"/>
      <c r="H216" s="162"/>
      <c r="I216" s="162"/>
      <c r="J216" s="162"/>
      <c r="K216" s="162"/>
      <c r="L216" s="162"/>
    </row>
  </sheetData>
  <mergeCells count="61">
    <mergeCell ref="A1:L1"/>
    <mergeCell ref="A2:L2"/>
    <mergeCell ref="A4:L4"/>
    <mergeCell ref="A10:L10"/>
    <mergeCell ref="A15:L15"/>
    <mergeCell ref="A20:L20"/>
    <mergeCell ref="A25:L25"/>
    <mergeCell ref="A26:L26"/>
    <mergeCell ref="A28:L28"/>
    <mergeCell ref="A37:L37"/>
    <mergeCell ref="A45:L45"/>
    <mergeCell ref="A47:L47"/>
    <mergeCell ref="K48:L48"/>
    <mergeCell ref="K49:L49"/>
    <mergeCell ref="K50:L50"/>
    <mergeCell ref="K51:L51"/>
    <mergeCell ref="A52:L52"/>
    <mergeCell ref="A53:L53"/>
    <mergeCell ref="A55:L55"/>
    <mergeCell ref="A60:L60"/>
    <mergeCell ref="A62:L62"/>
    <mergeCell ref="A63:L63"/>
    <mergeCell ref="J64:L64"/>
    <mergeCell ref="J65:L65"/>
    <mergeCell ref="J66:L66"/>
    <mergeCell ref="J67:L67"/>
    <mergeCell ref="J68:L68"/>
    <mergeCell ref="J69:L69"/>
    <mergeCell ref="B70:L70"/>
    <mergeCell ref="A71:L71"/>
    <mergeCell ref="A73:L73"/>
    <mergeCell ref="A74:L74"/>
    <mergeCell ref="C75:G75"/>
    <mergeCell ref="J75:L75"/>
    <mergeCell ref="C76:G76"/>
    <mergeCell ref="J76:L76"/>
    <mergeCell ref="C77:G77"/>
    <mergeCell ref="J77:L77"/>
    <mergeCell ref="C78:G78"/>
    <mergeCell ref="J78:L78"/>
    <mergeCell ref="C79:G79"/>
    <mergeCell ref="J79:L79"/>
    <mergeCell ref="C80:G80"/>
    <mergeCell ref="J80:L80"/>
    <mergeCell ref="C81:G81"/>
    <mergeCell ref="J81:L81"/>
    <mergeCell ref="A82:L82"/>
    <mergeCell ref="C83:G83"/>
    <mergeCell ref="J83:L83"/>
    <mergeCell ref="C84:G84"/>
    <mergeCell ref="J84:L84"/>
    <mergeCell ref="C85:G85"/>
    <mergeCell ref="J85:L85"/>
    <mergeCell ref="G92:L92"/>
    <mergeCell ref="G93:L93"/>
    <mergeCell ref="A216:L216"/>
    <mergeCell ref="C86:G86"/>
    <mergeCell ref="J86:L86"/>
    <mergeCell ref="C87:L87"/>
    <mergeCell ref="A89:L89"/>
    <mergeCell ref="G91:L91"/>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2049" r:id="rId3" name="Scroll Bar 1">
              <controlPr defaultSize="0" print="0" autoLine="0" autoPict="0" altText="">
                <anchor moveWithCells="1">
                  <from>
                    <xdr:col>2</xdr:col>
                    <xdr:colOff>19050</xdr:colOff>
                    <xdr:row>75</xdr:row>
                    <xdr:rowOff>23813</xdr:rowOff>
                  </from>
                  <to>
                    <xdr:col>7</xdr:col>
                    <xdr:colOff>0</xdr:colOff>
                    <xdr:row>76</xdr:row>
                    <xdr:rowOff>0</xdr:rowOff>
                  </to>
                </anchor>
              </controlPr>
            </control>
          </mc:Choice>
        </mc:AlternateContent>
        <mc:AlternateContent xmlns:mc="http://schemas.openxmlformats.org/markup-compatibility/2006">
          <mc:Choice Requires="x14">
            <control shapeId="2050" r:id="rId4" name="Scroll Bar 2">
              <controlPr defaultSize="0" print="0" autoLine="0" autoPict="0" altText="">
                <anchor moveWithCells="1">
                  <from>
                    <xdr:col>2</xdr:col>
                    <xdr:colOff>19050</xdr:colOff>
                    <xdr:row>76</xdr:row>
                    <xdr:rowOff>23813</xdr:rowOff>
                  </from>
                  <to>
                    <xdr:col>7</xdr:col>
                    <xdr:colOff>0</xdr:colOff>
                    <xdr:row>77</xdr:row>
                    <xdr:rowOff>0</xdr:rowOff>
                  </to>
                </anchor>
              </controlPr>
            </control>
          </mc:Choice>
        </mc:AlternateContent>
        <mc:AlternateContent xmlns:mc="http://schemas.openxmlformats.org/markup-compatibility/2006">
          <mc:Choice Requires="x14">
            <control shapeId="2051" r:id="rId5" name="Scroll Bar 3">
              <controlPr defaultSize="0" print="0" autoLine="0" autoPict="0" altText="">
                <anchor moveWithCells="1">
                  <from>
                    <xdr:col>2</xdr:col>
                    <xdr:colOff>19050</xdr:colOff>
                    <xdr:row>77</xdr:row>
                    <xdr:rowOff>23813</xdr:rowOff>
                  </from>
                  <to>
                    <xdr:col>7</xdr:col>
                    <xdr:colOff>0</xdr:colOff>
                    <xdr:row>78</xdr:row>
                    <xdr:rowOff>0</xdr:rowOff>
                  </to>
                </anchor>
              </controlPr>
            </control>
          </mc:Choice>
        </mc:AlternateContent>
        <mc:AlternateContent xmlns:mc="http://schemas.openxmlformats.org/markup-compatibility/2006">
          <mc:Choice Requires="x14">
            <control shapeId="2052" r:id="rId6" name="Scroll Bar 4">
              <controlPr defaultSize="0" print="0" autoLine="0" autoPict="0" altText="">
                <anchor moveWithCells="1">
                  <from>
                    <xdr:col>2</xdr:col>
                    <xdr:colOff>19050</xdr:colOff>
                    <xdr:row>78</xdr:row>
                    <xdr:rowOff>23813</xdr:rowOff>
                  </from>
                  <to>
                    <xdr:col>7</xdr:col>
                    <xdr:colOff>0</xdr:colOff>
                    <xdr:row>79</xdr:row>
                    <xdr:rowOff>0</xdr:rowOff>
                  </to>
                </anchor>
              </controlPr>
            </control>
          </mc:Choice>
        </mc:AlternateContent>
        <mc:AlternateContent xmlns:mc="http://schemas.openxmlformats.org/markup-compatibility/2006">
          <mc:Choice Requires="x14">
            <control shapeId="2053" r:id="rId7" name="Scroll Bar 5">
              <controlPr defaultSize="0" print="0" autoLine="0" autoPict="0" altText="">
                <anchor moveWithCells="1">
                  <from>
                    <xdr:col>2</xdr:col>
                    <xdr:colOff>19050</xdr:colOff>
                    <xdr:row>79</xdr:row>
                    <xdr:rowOff>23813</xdr:rowOff>
                  </from>
                  <to>
                    <xdr:col>7</xdr:col>
                    <xdr:colOff>0</xdr:colOff>
                    <xdr:row>80</xdr:row>
                    <xdr:rowOff>0</xdr:rowOff>
                  </to>
                </anchor>
              </controlPr>
            </control>
          </mc:Choice>
        </mc:AlternateContent>
        <mc:AlternateContent xmlns:mc="http://schemas.openxmlformats.org/markup-compatibility/2006">
          <mc:Choice Requires="x14">
            <control shapeId="2054" r:id="rId8" name="Scroll Bar 6">
              <controlPr defaultSize="0" print="0" autoLine="0" autoPict="0" altText="">
                <anchor moveWithCells="1">
                  <from>
                    <xdr:col>2</xdr:col>
                    <xdr:colOff>19050</xdr:colOff>
                    <xdr:row>80</xdr:row>
                    <xdr:rowOff>23813</xdr:rowOff>
                  </from>
                  <to>
                    <xdr:col>7</xdr:col>
                    <xdr:colOff>0</xdr:colOff>
                    <xdr:row>81</xdr:row>
                    <xdr:rowOff>0</xdr:rowOff>
                  </to>
                </anchor>
              </controlPr>
            </control>
          </mc:Choice>
        </mc:AlternateContent>
        <mc:AlternateContent xmlns:mc="http://schemas.openxmlformats.org/markup-compatibility/2006">
          <mc:Choice Requires="x14">
            <control shapeId="2055" r:id="rId9" name="Scroll Bar 7">
              <controlPr defaultSize="0" print="0" autoLine="0" autoPict="0" altText="">
                <anchor moveWithCells="1">
                  <from>
                    <xdr:col>2</xdr:col>
                    <xdr:colOff>19050</xdr:colOff>
                    <xdr:row>82</xdr:row>
                    <xdr:rowOff>23813</xdr:rowOff>
                  </from>
                  <to>
                    <xdr:col>7</xdr:col>
                    <xdr:colOff>0</xdr:colOff>
                    <xdr:row>83</xdr:row>
                    <xdr:rowOff>0</xdr:rowOff>
                  </to>
                </anchor>
              </controlPr>
            </control>
          </mc:Choice>
        </mc:AlternateContent>
        <mc:AlternateContent xmlns:mc="http://schemas.openxmlformats.org/markup-compatibility/2006">
          <mc:Choice Requires="x14">
            <control shapeId="2056" r:id="rId10" name="Scroll Bar 8">
              <controlPr defaultSize="0" print="0" autoLine="0" autoPict="0" altText="">
                <anchor moveWithCells="1">
                  <from>
                    <xdr:col>2</xdr:col>
                    <xdr:colOff>19050</xdr:colOff>
                    <xdr:row>83</xdr:row>
                    <xdr:rowOff>23813</xdr:rowOff>
                  </from>
                  <to>
                    <xdr:col>7</xdr:col>
                    <xdr:colOff>0</xdr:colOff>
                    <xdr:row>84</xdr:row>
                    <xdr:rowOff>0</xdr:rowOff>
                  </to>
                </anchor>
              </controlPr>
            </control>
          </mc:Choice>
        </mc:AlternateContent>
        <mc:AlternateContent xmlns:mc="http://schemas.openxmlformats.org/markup-compatibility/2006">
          <mc:Choice Requires="x14">
            <control shapeId="2057" r:id="rId11" name="Scroll Bar 9">
              <controlPr defaultSize="0" print="0" autoLine="0" autoPict="0" altText="">
                <anchor moveWithCells="1">
                  <from>
                    <xdr:col>2</xdr:col>
                    <xdr:colOff>19050</xdr:colOff>
                    <xdr:row>84</xdr:row>
                    <xdr:rowOff>23813</xdr:rowOff>
                  </from>
                  <to>
                    <xdr:col>7</xdr:col>
                    <xdr:colOff>0</xdr:colOff>
                    <xdr:row>85</xdr:row>
                    <xdr:rowOff>0</xdr:rowOff>
                  </to>
                </anchor>
              </controlPr>
            </control>
          </mc:Choice>
        </mc:AlternateContent>
        <mc:AlternateContent xmlns:mc="http://schemas.openxmlformats.org/markup-compatibility/2006">
          <mc:Choice Requires="x14">
            <control shapeId="2058" r:id="rId12" name="Scroll Bar 10">
              <controlPr defaultSize="0" print="0" autoLine="0" autoPict="0" altText="">
                <anchor moveWithCells="1">
                  <from>
                    <xdr:col>2</xdr:col>
                    <xdr:colOff>19050</xdr:colOff>
                    <xdr:row>85</xdr:row>
                    <xdr:rowOff>23813</xdr:rowOff>
                  </from>
                  <to>
                    <xdr:col>7</xdr:col>
                    <xdr:colOff>0</xdr:colOff>
                    <xdr:row>86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6305B"/>
  </sheetPr>
  <dimension ref="A1:K37"/>
  <sheetViews>
    <sheetView showGridLines="0" topLeftCell="A19" zoomScale="68" zoomScaleNormal="100" workbookViewId="0">
      <selection sqref="A1:K1"/>
    </sheetView>
  </sheetViews>
  <sheetFormatPr defaultColWidth="8.6640625" defaultRowHeight="14.25" x14ac:dyDescent="0.45"/>
  <cols>
    <col min="1" max="1" width="23" customWidth="1"/>
    <col min="2" max="2" width="12.6640625" customWidth="1"/>
    <col min="3" max="4" width="13.6640625" customWidth="1"/>
    <col min="5" max="6" width="11.46484375" customWidth="1"/>
  </cols>
  <sheetData>
    <row r="1" spans="1:11" ht="37.5" customHeight="1" x14ac:dyDescent="0.45">
      <c r="A1" s="167" t="s">
        <v>451</v>
      </c>
      <c r="B1" s="167"/>
      <c r="C1" s="167"/>
      <c r="D1" s="167"/>
      <c r="E1" s="167"/>
      <c r="F1" s="167"/>
      <c r="G1" s="167"/>
      <c r="H1" s="167"/>
      <c r="I1" s="167"/>
      <c r="J1" s="167"/>
      <c r="K1" s="167"/>
    </row>
    <row r="2" spans="1:11" ht="31.5" customHeight="1" x14ac:dyDescent="0.45">
      <c r="A2" s="168" t="s">
        <v>452</v>
      </c>
      <c r="B2" s="168"/>
      <c r="C2" s="168"/>
      <c r="D2" s="168"/>
      <c r="E2" s="168"/>
      <c r="F2" s="168"/>
      <c r="G2" s="168"/>
      <c r="H2" s="168"/>
      <c r="I2" s="168"/>
      <c r="J2" s="168"/>
      <c r="K2" s="168"/>
    </row>
    <row r="4" spans="1:11" ht="24" customHeight="1" x14ac:dyDescent="0.45">
      <c r="A4" s="155" t="s">
        <v>453</v>
      </c>
      <c r="B4" s="155"/>
      <c r="C4" s="155"/>
      <c r="D4" s="155"/>
      <c r="E4" s="155"/>
      <c r="F4" s="155"/>
      <c r="G4" s="155"/>
      <c r="H4" s="155"/>
      <c r="I4" s="155"/>
      <c r="J4" s="155"/>
      <c r="K4" s="155"/>
    </row>
    <row r="5" spans="1:11" ht="45" customHeight="1" x14ac:dyDescent="0.45">
      <c r="A5" s="2" t="s">
        <v>454</v>
      </c>
      <c r="B5" s="2" t="s">
        <v>455</v>
      </c>
      <c r="C5" s="2" t="s">
        <v>456</v>
      </c>
      <c r="D5" s="2" t="s">
        <v>457</v>
      </c>
      <c r="E5" s="2" t="s">
        <v>458</v>
      </c>
      <c r="F5" s="2" t="s">
        <v>459</v>
      </c>
      <c r="G5" s="156" t="s">
        <v>460</v>
      </c>
      <c r="H5" s="156"/>
      <c r="I5" s="156"/>
      <c r="J5" s="156"/>
      <c r="K5" s="156"/>
    </row>
    <row r="6" spans="1:11" ht="72.75" customHeight="1" x14ac:dyDescent="0.45">
      <c r="A6" s="9" t="s">
        <v>461</v>
      </c>
      <c r="B6" s="74">
        <v>0.09</v>
      </c>
      <c r="C6" s="100">
        <v>0.6</v>
      </c>
      <c r="D6" s="100">
        <v>0.6</v>
      </c>
      <c r="E6" s="58">
        <f>B6*C6</f>
        <v>0.054</v>
      </c>
      <c r="F6" s="58">
        <f>B6*D6</f>
        <v>0.054</v>
      </c>
      <c r="G6" s="151" t="s">
        <v>462</v>
      </c>
      <c r="H6" s="151"/>
      <c r="I6" s="151"/>
      <c r="J6" s="151"/>
      <c r="K6" s="151"/>
    </row>
    <row r="7" spans="1:11" ht="72.75" customHeight="1" x14ac:dyDescent="0.45">
      <c r="A7" s="9" t="s">
        <v>463</v>
      </c>
      <c r="B7" s="74">
        <v>0.42</v>
      </c>
      <c r="C7" s="325">
        <f>'11-v4.2-Recalibration'!$J$48</f>
        <v>0.3</v>
      </c>
      <c r="D7" s="100">
        <v>0.3</v>
      </c>
      <c r="E7" s="58">
        <f>B7*C7</f>
        <v>0.126</v>
      </c>
      <c r="F7" s="58">
        <f>B7*D7</f>
        <v>0.126</v>
      </c>
      <c r="G7" s="318" t="s">
        <v>1844</v>
      </c>
      <c r="H7" s="318"/>
      <c r="I7" s="318"/>
      <c r="J7" s="318"/>
      <c r="K7" s="318"/>
    </row>
    <row r="8" spans="1:11" ht="59.25" customHeight="1" x14ac:dyDescent="0.45">
      <c r="A8" s="9" t="s">
        <v>465</v>
      </c>
      <c r="B8" s="74">
        <v>0.27</v>
      </c>
      <c r="C8" s="100">
        <v>0.12</v>
      </c>
      <c r="D8" s="100">
        <v>-0.05</v>
      </c>
      <c r="E8" s="58">
        <f>B8*C8</f>
        <v>0.0324</v>
      </c>
      <c r="F8" s="58">
        <f>B8*D8</f>
        <v>-0.0135</v>
      </c>
      <c r="G8" s="151" t="s">
        <v>466</v>
      </c>
      <c r="H8" s="151"/>
      <c r="I8" s="151"/>
      <c r="J8" s="151"/>
      <c r="K8" s="151"/>
    </row>
    <row r="9" spans="1:11" ht="45" customHeight="1" x14ac:dyDescent="0.45">
      <c r="A9" s="9" t="s">
        <v>467</v>
      </c>
      <c r="B9" s="74">
        <v>0.13</v>
      </c>
      <c r="C9" s="100">
        <v>0.12</v>
      </c>
      <c r="D9" s="100">
        <v>-0.05</v>
      </c>
      <c r="E9" s="58">
        <f>B9*C9</f>
        <v>0.0156</v>
      </c>
      <c r="F9" s="58">
        <f>B9*D9</f>
        <v>-0.0065</v>
      </c>
      <c r="G9" s="229" t="s">
        <v>1309</v>
      </c>
      <c r="H9" s="229"/>
      <c r="I9" s="229"/>
      <c r="J9" s="229"/>
      <c r="K9" s="229"/>
    </row>
    <row r="10" spans="1:11" ht="45" customHeight="1" x14ac:dyDescent="0.45">
      <c r="A10" s="14" t="s">
        <v>469</v>
      </c>
      <c r="B10" s="74">
        <v>0.09</v>
      </c>
      <c r="C10" s="100">
        <v>0.08</v>
      </c>
      <c r="D10" s="100">
        <v>0</v>
      </c>
      <c r="E10" s="58">
        <f>B10*C10</f>
        <v>0.0072</v>
      </c>
      <c r="F10" s="58">
        <f>B10*D10</f>
        <v>0</v>
      </c>
      <c r="G10" s="151" t="s">
        <v>470</v>
      </c>
      <c r="H10" s="151"/>
      <c r="I10" s="151"/>
      <c r="J10" s="151"/>
      <c r="K10" s="151"/>
    </row>
    <row r="11" spans="1:11" ht="25.5" customHeight="1" x14ac:dyDescent="0.45">
      <c r="A11" s="61" t="s">
        <v>471</v>
      </c>
      <c r="B11" s="101">
        <f>SUM(B6:B10)</f>
        <v>1</v>
      </c>
      <c r="C11" s="15" t="s">
        <v>84</v>
      </c>
      <c r="D11" s="15" t="s">
        <v>84</v>
      </c>
      <c r="E11" s="63">
        <f>SUM(E6:E10)</f>
        <v>0.2352</v>
      </c>
      <c r="F11" s="63">
        <f>SUM(F6:F10)</f>
        <v>0.16</v>
      </c>
      <c r="G11" s="176" t="str">
        <f>IF(ABS(B11-1)&lt;0.0001,"✔  Weights sum to 100%; the comparison below is valid.","⚠  Currently "&amp;TEXT(B11,"0.0%")&amp;" — put the weights back to 100%.")</f>
        <v>✔  Weights sum to 100%; the comparison below is valid.</v>
      </c>
      <c r="H11" s="176"/>
      <c r="I11" s="176"/>
      <c r="J11" s="176"/>
      <c r="K11" s="176"/>
    </row>
    <row r="13" spans="1:11" ht="24" customHeight="1" x14ac:dyDescent="0.45">
      <c r="A13" s="155" t="s">
        <v>472</v>
      </c>
      <c r="B13" s="155"/>
      <c r="C13" s="155"/>
      <c r="D13" s="155"/>
      <c r="E13" s="155"/>
      <c r="F13" s="155"/>
      <c r="G13" s="155"/>
      <c r="H13" s="155"/>
      <c r="I13" s="155"/>
      <c r="J13" s="155"/>
      <c r="K13" s="155"/>
    </row>
    <row r="14" spans="1:11" ht="27" customHeight="1" x14ac:dyDescent="0.45">
      <c r="A14" s="2" t="s">
        <v>473</v>
      </c>
      <c r="B14" s="2" t="s">
        <v>474</v>
      </c>
      <c r="C14" s="2" t="s">
        <v>475</v>
      </c>
      <c r="D14" s="156" t="s">
        <v>45</v>
      </c>
      <c r="E14" s="156"/>
      <c r="F14" s="156"/>
      <c r="G14" s="156"/>
      <c r="H14" s="156" t="s">
        <v>327</v>
      </c>
      <c r="I14" s="156"/>
      <c r="J14" s="156"/>
      <c r="K14" s="156"/>
    </row>
    <row r="15" spans="1:11" ht="45" customHeight="1" x14ac:dyDescent="0.45">
      <c r="A15" s="14" t="s">
        <v>476</v>
      </c>
      <c r="B15" s="16">
        <f>'01-DRAM-Model'!J26</f>
        <v>0.228607623205902</v>
      </c>
      <c r="C15" s="15" t="s">
        <v>84</v>
      </c>
      <c r="D15" s="151" t="s">
        <v>477</v>
      </c>
      <c r="E15" s="151"/>
      <c r="F15" s="151"/>
      <c r="G15" s="151"/>
      <c r="H15" s="193" t="s">
        <v>478</v>
      </c>
      <c r="I15" s="193"/>
      <c r="J15" s="193"/>
      <c r="K15" s="193"/>
    </row>
    <row r="16" spans="1:11" ht="33.75" customHeight="1" x14ac:dyDescent="0.45">
      <c r="A16" s="14" t="s">
        <v>479</v>
      </c>
      <c r="B16" s="16">
        <f>'01-DRAM-Model'!K26+'01-DRAM-Model'!$B$149</f>
        <v>0.33</v>
      </c>
      <c r="C16" s="102">
        <f>B15-B16</f>
        <v>-0.101392376794098</v>
      </c>
      <c r="D16" s="151" t="s">
        <v>480</v>
      </c>
      <c r="E16" s="151"/>
      <c r="F16" s="151"/>
      <c r="G16" s="151"/>
      <c r="H16" s="193" t="s">
        <v>481</v>
      </c>
      <c r="I16" s="193"/>
      <c r="J16" s="193"/>
      <c r="K16" s="193"/>
    </row>
    <row r="17" spans="1:11" ht="33.75" customHeight="1" x14ac:dyDescent="0.45">
      <c r="A17" s="14" t="s">
        <v>482</v>
      </c>
      <c r="B17" s="60">
        <f>E11</f>
        <v>0.2352</v>
      </c>
      <c r="C17" s="102">
        <f>B15-B17</f>
        <v>-0.0065923767940978</v>
      </c>
      <c r="D17" s="229" t="s">
        <v>1310</v>
      </c>
      <c r="E17" s="229"/>
      <c r="F17" s="229"/>
      <c r="G17" s="229"/>
      <c r="H17" s="340" t="str">
        <f>"★ about "&amp;SUBSTITUTE(TEXT((B16-B17)*100,"0.0"),"-","−")&amp;"pp below the value in use"</f>
        <v>★ about 9.5pp below the value in use</v>
      </c>
      <c r="I17" s="340"/>
      <c r="J17" s="340"/>
      <c r="K17" s="340"/>
    </row>
    <row r="18" spans="1:11" ht="45" customHeight="1" x14ac:dyDescent="0.45">
      <c r="A18" s="14" t="s">
        <v>485</v>
      </c>
      <c r="B18" s="60">
        <f>F11</f>
        <v>0.16</v>
      </c>
      <c r="C18" s="102">
        <f>B15-B18</f>
        <v>0.0686076232059022</v>
      </c>
      <c r="D18" s="151" t="s">
        <v>486</v>
      </c>
      <c r="E18" s="151"/>
      <c r="F18" s="151"/>
      <c r="G18" s="151"/>
      <c r="H18" s="217" t="s">
        <v>1311</v>
      </c>
      <c r="I18" s="217"/>
      <c r="J18" s="217"/>
      <c r="K18" s="217"/>
    </row>
    <row r="20" spans="1:11" ht="59.25" customHeight="1" x14ac:dyDescent="0.45">
      <c r="A20" s="264" t="str">
        <f>"★★ This is the most important addition of v3.0. v2.0 once used NAND's −4.1% to 'validate' TrendForce's −4~−5%, but audit finding A, item 1 showed that to be a pseudo-validation — one free parameter (NAND start −2.0%, no derivation) fitted t"&amp;"o one target. This table instead decomposes five segments first, then sets the two bases against two external datasets: the unconstrained basis gives "&amp;SUBSTITUTE(TEXT(C17,"+0.0%;-0.0%;0.0%"),"-","−")&amp;" (the value in use gives "&amp;SUBSTITUTE(TEXT(C16,"+0.0%;-0.0%;0.0%"),"-","−")&amp;"). ▲ v4.1: the cleared basis gives "&amp;SUBSTITUTE(TEXT(C18,"+0.0%;-0.0%;0.0%"),"-","−")&amp;", which does not reproduce TrendForce's −1~−2% sufficiency — the two differ in basis (a flow here, a level there) and in year, and the write-up withdrew the match. It stays an open reconciliation item."</f>
        <v>★★ This is the most important addition of v3.0. v2.0 once used NAND's −4.1% to 'validate' TrendForce's −4~−5%, but audit finding A, item 1 showed that to be a pseudo-validation — one free parameter (NAND start −2.0%, no derivation) fitted to one target. This table instead decomposes five segments first, then sets the two bases against two external datasets: the unconstrained basis gives −0.7% (the value in use gives −10.1%). ▲ v4.1: the cleared basis gives +6.9%, which does not reproduce TrendForce's −1~−2% sufficiency — the two differ in basis (a flow here, a level there) and in year, and the write-up withdrew the match. It stays an open reconciliation item.</v>
      </c>
      <c r="B20" s="264"/>
      <c r="C20" s="264"/>
      <c r="D20" s="264"/>
      <c r="E20" s="264"/>
      <c r="F20" s="264"/>
      <c r="G20" s="264"/>
      <c r="H20" s="264"/>
      <c r="I20" s="264"/>
      <c r="J20" s="264"/>
      <c r="K20" s="264"/>
    </row>
    <row r="22" spans="1:11" ht="24" customHeight="1" x14ac:dyDescent="0.45">
      <c r="A22" s="155" t="s">
        <v>489</v>
      </c>
      <c r="B22" s="155"/>
      <c r="C22" s="155"/>
      <c r="D22" s="155"/>
      <c r="E22" s="155"/>
      <c r="F22" s="155"/>
      <c r="G22" s="155"/>
      <c r="H22" s="155"/>
      <c r="I22" s="155"/>
      <c r="J22" s="155"/>
      <c r="K22" s="155"/>
    </row>
    <row r="23" spans="1:11" ht="59.25" customHeight="1" x14ac:dyDescent="0.45">
      <c r="A23" s="208" t="str">
        <f>"Start −9.0% = (normal 8 weeks − actual 3.3 weeks) ÷ 52 — the v3.0 calibration; on the v4.0 reading of 1.43 weeks and the 6-week normal now used the same formula gives "&amp;SUBSTITUTE(TEXT('01-DRAM-Model'!$B$13,"0.0%"),"-","−")&amp;", and the console uses "&amp;SUBSTITUTE(TEXT('01-DRAM-Model'!$B$14,"0.0%"),"-","−")&amp;". Inventory weeks are converted using ACTUAL (cleared) consumption, so the denominator is cleared demand. But the recursion (1+gap_t−1)×(1+supply)÷(1+demand) uses UNCONSTRAINED demand. Two different denominators inside one continued product"&amp;". Consequence: the gap is systematically computed too deep. The table below quantifies the mismatch."</f>
        <v>Start −9.0% = (normal 8 weeks − actual 3.3 weeks) ÷ 52 — the v3.0 calibration; on the v4.0 reading of 1.43 weeks and the 6-week normal now used the same formula gives −8.8%, and the console uses −7.0%. Inventory weeks are converted using ACTUAL (cleared) consumption, so the denominator is cleared demand. But the recursion (1+gap_t−1)×(1+supply)÷(1+demand) uses UNCONSTRAINED demand. Two different denominators inside one continued product. Consequence: the gap is systematically computed too deep. The table below quantifies the mismatch.</v>
      </c>
      <c r="B23" s="208"/>
      <c r="C23" s="208"/>
      <c r="D23" s="208"/>
      <c r="E23" s="208"/>
      <c r="F23" s="208"/>
      <c r="G23" s="208"/>
      <c r="H23" s="208"/>
      <c r="I23" s="208"/>
      <c r="J23" s="208"/>
      <c r="K23" s="208"/>
    </row>
    <row r="24" spans="1:11" ht="27" customHeight="1" x14ac:dyDescent="0.45">
      <c r="A24" s="2" t="s">
        <v>473</v>
      </c>
      <c r="B24" s="2" t="s">
        <v>491</v>
      </c>
      <c r="C24" s="156" t="s">
        <v>55</v>
      </c>
      <c r="D24" s="156"/>
      <c r="E24" s="156"/>
      <c r="F24" s="156"/>
      <c r="G24" s="156"/>
      <c r="H24" s="156"/>
      <c r="I24" s="156"/>
      <c r="J24" s="156"/>
      <c r="K24" s="156"/>
    </row>
    <row r="25" spans="1:11" ht="31.5" customHeight="1" x14ac:dyDescent="0.45">
      <c r="A25" s="14" t="s">
        <v>492</v>
      </c>
      <c r="B25" s="102">
        <f>B17</f>
        <v>0.2352</v>
      </c>
      <c r="C25" s="152" t="s">
        <v>493</v>
      </c>
      <c r="D25" s="152"/>
      <c r="E25" s="152"/>
      <c r="F25" s="152"/>
      <c r="G25" s="152"/>
      <c r="H25" s="152"/>
      <c r="I25" s="152"/>
      <c r="J25" s="152"/>
      <c r="K25" s="152"/>
    </row>
    <row r="26" spans="1:11" ht="18.75" customHeight="1" x14ac:dyDescent="0.45">
      <c r="A26" s="9" t="s">
        <v>494</v>
      </c>
      <c r="B26" s="102">
        <f>B18</f>
        <v>0.16</v>
      </c>
      <c r="C26" s="152" t="s">
        <v>495</v>
      </c>
      <c r="D26" s="152"/>
      <c r="E26" s="152"/>
      <c r="F26" s="152"/>
      <c r="G26" s="152"/>
      <c r="H26" s="152"/>
      <c r="I26" s="152"/>
      <c r="J26" s="152"/>
      <c r="K26" s="152"/>
    </row>
    <row r="27" spans="1:11" ht="31.5" customHeight="1" x14ac:dyDescent="0.45">
      <c r="A27" s="14" t="s">
        <v>496</v>
      </c>
      <c r="B27" s="103">
        <f>(B25-B26)*100</f>
        <v>7.52</v>
      </c>
      <c r="C27" s="152" t="s">
        <v>497</v>
      </c>
      <c r="D27" s="152"/>
      <c r="E27" s="152"/>
      <c r="F27" s="152"/>
      <c r="G27" s="152"/>
      <c r="H27" s="152"/>
      <c r="I27" s="152"/>
      <c r="J27" s="152"/>
      <c r="K27" s="152"/>
    </row>
    <row r="28" spans="1:11" ht="31.5" customHeight="1" x14ac:dyDescent="0.45">
      <c r="A28" s="14" t="s">
        <v>498</v>
      </c>
      <c r="B28" s="103">
        <f>(((1+B25)^3/(1+B26)^3)-1)*100</f>
        <v>20.7363051867646</v>
      </c>
      <c r="C28" s="341" t="str">
        <f>"★ This is the main reason the model's stock gap ("&amp;SUBSTITUTE(TEXT('01-DRAM-Model'!$G$65,"0.0%"),"-","−")&amp;" in 2028, base case) runs deeper than any external dataset."</f>
        <v>★ This is the main reason the model's stock gap (−22.4% in 2028, base case) runs deeper than any external dataset.</v>
      </c>
      <c r="D28" s="341"/>
      <c r="E28" s="341"/>
      <c r="F28" s="341"/>
      <c r="G28" s="341"/>
      <c r="H28" s="341"/>
      <c r="I28" s="341"/>
      <c r="J28" s="341"/>
      <c r="K28" s="341"/>
    </row>
    <row r="30" spans="1:11" ht="45" customHeight="1" x14ac:dyDescent="0.45">
      <c r="A30" s="162" t="s">
        <v>500</v>
      </c>
      <c r="B30" s="162"/>
      <c r="C30" s="162"/>
      <c r="D30" s="162"/>
      <c r="E30" s="162"/>
      <c r="F30" s="162"/>
      <c r="G30" s="162"/>
      <c r="H30" s="162"/>
      <c r="I30" s="162"/>
      <c r="J30" s="162"/>
      <c r="K30" s="162"/>
    </row>
    <row r="32" spans="1:11" ht="24" customHeight="1" x14ac:dyDescent="0.45">
      <c r="A32" s="171" t="s">
        <v>501</v>
      </c>
      <c r="B32" s="171"/>
      <c r="C32" s="171"/>
      <c r="D32" s="171"/>
      <c r="E32" s="171"/>
      <c r="F32" s="171"/>
      <c r="G32" s="171"/>
      <c r="H32" s="171"/>
      <c r="I32" s="171"/>
      <c r="J32" s="171"/>
      <c r="K32" s="171"/>
    </row>
    <row r="33" spans="1:11" ht="27" customHeight="1" x14ac:dyDescent="0.45">
      <c r="A33" s="1" t="s">
        <v>473</v>
      </c>
      <c r="B33" s="172" t="s">
        <v>502</v>
      </c>
      <c r="C33" s="172"/>
      <c r="D33" s="172"/>
      <c r="E33" s="172" t="s">
        <v>503</v>
      </c>
      <c r="F33" s="172"/>
      <c r="G33" s="172" t="s">
        <v>504</v>
      </c>
      <c r="H33" s="172"/>
      <c r="I33" s="172"/>
      <c r="J33" s="172"/>
      <c r="K33" s="172"/>
    </row>
    <row r="34" spans="1:11" ht="72.75" customHeight="1" x14ac:dyDescent="0.45">
      <c r="A34" s="104" t="s">
        <v>505</v>
      </c>
      <c r="B34" s="166" t="s">
        <v>506</v>
      </c>
      <c r="C34" s="166"/>
      <c r="D34" s="166"/>
      <c r="E34" s="166" t="s">
        <v>507</v>
      </c>
      <c r="F34" s="166"/>
      <c r="G34" s="192" t="s">
        <v>508</v>
      </c>
      <c r="H34" s="192"/>
      <c r="I34" s="192"/>
      <c r="J34" s="192"/>
      <c r="K34" s="192"/>
    </row>
    <row r="35" spans="1:11" ht="72" customHeight="1" x14ac:dyDescent="0.45">
      <c r="A35" s="104" t="s">
        <v>509</v>
      </c>
      <c r="B35" s="166" t="s">
        <v>510</v>
      </c>
      <c r="C35" s="166"/>
      <c r="D35" s="166"/>
      <c r="E35" s="166" t="s">
        <v>511</v>
      </c>
      <c r="F35" s="166"/>
      <c r="G35" s="192" t="s">
        <v>512</v>
      </c>
      <c r="H35" s="192"/>
      <c r="I35" s="192"/>
      <c r="J35" s="192"/>
      <c r="K35" s="192"/>
    </row>
    <row r="36" spans="1:11" ht="87" customHeight="1" x14ac:dyDescent="0.45">
      <c r="A36" s="104" t="s">
        <v>513</v>
      </c>
      <c r="B36" s="166" t="s">
        <v>514</v>
      </c>
      <c r="C36" s="166"/>
      <c r="D36" s="166"/>
      <c r="E36" s="166" t="s">
        <v>515</v>
      </c>
      <c r="F36" s="166"/>
      <c r="G36" s="192" t="s">
        <v>516</v>
      </c>
      <c r="H36" s="192"/>
      <c r="I36" s="192"/>
      <c r="J36" s="192"/>
      <c r="K36" s="192"/>
    </row>
    <row r="37" spans="1:11" ht="45" customHeight="1" x14ac:dyDescent="0.45">
      <c r="A37" s="170" t="s">
        <v>517</v>
      </c>
      <c r="B37" s="170"/>
      <c r="C37" s="170"/>
      <c r="D37" s="170"/>
      <c r="E37" s="170"/>
      <c r="F37" s="170"/>
      <c r="G37" s="170"/>
      <c r="H37" s="170"/>
      <c r="I37" s="170"/>
      <c r="J37" s="170"/>
      <c r="K37" s="170"/>
    </row>
  </sheetData>
  <mergeCells count="44">
    <mergeCell ref="A1:K1"/>
    <mergeCell ref="A2:K2"/>
    <mergeCell ref="A4:K4"/>
    <mergeCell ref="G5:K5"/>
    <mergeCell ref="G6:K6"/>
    <mergeCell ref="G7:K7"/>
    <mergeCell ref="G8:K8"/>
    <mergeCell ref="G9:K9"/>
    <mergeCell ref="G10:K10"/>
    <mergeCell ref="G11:K11"/>
    <mergeCell ref="A13:K13"/>
    <mergeCell ref="D14:G14"/>
    <mergeCell ref="H14:K14"/>
    <mergeCell ref="D15:G15"/>
    <mergeCell ref="H15:K15"/>
    <mergeCell ref="D16:G16"/>
    <mergeCell ref="H16:K16"/>
    <mergeCell ref="D17:G17"/>
    <mergeCell ref="H17:K17"/>
    <mergeCell ref="D18:G18"/>
    <mergeCell ref="H18:K18"/>
    <mergeCell ref="A20:K20"/>
    <mergeCell ref="A22:K22"/>
    <mergeCell ref="A23:K23"/>
    <mergeCell ref="C24:K24"/>
    <mergeCell ref="C25:K25"/>
    <mergeCell ref="C26:K26"/>
    <mergeCell ref="C27:K27"/>
    <mergeCell ref="C28:K28"/>
    <mergeCell ref="A30:K30"/>
    <mergeCell ref="A32:K32"/>
    <mergeCell ref="B33:D33"/>
    <mergeCell ref="E33:F33"/>
    <mergeCell ref="G33:K33"/>
    <mergeCell ref="B34:D34"/>
    <mergeCell ref="E34:F34"/>
    <mergeCell ref="G34:K34"/>
    <mergeCell ref="A37:K37"/>
    <mergeCell ref="B35:D35"/>
    <mergeCell ref="E35:F35"/>
    <mergeCell ref="G35:K35"/>
    <mergeCell ref="B36:D36"/>
    <mergeCell ref="E36:F36"/>
    <mergeCell ref="G36:K36"/>
  </mergeCells>
  <phoneticPr fontId="59"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6305B"/>
  </sheetPr>
  <dimension ref="A1:L48"/>
  <sheetViews>
    <sheetView showGridLines="0" zoomScaleNormal="100" workbookViewId="0">
      <selection sqref="A1:L1"/>
    </sheetView>
  </sheetViews>
  <sheetFormatPr defaultColWidth="8.6640625" defaultRowHeight="14.25" x14ac:dyDescent="0.45"/>
  <cols>
    <col min="1" max="1" width="23" customWidth="1"/>
    <col min="2" max="2" width="12.6640625" customWidth="1"/>
    <col min="3" max="3" width="12" customWidth="1"/>
    <col min="4" max="4" width="11" customWidth="1"/>
    <col min="7" max="7" width="11" customWidth="1"/>
  </cols>
  <sheetData>
    <row r="1" spans="1:12" ht="37.5" customHeight="1" x14ac:dyDescent="0.45">
      <c r="A1" s="167" t="s">
        <v>518</v>
      </c>
      <c r="B1" s="167"/>
      <c r="C1" s="167"/>
      <c r="D1" s="167"/>
      <c r="E1" s="167"/>
      <c r="F1" s="167"/>
      <c r="G1" s="167"/>
      <c r="H1" s="167"/>
      <c r="I1" s="167"/>
      <c r="J1" s="167"/>
      <c r="K1" s="167"/>
      <c r="L1" s="167"/>
    </row>
    <row r="2" spans="1:12" ht="31.5" customHeight="1" x14ac:dyDescent="0.45">
      <c r="A2" s="168" t="s">
        <v>519</v>
      </c>
      <c r="B2" s="168"/>
      <c r="C2" s="168"/>
      <c r="D2" s="168"/>
      <c r="E2" s="168"/>
      <c r="F2" s="168"/>
      <c r="G2" s="168"/>
      <c r="H2" s="168"/>
      <c r="I2" s="168"/>
      <c r="J2" s="168"/>
      <c r="K2" s="168"/>
      <c r="L2" s="168"/>
    </row>
    <row r="4" spans="1:12" ht="24" customHeight="1" x14ac:dyDescent="0.45">
      <c r="A4" s="155" t="s">
        <v>520</v>
      </c>
      <c r="B4" s="155"/>
      <c r="C4" s="155"/>
      <c r="D4" s="155"/>
      <c r="E4" s="155"/>
      <c r="F4" s="155"/>
      <c r="G4" s="155"/>
      <c r="H4" s="155"/>
      <c r="I4" s="155"/>
      <c r="J4" s="155"/>
      <c r="K4" s="155"/>
      <c r="L4" s="155"/>
    </row>
    <row r="5" spans="1:12" ht="27" customHeight="1" x14ac:dyDescent="0.45">
      <c r="A5" s="2" t="s">
        <v>521</v>
      </c>
      <c r="B5" s="156" t="s">
        <v>522</v>
      </c>
      <c r="C5" s="156"/>
      <c r="D5" s="156"/>
      <c r="E5" s="156" t="s">
        <v>523</v>
      </c>
      <c r="F5" s="156"/>
      <c r="G5" s="156" t="s">
        <v>524</v>
      </c>
      <c r="H5" s="156"/>
      <c r="I5" s="156" t="s">
        <v>525</v>
      </c>
      <c r="J5" s="156"/>
      <c r="K5" s="156"/>
      <c r="L5" s="156"/>
    </row>
    <row r="6" spans="1:12" ht="87" customHeight="1" x14ac:dyDescent="0.45">
      <c r="A6" s="105" t="s">
        <v>526</v>
      </c>
      <c r="B6" s="166" t="s">
        <v>527</v>
      </c>
      <c r="C6" s="166"/>
      <c r="D6" s="166"/>
      <c r="E6" s="196" t="s">
        <v>528</v>
      </c>
      <c r="F6" s="196"/>
      <c r="G6" s="166" t="s">
        <v>529</v>
      </c>
      <c r="H6" s="166"/>
      <c r="I6" s="166" t="s">
        <v>530</v>
      </c>
      <c r="J6" s="166"/>
      <c r="K6" s="166"/>
      <c r="L6" s="166"/>
    </row>
    <row r="7" spans="1:12" ht="72" customHeight="1" x14ac:dyDescent="0.45">
      <c r="A7" s="105" t="s">
        <v>531</v>
      </c>
      <c r="B7" s="166" t="s">
        <v>532</v>
      </c>
      <c r="C7" s="166"/>
      <c r="D7" s="166"/>
      <c r="E7" s="196" t="s">
        <v>533</v>
      </c>
      <c r="F7" s="196"/>
      <c r="G7" s="166" t="s">
        <v>534</v>
      </c>
      <c r="H7" s="166"/>
      <c r="I7" s="166" t="s">
        <v>535</v>
      </c>
      <c r="J7" s="166"/>
      <c r="K7" s="166"/>
      <c r="L7" s="166"/>
    </row>
    <row r="8" spans="1:12" ht="87" customHeight="1" x14ac:dyDescent="0.45">
      <c r="A8" s="105" t="s">
        <v>536</v>
      </c>
      <c r="B8" s="166" t="s">
        <v>537</v>
      </c>
      <c r="C8" s="166"/>
      <c r="D8" s="166"/>
      <c r="E8" s="196" t="s">
        <v>538</v>
      </c>
      <c r="F8" s="196"/>
      <c r="G8" s="166" t="s">
        <v>539</v>
      </c>
      <c r="H8" s="166"/>
      <c r="I8" s="166" t="s">
        <v>540</v>
      </c>
      <c r="J8" s="166"/>
      <c r="K8" s="166"/>
      <c r="L8" s="166"/>
    </row>
    <row r="9" spans="1:12" ht="72" customHeight="1" x14ac:dyDescent="0.45">
      <c r="A9" s="105" t="s">
        <v>541</v>
      </c>
      <c r="B9" s="166" t="s">
        <v>542</v>
      </c>
      <c r="C9" s="166"/>
      <c r="D9" s="166"/>
      <c r="E9" s="196" t="s">
        <v>543</v>
      </c>
      <c r="F9" s="196"/>
      <c r="G9" s="166" t="s">
        <v>544</v>
      </c>
      <c r="H9" s="166"/>
      <c r="I9" s="166" t="s">
        <v>545</v>
      </c>
      <c r="J9" s="166"/>
      <c r="K9" s="166"/>
      <c r="L9" s="166"/>
    </row>
    <row r="10" spans="1:12" ht="72.75" customHeight="1" x14ac:dyDescent="0.45">
      <c r="A10" s="105" t="s">
        <v>546</v>
      </c>
      <c r="B10" s="166" t="s">
        <v>547</v>
      </c>
      <c r="C10" s="166"/>
      <c r="D10" s="166"/>
      <c r="E10" s="196" t="s">
        <v>548</v>
      </c>
      <c r="F10" s="196"/>
      <c r="G10" s="166" t="s">
        <v>549</v>
      </c>
      <c r="H10" s="166"/>
      <c r="I10" s="166" t="s">
        <v>550</v>
      </c>
      <c r="J10" s="166"/>
      <c r="K10" s="166"/>
      <c r="L10" s="166"/>
    </row>
    <row r="11" spans="1:12" ht="114" customHeight="1" x14ac:dyDescent="0.45">
      <c r="A11" s="105" t="s">
        <v>551</v>
      </c>
      <c r="B11" s="166" t="s">
        <v>552</v>
      </c>
      <c r="C11" s="166"/>
      <c r="D11" s="166"/>
      <c r="E11" s="197" t="s">
        <v>553</v>
      </c>
      <c r="F11" s="197"/>
      <c r="G11" s="166" t="s">
        <v>554</v>
      </c>
      <c r="H11" s="166"/>
      <c r="I11" s="166" t="s">
        <v>555</v>
      </c>
      <c r="J11" s="166"/>
      <c r="K11" s="166"/>
      <c r="L11" s="166"/>
    </row>
    <row r="13" spans="1:12" ht="24" customHeight="1" x14ac:dyDescent="0.45">
      <c r="A13" s="155" t="s">
        <v>556</v>
      </c>
      <c r="B13" s="155"/>
      <c r="C13" s="155"/>
      <c r="D13" s="155"/>
      <c r="E13" s="155"/>
      <c r="F13" s="155"/>
      <c r="G13" s="155"/>
      <c r="H13" s="155"/>
      <c r="I13" s="155"/>
      <c r="J13" s="155"/>
      <c r="K13" s="155"/>
      <c r="L13" s="155"/>
    </row>
    <row r="14" spans="1:12" ht="27" customHeight="1" x14ac:dyDescent="0.45">
      <c r="A14" s="156" t="s">
        <v>91</v>
      </c>
      <c r="B14" s="156"/>
      <c r="C14" s="2" t="s">
        <v>78</v>
      </c>
      <c r="D14" s="2" t="s">
        <v>79</v>
      </c>
      <c r="E14" s="156" t="s">
        <v>557</v>
      </c>
      <c r="F14" s="156"/>
      <c r="G14" s="156"/>
      <c r="H14" s="156"/>
      <c r="I14" s="156"/>
      <c r="J14" s="156"/>
      <c r="K14" s="156"/>
      <c r="L14" s="156"/>
    </row>
    <row r="15" spans="1:12" ht="25.5" customHeight="1" x14ac:dyDescent="0.45">
      <c r="A15" s="157" t="s">
        <v>558</v>
      </c>
      <c r="B15" s="157"/>
      <c r="C15" s="74">
        <v>0.98</v>
      </c>
      <c r="D15" s="74">
        <v>0.5</v>
      </c>
      <c r="E15" s="152" t="s">
        <v>559</v>
      </c>
      <c r="F15" s="152"/>
      <c r="G15" s="152"/>
      <c r="H15" s="152"/>
      <c r="I15" s="152"/>
      <c r="J15" s="152"/>
      <c r="K15" s="152"/>
      <c r="L15" s="152"/>
    </row>
    <row r="16" spans="1:12" ht="25.5" customHeight="1" x14ac:dyDescent="0.45">
      <c r="A16" s="157" t="s">
        <v>560</v>
      </c>
      <c r="B16" s="157"/>
      <c r="C16" s="74">
        <v>0.47</v>
      </c>
      <c r="D16" s="74">
        <v>0.68</v>
      </c>
      <c r="E16" s="152" t="s">
        <v>561</v>
      </c>
      <c r="F16" s="152"/>
      <c r="G16" s="152"/>
      <c r="H16" s="152"/>
      <c r="I16" s="152"/>
      <c r="J16" s="152"/>
      <c r="K16" s="152"/>
      <c r="L16" s="152"/>
    </row>
    <row r="17" spans="1:12" ht="31.5" customHeight="1" x14ac:dyDescent="0.45">
      <c r="A17" s="151" t="s">
        <v>562</v>
      </c>
      <c r="B17" s="151"/>
      <c r="C17" s="74">
        <v>2.7</v>
      </c>
      <c r="D17" s="15" t="s">
        <v>84</v>
      </c>
      <c r="E17" s="152" t="s">
        <v>563</v>
      </c>
      <c r="F17" s="152"/>
      <c r="G17" s="152"/>
      <c r="H17" s="152"/>
      <c r="I17" s="152"/>
      <c r="J17" s="152"/>
      <c r="K17" s="152"/>
      <c r="L17" s="152"/>
    </row>
    <row r="18" spans="1:12" ht="31.5" customHeight="1" x14ac:dyDescent="0.45">
      <c r="A18" s="151" t="s">
        <v>564</v>
      </c>
      <c r="B18" s="151"/>
      <c r="C18" s="74">
        <v>2.35</v>
      </c>
      <c r="D18" s="15" t="s">
        <v>84</v>
      </c>
      <c r="E18" s="152" t="s">
        <v>565</v>
      </c>
      <c r="F18" s="152"/>
      <c r="G18" s="152"/>
      <c r="H18" s="152"/>
      <c r="I18" s="152"/>
      <c r="J18" s="152"/>
      <c r="K18" s="152"/>
      <c r="L18" s="152"/>
    </row>
    <row r="19" spans="1:12" ht="31.5" customHeight="1" x14ac:dyDescent="0.45">
      <c r="A19" s="157" t="s">
        <v>566</v>
      </c>
      <c r="B19" s="157"/>
      <c r="C19" s="15" t="s">
        <v>84</v>
      </c>
      <c r="D19" s="74">
        <v>1.05</v>
      </c>
      <c r="E19" s="152" t="s">
        <v>567</v>
      </c>
      <c r="F19" s="152"/>
      <c r="G19" s="152"/>
      <c r="H19" s="152"/>
      <c r="I19" s="152"/>
      <c r="J19" s="152"/>
      <c r="K19" s="152"/>
      <c r="L19" s="152"/>
    </row>
    <row r="20" spans="1:12" ht="25.5" customHeight="1" x14ac:dyDescent="0.45">
      <c r="A20" s="157" t="s">
        <v>568</v>
      </c>
      <c r="B20" s="157"/>
      <c r="C20" s="74">
        <v>0.51</v>
      </c>
      <c r="D20" s="15" t="s">
        <v>84</v>
      </c>
      <c r="E20" s="152" t="s">
        <v>569</v>
      </c>
      <c r="F20" s="152"/>
      <c r="G20" s="152"/>
      <c r="H20" s="152"/>
      <c r="I20" s="152"/>
      <c r="J20" s="152"/>
      <c r="K20" s="152"/>
      <c r="L20" s="152"/>
    </row>
    <row r="21" spans="1:12" ht="25.5" customHeight="1" x14ac:dyDescent="0.45">
      <c r="A21" s="157" t="s">
        <v>570</v>
      </c>
      <c r="B21" s="157"/>
      <c r="C21" s="15" t="s">
        <v>84</v>
      </c>
      <c r="D21" s="74">
        <v>0.27</v>
      </c>
      <c r="E21" s="152" t="s">
        <v>571</v>
      </c>
      <c r="F21" s="152"/>
      <c r="G21" s="152"/>
      <c r="H21" s="152"/>
      <c r="I21" s="152"/>
      <c r="J21" s="152"/>
      <c r="K21" s="152"/>
      <c r="L21" s="152"/>
    </row>
    <row r="23" spans="1:12" ht="24" customHeight="1" x14ac:dyDescent="0.45">
      <c r="A23" s="260" t="s">
        <v>1312</v>
      </c>
      <c r="B23" s="260"/>
      <c r="C23" s="260"/>
      <c r="D23" s="260"/>
      <c r="E23" s="260"/>
      <c r="F23" s="260"/>
      <c r="G23" s="260"/>
      <c r="H23" s="260"/>
      <c r="I23" s="260"/>
      <c r="J23" s="260"/>
      <c r="K23" s="260"/>
      <c r="L23" s="260"/>
    </row>
    <row r="24" spans="1:12" ht="27" customHeight="1" x14ac:dyDescent="0.45">
      <c r="A24" s="156" t="s">
        <v>573</v>
      </c>
      <c r="B24" s="156"/>
      <c r="C24" s="156" t="s">
        <v>574</v>
      </c>
      <c r="D24" s="156"/>
      <c r="E24" s="156"/>
      <c r="F24" s="156"/>
      <c r="G24" s="2" t="s">
        <v>575</v>
      </c>
      <c r="H24" s="156" t="s">
        <v>55</v>
      </c>
      <c r="I24" s="156"/>
      <c r="J24" s="156"/>
      <c r="K24" s="156"/>
      <c r="L24" s="156"/>
    </row>
    <row r="25" spans="1:12" ht="28.5" customHeight="1" x14ac:dyDescent="0.45">
      <c r="A25" s="157" t="s">
        <v>576</v>
      </c>
      <c r="B25" s="157"/>
      <c r="C25" s="191" t="s">
        <v>577</v>
      </c>
      <c r="D25" s="191"/>
      <c r="E25" s="191"/>
      <c r="F25" s="191"/>
      <c r="G25" s="106">
        <f>(1+D15)*D16/C16-1</f>
        <v>1.17021276595745</v>
      </c>
      <c r="H25" s="152" t="s">
        <v>578</v>
      </c>
      <c r="I25" s="152"/>
      <c r="J25" s="152"/>
      <c r="K25" s="152"/>
      <c r="L25" s="152"/>
    </row>
    <row r="26" spans="1:12" ht="45" customHeight="1" x14ac:dyDescent="0.45">
      <c r="A26" s="157" t="s">
        <v>579</v>
      </c>
      <c r="B26" s="157"/>
      <c r="C26" s="191" t="s">
        <v>580</v>
      </c>
      <c r="D26" s="191"/>
      <c r="E26" s="191"/>
      <c r="F26" s="191"/>
      <c r="G26" s="107">
        <v>0.5</v>
      </c>
      <c r="H26" s="152" t="s">
        <v>581</v>
      </c>
      <c r="I26" s="152"/>
      <c r="J26" s="152"/>
      <c r="K26" s="152"/>
      <c r="L26" s="152"/>
    </row>
    <row r="27" spans="1:12" ht="31.5" customHeight="1" x14ac:dyDescent="0.45">
      <c r="A27" s="157" t="s">
        <v>582</v>
      </c>
      <c r="B27" s="157"/>
      <c r="C27" s="191" t="s">
        <v>583</v>
      </c>
      <c r="D27" s="191"/>
      <c r="E27" s="191"/>
      <c r="F27" s="191"/>
      <c r="G27" s="106">
        <f>(1+G25)/(1+G26)-1</f>
        <v>0.446808510638298</v>
      </c>
      <c r="H27" s="152" t="s">
        <v>584</v>
      </c>
      <c r="I27" s="152"/>
      <c r="J27" s="152"/>
      <c r="K27" s="152"/>
      <c r="L27" s="152"/>
    </row>
    <row r="28" spans="1:12" ht="45" customHeight="1" x14ac:dyDescent="0.45">
      <c r="A28" s="157" t="s">
        <v>585</v>
      </c>
      <c r="B28" s="157"/>
      <c r="C28" s="191" t="s">
        <v>586</v>
      </c>
      <c r="D28" s="191"/>
      <c r="E28" s="191"/>
      <c r="F28" s="191"/>
      <c r="G28" s="106">
        <f>('03-Demand-BottomUp'!B6+'03-Demand-BottomUp'!B7)*G27+(1-'03-Demand-BottomUp'!B6-'03-Demand-BottomUp'!B7)*'03-Demand-BottomUp'!C8</f>
        <v>0.286672340425532</v>
      </c>
      <c r="H28" s="152" t="s">
        <v>587</v>
      </c>
      <c r="I28" s="152"/>
      <c r="J28" s="152"/>
      <c r="K28" s="152"/>
      <c r="L28" s="152"/>
    </row>
    <row r="29" spans="1:12" ht="45" customHeight="1" x14ac:dyDescent="0.45">
      <c r="A29" s="157" t="s">
        <v>588</v>
      </c>
      <c r="B29" s="157"/>
      <c r="C29" s="191" t="s">
        <v>589</v>
      </c>
      <c r="D29" s="191"/>
      <c r="E29" s="191"/>
      <c r="F29" s="191"/>
      <c r="G29" s="106">
        <f>'01-DRAM-Model'!K26+'01-DRAM-Model'!$B$149</f>
        <v>0.33</v>
      </c>
      <c r="H29" s="254" t="s">
        <v>1313</v>
      </c>
      <c r="I29" s="254"/>
      <c r="J29" s="254"/>
      <c r="K29" s="254"/>
      <c r="L29" s="254"/>
    </row>
    <row r="31" spans="1:12" ht="45" customHeight="1" x14ac:dyDescent="0.45">
      <c r="A31" s="264" t="s">
        <v>1314</v>
      </c>
      <c r="B31" s="264"/>
      <c r="C31" s="264"/>
      <c r="D31" s="264"/>
      <c r="E31" s="264"/>
      <c r="F31" s="264"/>
      <c r="G31" s="264"/>
      <c r="H31" s="264"/>
      <c r="I31" s="264"/>
      <c r="J31" s="264"/>
      <c r="K31" s="264"/>
      <c r="L31" s="264"/>
    </row>
    <row r="33" spans="1:12" ht="24" customHeight="1" x14ac:dyDescent="0.45">
      <c r="A33" s="171" t="s">
        <v>592</v>
      </c>
      <c r="B33" s="171"/>
      <c r="C33" s="171"/>
      <c r="D33" s="171"/>
      <c r="E33" s="171"/>
      <c r="F33" s="171"/>
      <c r="G33" s="171"/>
      <c r="H33" s="171"/>
      <c r="I33" s="171"/>
      <c r="J33" s="171"/>
      <c r="K33" s="171"/>
      <c r="L33" s="171"/>
    </row>
    <row r="34" spans="1:12" ht="45" customHeight="1" x14ac:dyDescent="0.45">
      <c r="A34" s="170" t="s">
        <v>593</v>
      </c>
      <c r="B34" s="170"/>
      <c r="C34" s="170"/>
      <c r="D34" s="170"/>
      <c r="E34" s="170"/>
      <c r="F34" s="170"/>
      <c r="G34" s="170"/>
      <c r="H34" s="170"/>
      <c r="I34" s="170"/>
      <c r="J34" s="170"/>
      <c r="K34" s="170"/>
      <c r="L34" s="170"/>
    </row>
    <row r="35" spans="1:12" ht="27" customHeight="1" x14ac:dyDescent="0.45">
      <c r="A35" s="1" t="s">
        <v>594</v>
      </c>
      <c r="B35" s="172" t="s">
        <v>595</v>
      </c>
      <c r="C35" s="172"/>
      <c r="D35" s="172"/>
      <c r="E35" s="172"/>
      <c r="F35" s="172" t="s">
        <v>596</v>
      </c>
      <c r="G35" s="172"/>
      <c r="H35" s="172"/>
      <c r="I35" s="172" t="s">
        <v>597</v>
      </c>
      <c r="J35" s="172"/>
      <c r="K35" s="172"/>
      <c r="L35" s="172"/>
    </row>
    <row r="36" spans="1:12" ht="87" customHeight="1" x14ac:dyDescent="0.45">
      <c r="A36" s="108" t="s">
        <v>31</v>
      </c>
      <c r="B36" s="165" t="s">
        <v>598</v>
      </c>
      <c r="C36" s="165"/>
      <c r="D36" s="165"/>
      <c r="E36" s="165"/>
      <c r="F36" s="342" t="str">
        <f>"Directly comparable with the flow basis. My S2 2027 growth gap is "&amp;SUBSTITUTE(TEXT('01-DRAM-Model'!$L$26,"+0.0%;-0.0%;0.0%"),"-","−")&amp;" on the production basis and "&amp;SUBSTITUTE(TEXT('06-Inventory-Burn-v4'!$G$19,"+0.0%;-0.0%;0.0%"),"-","−")&amp;" with all corrections (v4.2 inputs); KB's figure is 'more than 10 points'."</f>
        <v>Directly comparable with the flow basis. My S2 2027 growth gap is −10.1% on the production basis and −10.1% with all corrections (v4.2 inputs); KB's figure is 'more than 10 points'.</v>
      </c>
      <c r="G36" s="342"/>
      <c r="H36" s="342"/>
      <c r="I36" s="192" t="s">
        <v>600</v>
      </c>
      <c r="J36" s="192"/>
      <c r="K36" s="192"/>
      <c r="L36" s="192"/>
    </row>
    <row r="37" spans="1:12" ht="45" customHeight="1" x14ac:dyDescent="0.45">
      <c r="A37" s="108" t="s">
        <v>36</v>
      </c>
      <c r="B37" s="263" t="s">
        <v>1315</v>
      </c>
      <c r="C37" s="263"/>
      <c r="D37" s="263"/>
      <c r="E37" s="263"/>
      <c r="F37" s="261" t="str">
        <f>"Read as a growth gap, ① is the comparison that matters. On NAND the disagreement is about the growth gap: my N2 base case has 2027 at "&amp;SUBSTITUTE(TEXT('02-NAND-Model'!$H$13,"+0.0%;-0.0%;0.0%"),"-","−")&amp;" before the v4.0 alignment (sheet 02 block [F])."</f>
        <v>Read as a growth gap, ① is the comparison that matters. On NAND the disagreement is about the growth gap: my N2 base case has 2027 at −0.5% before the v4.0 alignment (sheet 02 block [F]).</v>
      </c>
      <c r="G37" s="261"/>
      <c r="H37" s="261"/>
      <c r="I37" s="192" t="s">
        <v>603</v>
      </c>
      <c r="J37" s="192"/>
      <c r="K37" s="192"/>
      <c r="L37" s="192"/>
    </row>
    <row r="38" spans="1:12" ht="48" customHeight="1" x14ac:dyDescent="0.45">
      <c r="A38" s="108" t="s">
        <v>41</v>
      </c>
      <c r="B38" s="165" t="s">
        <v>604</v>
      </c>
      <c r="C38" s="165"/>
      <c r="D38" s="165"/>
      <c r="E38" s="165"/>
      <c r="F38" s="261" t="s">
        <v>1316</v>
      </c>
      <c r="G38" s="261"/>
      <c r="H38" s="261"/>
      <c r="I38" s="281" t="s">
        <v>1317</v>
      </c>
      <c r="J38" s="281"/>
      <c r="K38" s="281"/>
      <c r="L38" s="281"/>
    </row>
    <row r="39" spans="1:12" ht="60" customHeight="1" x14ac:dyDescent="0.45">
      <c r="A39" s="108" t="s">
        <v>46</v>
      </c>
      <c r="B39" s="165" t="s">
        <v>607</v>
      </c>
      <c r="C39" s="165"/>
      <c r="D39" s="165"/>
      <c r="E39" s="165"/>
      <c r="F39" s="166" t="s">
        <v>608</v>
      </c>
      <c r="G39" s="166"/>
      <c r="H39" s="166"/>
      <c r="I39" s="192" t="s">
        <v>609</v>
      </c>
      <c r="J39" s="192"/>
      <c r="K39" s="192"/>
      <c r="L39" s="192"/>
    </row>
    <row r="41" spans="1:12" ht="27" customHeight="1" x14ac:dyDescent="0.45">
      <c r="A41" s="172" t="s">
        <v>610</v>
      </c>
      <c r="B41" s="172"/>
      <c r="C41" s="172" t="s">
        <v>491</v>
      </c>
      <c r="D41" s="172"/>
      <c r="E41" s="172" t="s">
        <v>55</v>
      </c>
      <c r="F41" s="172"/>
      <c r="G41" s="172"/>
      <c r="H41" s="172"/>
      <c r="I41" s="172"/>
      <c r="J41" s="172"/>
      <c r="K41" s="172"/>
      <c r="L41" s="172"/>
    </row>
    <row r="42" spans="1:12" ht="25.5" customHeight="1" x14ac:dyDescent="0.45">
      <c r="A42" s="194" t="s">
        <v>611</v>
      </c>
      <c r="B42" s="194"/>
      <c r="C42" s="195" t="s">
        <v>612</v>
      </c>
      <c r="D42" s="195"/>
      <c r="E42" s="254" t="s">
        <v>1318</v>
      </c>
      <c r="F42" s="254"/>
      <c r="G42" s="254"/>
      <c r="H42" s="254"/>
      <c r="I42" s="254"/>
      <c r="J42" s="254"/>
      <c r="K42" s="254"/>
      <c r="L42" s="254"/>
    </row>
    <row r="43" spans="1:12" ht="31.5" customHeight="1" x14ac:dyDescent="0.45">
      <c r="A43" s="194" t="s">
        <v>614</v>
      </c>
      <c r="B43" s="194"/>
      <c r="C43" s="195" t="s">
        <v>615</v>
      </c>
      <c r="D43" s="195"/>
      <c r="E43" s="152" t="s">
        <v>616</v>
      </c>
      <c r="F43" s="152"/>
      <c r="G43" s="152"/>
      <c r="H43" s="152"/>
      <c r="I43" s="152"/>
      <c r="J43" s="152"/>
      <c r="K43" s="152"/>
      <c r="L43" s="152"/>
    </row>
    <row r="44" spans="1:12" ht="31.5" customHeight="1" x14ac:dyDescent="0.45">
      <c r="A44" s="194" t="s">
        <v>617</v>
      </c>
      <c r="B44" s="194"/>
      <c r="C44" s="195" t="s">
        <v>618</v>
      </c>
      <c r="D44" s="195"/>
      <c r="E44" s="152" t="s">
        <v>619</v>
      </c>
      <c r="F44" s="152"/>
      <c r="G44" s="152"/>
      <c r="H44" s="152"/>
      <c r="I44" s="152"/>
      <c r="J44" s="152"/>
      <c r="K44" s="152"/>
      <c r="L44" s="152"/>
    </row>
    <row r="45" spans="1:12" ht="31.5" customHeight="1" x14ac:dyDescent="0.45">
      <c r="A45" s="194" t="s">
        <v>620</v>
      </c>
      <c r="B45" s="194"/>
      <c r="C45" s="195" t="s">
        <v>621</v>
      </c>
      <c r="D45" s="195"/>
      <c r="E45" s="152" t="s">
        <v>622</v>
      </c>
      <c r="F45" s="152"/>
      <c r="G45" s="152"/>
      <c r="H45" s="152"/>
      <c r="I45" s="152"/>
      <c r="J45" s="152"/>
      <c r="K45" s="152"/>
      <c r="L45" s="152"/>
    </row>
    <row r="46" spans="1:12" ht="31.5" customHeight="1" x14ac:dyDescent="0.45">
      <c r="A46" s="194" t="s">
        <v>623</v>
      </c>
      <c r="B46" s="194"/>
      <c r="C46" s="195" t="s">
        <v>624</v>
      </c>
      <c r="D46" s="195"/>
      <c r="E46" s="152" t="s">
        <v>625</v>
      </c>
      <c r="F46" s="152"/>
      <c r="G46" s="152"/>
      <c r="H46" s="152"/>
      <c r="I46" s="152"/>
      <c r="J46" s="152"/>
      <c r="K46" s="152"/>
      <c r="L46" s="152"/>
    </row>
    <row r="47" spans="1:12" ht="45" customHeight="1" x14ac:dyDescent="0.45">
      <c r="A47" s="194" t="s">
        <v>626</v>
      </c>
      <c r="B47" s="194"/>
      <c r="C47" s="195" t="s">
        <v>627</v>
      </c>
      <c r="D47" s="195"/>
      <c r="E47" s="152" t="s">
        <v>628</v>
      </c>
      <c r="F47" s="152"/>
      <c r="G47" s="152"/>
      <c r="H47" s="152"/>
      <c r="I47" s="152"/>
      <c r="J47" s="152"/>
      <c r="K47" s="152"/>
      <c r="L47" s="152"/>
    </row>
    <row r="48" spans="1:12" ht="48" customHeight="1" x14ac:dyDescent="0.45">
      <c r="A48" s="207" t="s">
        <v>1319</v>
      </c>
      <c r="B48" s="207"/>
      <c r="C48" s="207"/>
      <c r="D48" s="207"/>
      <c r="E48" s="207"/>
      <c r="F48" s="207"/>
      <c r="G48" s="207"/>
      <c r="H48" s="207"/>
      <c r="I48" s="207"/>
      <c r="J48" s="207"/>
      <c r="K48" s="207"/>
      <c r="L48" s="207"/>
    </row>
  </sheetData>
  <mergeCells count="107">
    <mergeCell ref="A1:L1"/>
    <mergeCell ref="A2:L2"/>
    <mergeCell ref="A4:L4"/>
    <mergeCell ref="B5:D5"/>
    <mergeCell ref="E5:F5"/>
    <mergeCell ref="G5:H5"/>
    <mergeCell ref="I5:L5"/>
    <mergeCell ref="B6:D6"/>
    <mergeCell ref="E6:F6"/>
    <mergeCell ref="G6:H6"/>
    <mergeCell ref="I6:L6"/>
    <mergeCell ref="B7:D7"/>
    <mergeCell ref="E7:F7"/>
    <mergeCell ref="G7:H7"/>
    <mergeCell ref="I7:L7"/>
    <mergeCell ref="B8:D8"/>
    <mergeCell ref="E8:F8"/>
    <mergeCell ref="G8:H8"/>
    <mergeCell ref="I8:L8"/>
    <mergeCell ref="B9:D9"/>
    <mergeCell ref="E9:F9"/>
    <mergeCell ref="G9:H9"/>
    <mergeCell ref="I9:L9"/>
    <mergeCell ref="B10:D10"/>
    <mergeCell ref="E10:F10"/>
    <mergeCell ref="G10:H10"/>
    <mergeCell ref="I10:L10"/>
    <mergeCell ref="B11:D11"/>
    <mergeCell ref="E11:F11"/>
    <mergeCell ref="G11:H11"/>
    <mergeCell ref="I11:L11"/>
    <mergeCell ref="A13:L13"/>
    <mergeCell ref="A14:B14"/>
    <mergeCell ref="E14:L14"/>
    <mergeCell ref="A15:B15"/>
    <mergeCell ref="E15:L15"/>
    <mergeCell ref="A16:B16"/>
    <mergeCell ref="E16:L16"/>
    <mergeCell ref="A17:B17"/>
    <mergeCell ref="E17:L17"/>
    <mergeCell ref="A18:B18"/>
    <mergeCell ref="E18:L18"/>
    <mergeCell ref="A19:B19"/>
    <mergeCell ref="E19:L19"/>
    <mergeCell ref="A20:B20"/>
    <mergeCell ref="E20:L20"/>
    <mergeCell ref="A21:B21"/>
    <mergeCell ref="E21:L21"/>
    <mergeCell ref="A23:L23"/>
    <mergeCell ref="A24:B24"/>
    <mergeCell ref="C24:F24"/>
    <mergeCell ref="H24:L24"/>
    <mergeCell ref="A25:B25"/>
    <mergeCell ref="C25:F25"/>
    <mergeCell ref="H25:L25"/>
    <mergeCell ref="A26:B26"/>
    <mergeCell ref="C26:F26"/>
    <mergeCell ref="H26:L26"/>
    <mergeCell ref="A27:B27"/>
    <mergeCell ref="C27:F27"/>
    <mergeCell ref="H27:L27"/>
    <mergeCell ref="A28:B28"/>
    <mergeCell ref="C28:F28"/>
    <mergeCell ref="H28:L28"/>
    <mergeCell ref="A29:B29"/>
    <mergeCell ref="C29:F29"/>
    <mergeCell ref="H29:L29"/>
    <mergeCell ref="A31:L31"/>
    <mergeCell ref="A33:L33"/>
    <mergeCell ref="A34:L34"/>
    <mergeCell ref="B35:E35"/>
    <mergeCell ref="F35:H35"/>
    <mergeCell ref="I35:L35"/>
    <mergeCell ref="B36:E36"/>
    <mergeCell ref="F36:H36"/>
    <mergeCell ref="I36:L36"/>
    <mergeCell ref="B37:E37"/>
    <mergeCell ref="F37:H37"/>
    <mergeCell ref="I37:L37"/>
    <mergeCell ref="B38:E38"/>
    <mergeCell ref="F38:H38"/>
    <mergeCell ref="I38:L38"/>
    <mergeCell ref="B39:E39"/>
    <mergeCell ref="F39:H39"/>
    <mergeCell ref="I39:L39"/>
    <mergeCell ref="A41:B41"/>
    <mergeCell ref="C41:D41"/>
    <mergeCell ref="E41:L41"/>
    <mergeCell ref="A42:B42"/>
    <mergeCell ref="C42:D42"/>
    <mergeCell ref="E42:L42"/>
    <mergeCell ref="A43:B43"/>
    <mergeCell ref="C43:D43"/>
    <mergeCell ref="E43:L43"/>
    <mergeCell ref="A44:B44"/>
    <mergeCell ref="C44:D44"/>
    <mergeCell ref="E44:L44"/>
    <mergeCell ref="A48:L48"/>
    <mergeCell ref="A45:B45"/>
    <mergeCell ref="C45:D45"/>
    <mergeCell ref="E45:L45"/>
    <mergeCell ref="A46:B46"/>
    <mergeCell ref="C46:D46"/>
    <mergeCell ref="E46:L46"/>
    <mergeCell ref="A47:B47"/>
    <mergeCell ref="C47:D47"/>
    <mergeCell ref="E47:L47"/>
  </mergeCells>
  <phoneticPr fontId="59" type="noConversion"/>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6305B"/>
  </sheetPr>
  <dimension ref="A1:L55"/>
  <sheetViews>
    <sheetView showGridLines="0" zoomScaleNormal="100" workbookViewId="0">
      <selection sqref="A1:L1"/>
    </sheetView>
  </sheetViews>
  <sheetFormatPr defaultColWidth="8.6640625" defaultRowHeight="14.25" x14ac:dyDescent="0.45"/>
  <cols>
    <col min="1" max="1" width="25" customWidth="1"/>
    <col min="2" max="2" width="12.6640625" customWidth="1"/>
    <col min="3" max="3" width="11" customWidth="1"/>
    <col min="4" max="6" width="11.46484375" customWidth="1"/>
  </cols>
  <sheetData>
    <row r="1" spans="1:12" ht="37.5" customHeight="1" x14ac:dyDescent="0.45">
      <c r="A1" s="167" t="s">
        <v>630</v>
      </c>
      <c r="B1" s="167"/>
      <c r="C1" s="167"/>
      <c r="D1" s="167"/>
      <c r="E1" s="167"/>
      <c r="F1" s="167"/>
      <c r="G1" s="167"/>
      <c r="H1" s="167"/>
      <c r="I1" s="167"/>
      <c r="J1" s="167"/>
      <c r="K1" s="167"/>
      <c r="L1" s="167"/>
    </row>
    <row r="2" spans="1:12" ht="31.5" customHeight="1" x14ac:dyDescent="0.45">
      <c r="A2" s="209" t="s">
        <v>1321</v>
      </c>
      <c r="B2" s="209"/>
      <c r="C2" s="209"/>
      <c r="D2" s="209"/>
      <c r="E2" s="209"/>
      <c r="F2" s="209"/>
      <c r="G2" s="209"/>
      <c r="H2" s="209"/>
      <c r="I2" s="209"/>
      <c r="J2" s="209"/>
      <c r="K2" s="209"/>
      <c r="L2" s="209"/>
    </row>
    <row r="4" spans="1:12" ht="24" customHeight="1" x14ac:dyDescent="0.45">
      <c r="A4" s="155" t="s">
        <v>632</v>
      </c>
      <c r="B4" s="155"/>
      <c r="C4" s="155"/>
      <c r="D4" s="155"/>
      <c r="E4" s="155"/>
      <c r="F4" s="155"/>
      <c r="G4" s="155"/>
      <c r="H4" s="155"/>
      <c r="I4" s="155"/>
      <c r="J4" s="155"/>
      <c r="K4" s="155"/>
      <c r="L4" s="155"/>
    </row>
    <row r="5" spans="1:12" ht="27" customHeight="1" x14ac:dyDescent="0.45">
      <c r="A5" s="2" t="s">
        <v>120</v>
      </c>
      <c r="B5" s="156" t="s">
        <v>121</v>
      </c>
      <c r="C5" s="156"/>
      <c r="D5" s="156" t="s">
        <v>122</v>
      </c>
      <c r="E5" s="156"/>
      <c r="F5" s="156"/>
      <c r="G5" s="156" t="s">
        <v>123</v>
      </c>
      <c r="H5" s="156"/>
      <c r="I5" s="156"/>
      <c r="J5" s="156" t="s">
        <v>597</v>
      </c>
      <c r="K5" s="156"/>
      <c r="L5" s="156"/>
    </row>
    <row r="6" spans="1:12" ht="114" customHeight="1" x14ac:dyDescent="0.45">
      <c r="A6" s="25" t="s">
        <v>124</v>
      </c>
      <c r="B6" s="165" t="s">
        <v>633</v>
      </c>
      <c r="C6" s="165"/>
      <c r="D6" s="261" t="s">
        <v>1322</v>
      </c>
      <c r="E6" s="261"/>
      <c r="F6" s="261"/>
      <c r="G6" s="332" t="str">
        <f>"The gap is systematically computed too deep. On the sheet 03 decomposition the two bases differ by about 7.5pp in a single year and about 20.7pp cumulatively over three — which is the main reason the model's "&amp;SUBSTITUTE(TEXT('01-DRAM-Model'!$G$65,"0.0%"),"-","−")&amp;" (2028, base case) runs deeper than any external dataset."</f>
        <v>The gap is systematically computed too deep. On the sheet 03 decomposition the two bases differ by about 7.5pp in a single year and about 20.7pp cumulatively over three — which is the main reason the model's −22.4% (2028, base case) runs deeper than any external dataset.</v>
      </c>
      <c r="H6" s="332"/>
      <c r="I6" s="332"/>
      <c r="J6" s="166" t="s">
        <v>636</v>
      </c>
      <c r="K6" s="166"/>
      <c r="L6" s="166"/>
    </row>
    <row r="7" spans="1:12" ht="100.5" customHeight="1" x14ac:dyDescent="0.45">
      <c r="A7" s="25" t="s">
        <v>124</v>
      </c>
      <c r="B7" s="165" t="s">
        <v>637</v>
      </c>
      <c r="C7" s="165"/>
      <c r="D7" s="166" t="s">
        <v>638</v>
      </c>
      <c r="E7" s="166"/>
      <c r="F7" s="166"/>
      <c r="G7" s="332" t="str">
        <f>"★ The right tail of the extreme scenarios is badly exaggerated, and it is precisely that tail which drags the 2028 probability weighting from the median's "&amp;SUBSTITUTE(TEXT('01-DRAM-Model'!$G$65,"0.0%"),"-","−")&amp;" up to "&amp;SUBSTITUTE(TEXT('01-DRAM-Model'!$G$64,"0.0%"),"-","−")&amp;"."</f>
        <v>★ The right tail of the extreme scenarios is badly exaggerated, and it is precisely that tail which drags the 2028 probability weighting from the median's −22.4% up to −8.4%.</v>
      </c>
      <c r="H7" s="332"/>
      <c r="I7" s="332"/>
      <c r="J7" s="166" t="s">
        <v>640</v>
      </c>
      <c r="K7" s="166"/>
      <c r="L7" s="166"/>
    </row>
    <row r="8" spans="1:12" ht="87" customHeight="1" x14ac:dyDescent="0.45">
      <c r="A8" s="25" t="s">
        <v>137</v>
      </c>
      <c r="B8" s="165" t="s">
        <v>641</v>
      </c>
      <c r="C8" s="165"/>
      <c r="D8" s="166" t="s">
        <v>642</v>
      </c>
      <c r="E8" s="166"/>
      <c r="F8" s="166"/>
      <c r="G8" s="166" t="s">
        <v>643</v>
      </c>
      <c r="H8" s="166"/>
      <c r="I8" s="166"/>
      <c r="J8" s="166" t="s">
        <v>644</v>
      </c>
      <c r="K8" s="166"/>
      <c r="L8" s="166"/>
    </row>
    <row r="9" spans="1:12" ht="114" customHeight="1" x14ac:dyDescent="0.45">
      <c r="A9" s="25" t="s">
        <v>137</v>
      </c>
      <c r="B9" s="165" t="s">
        <v>645</v>
      </c>
      <c r="C9" s="165"/>
      <c r="D9" s="166" t="s">
        <v>646</v>
      </c>
      <c r="E9" s="166"/>
      <c r="F9" s="166"/>
      <c r="G9" s="166" t="s">
        <v>647</v>
      </c>
      <c r="H9" s="166"/>
      <c r="I9" s="166"/>
      <c r="J9" s="166" t="s">
        <v>648</v>
      </c>
      <c r="K9" s="166"/>
      <c r="L9" s="166"/>
    </row>
    <row r="10" spans="1:12" ht="78" customHeight="1" x14ac:dyDescent="0.45">
      <c r="A10" s="25" t="s">
        <v>147</v>
      </c>
      <c r="B10" s="165" t="s">
        <v>649</v>
      </c>
      <c r="C10" s="165"/>
      <c r="D10" s="261" t="s">
        <v>1320</v>
      </c>
      <c r="E10" s="261"/>
      <c r="F10" s="261"/>
      <c r="G10" s="166" t="s">
        <v>651</v>
      </c>
      <c r="H10" s="166"/>
      <c r="I10" s="166"/>
      <c r="J10" s="166" t="s">
        <v>652</v>
      </c>
      <c r="K10" s="166"/>
      <c r="L10" s="166"/>
    </row>
    <row r="12" spans="1:12" ht="24" customHeight="1" x14ac:dyDescent="0.45">
      <c r="A12" s="155" t="s">
        <v>653</v>
      </c>
      <c r="B12" s="155"/>
      <c r="C12" s="155"/>
      <c r="D12" s="155"/>
      <c r="E12" s="155"/>
      <c r="F12" s="155"/>
      <c r="G12" s="155"/>
      <c r="H12" s="155"/>
      <c r="I12" s="155"/>
      <c r="J12" s="155"/>
      <c r="K12" s="155"/>
      <c r="L12" s="155"/>
    </row>
    <row r="13" spans="1:12" ht="27" customHeight="1" x14ac:dyDescent="0.45">
      <c r="A13" s="156" t="s">
        <v>298</v>
      </c>
      <c r="B13" s="156"/>
      <c r="C13" s="156"/>
      <c r="D13" s="2" t="s">
        <v>78</v>
      </c>
      <c r="E13" s="2" t="s">
        <v>79</v>
      </c>
      <c r="F13" s="2" t="s">
        <v>80</v>
      </c>
      <c r="G13" s="156" t="s">
        <v>299</v>
      </c>
      <c r="H13" s="156"/>
      <c r="I13" s="156"/>
      <c r="J13" s="156"/>
      <c r="K13" s="156"/>
      <c r="L13" s="156"/>
    </row>
    <row r="14" spans="1:12" ht="59.25" customHeight="1" x14ac:dyDescent="0.45">
      <c r="A14" s="151" t="s">
        <v>654</v>
      </c>
      <c r="B14" s="151"/>
      <c r="C14" s="151"/>
      <c r="D14" s="60">
        <f>'01-DRAM-Model'!M25</f>
        <v>-0.145705582443609</v>
      </c>
      <c r="E14" s="60">
        <f>'01-DRAM-Model'!M26</f>
        <v>-0.210832606111257</v>
      </c>
      <c r="F14" s="60">
        <f>'01-DRAM-Model'!M27</f>
        <v>-0.22417369903773</v>
      </c>
      <c r="G14" s="152" t="s">
        <v>655</v>
      </c>
      <c r="H14" s="152"/>
      <c r="I14" s="152"/>
      <c r="J14" s="152"/>
      <c r="K14" s="152"/>
      <c r="L14" s="152"/>
    </row>
    <row r="15" spans="1:12" ht="45" customHeight="1" x14ac:dyDescent="0.45">
      <c r="A15" s="151" t="s">
        <v>656</v>
      </c>
      <c r="B15" s="151"/>
      <c r="C15" s="151"/>
      <c r="D15" s="60">
        <f>(1+'01-DRAM-Model'!$B$14)*(1+'01-DRAM-Model'!J25)/(1+'03-Demand-BottomUp'!$F$11)-1</f>
        <v>-0.0499656908209102</v>
      </c>
      <c r="E15" s="60">
        <f>(1+D15)*(1+'01-DRAM-Model'!J26)/(1+'03-Demand-BottomUp'!$F$11)-1</f>
        <v>0.00622361600395083</v>
      </c>
      <c r="F15" s="60">
        <f>(1+E15)*(1+'01-DRAM-Model'!J27)/(1+'03-Demand-BottomUp'!$F$11)-1</f>
        <v>0.0659624220327353</v>
      </c>
      <c r="G15" s="152" t="s">
        <v>657</v>
      </c>
      <c r="H15" s="152"/>
      <c r="I15" s="152"/>
      <c r="J15" s="152"/>
      <c r="K15" s="152"/>
      <c r="L15" s="152"/>
    </row>
    <row r="16" spans="1:12" ht="33.75" customHeight="1" x14ac:dyDescent="0.45">
      <c r="A16" s="151" t="s">
        <v>658</v>
      </c>
      <c r="B16" s="151"/>
      <c r="C16" s="151"/>
      <c r="D16" s="60">
        <f>(1+'01-DRAM-Model'!J25)/(1+'03-Demand-BottomUp'!$E$11)-1</f>
        <v>-0.0406500722117665</v>
      </c>
      <c r="E16" s="60">
        <f>(1+D16)*(1+'01-DRAM-Model'!J26)/(1+'03-Demand-BottomUp'!$E$11)-1</f>
        <v>-0.0457702116234979</v>
      </c>
      <c r="F16" s="60">
        <f>(1+E16)*(1+'01-DRAM-Model'!J27)/(1+'03-Demand-BottomUp'!$E$11)-1</f>
        <v>-0.0506615628577143</v>
      </c>
      <c r="G16" s="152" t="s">
        <v>659</v>
      </c>
      <c r="H16" s="152"/>
      <c r="I16" s="152"/>
      <c r="J16" s="152"/>
      <c r="K16" s="152"/>
      <c r="L16" s="152"/>
    </row>
    <row r="17" spans="1:12" ht="59.25" customHeight="1" x14ac:dyDescent="0.45">
      <c r="A17" s="151" t="s">
        <v>660</v>
      </c>
      <c r="B17" s="151"/>
      <c r="C17" s="151"/>
      <c r="D17" s="60">
        <f>'01-DRAM-Model'!J25-'03-Demand-BottomUp'!$F$11</f>
        <v>0.0249890308040261</v>
      </c>
      <c r="E17" s="60">
        <f>'01-DRAM-Model'!J26-'03-Demand-BottomUp'!$F$11</f>
        <v>0.0686076232059022</v>
      </c>
      <c r="F17" s="60">
        <f>'01-DRAM-Model'!J27-'03-Demand-BottomUp'!$F$11</f>
        <v>0.0688684044890452</v>
      </c>
      <c r="G17" s="254" t="str">
        <f>"Basis: this year's supply growth minus cleared demand growth. 2027 gives "&amp;SUBSTITUTE(TEXT(E17,"+0.0%;-0.0%;0.0%"),"-","−")&amp;". ▲ v4.1: not a like-for-like test against TrendForce's −1~−2% — TrendForce's sufficiency ratio is a level and this row is a flow, and the year match was withdrawn in the write-up. Kept as an open reconciliation item."</f>
        <v>Basis: this year's supply growth minus cleared demand growth. 2027 gives +6.9%. ▲ v4.1: not a like-for-like test against TrendForce's −1~−2% — TrendForce's sufficiency ratio is a level and this row is a flow, and the year match was withdrawn in the write-up. Kept as an open reconciliation item.</v>
      </c>
      <c r="H17" s="254"/>
      <c r="I17" s="254"/>
      <c r="J17" s="254"/>
      <c r="K17" s="254"/>
      <c r="L17" s="254"/>
    </row>
    <row r="18" spans="1:12" ht="31.5" customHeight="1" x14ac:dyDescent="0.45">
      <c r="A18" s="164" t="s">
        <v>662</v>
      </c>
      <c r="B18" s="164"/>
      <c r="C18" s="164"/>
      <c r="D18" s="72">
        <f>(D14-D16)*100</f>
        <v>-10.5055510231843</v>
      </c>
      <c r="E18" s="72">
        <f>(E14-E16)*100</f>
        <v>-16.5062394487759</v>
      </c>
      <c r="F18" s="72">
        <f>(F14-F16)*100</f>
        <v>-17.3512136180016</v>
      </c>
      <c r="G18" s="152" t="s">
        <v>663</v>
      </c>
      <c r="H18" s="152"/>
      <c r="I18" s="152"/>
      <c r="J18" s="152"/>
      <c r="K18" s="152"/>
      <c r="L18" s="152"/>
    </row>
    <row r="20" spans="1:12" ht="24" customHeight="1" x14ac:dyDescent="0.45">
      <c r="A20" s="155" t="s">
        <v>664</v>
      </c>
      <c r="B20" s="155"/>
      <c r="C20" s="155"/>
      <c r="D20" s="155"/>
      <c r="E20" s="155"/>
      <c r="F20" s="155"/>
      <c r="G20" s="155"/>
      <c r="H20" s="155"/>
      <c r="I20" s="155"/>
      <c r="J20" s="155"/>
      <c r="K20" s="155"/>
      <c r="L20" s="155"/>
    </row>
    <row r="21" spans="1:12" ht="45" customHeight="1" x14ac:dyDescent="0.45">
      <c r="A21" s="163" t="s">
        <v>665</v>
      </c>
      <c r="B21" s="163"/>
      <c r="C21" s="163"/>
      <c r="D21" s="107">
        <v>0.35</v>
      </c>
      <c r="E21" s="152" t="s">
        <v>666</v>
      </c>
      <c r="F21" s="152"/>
      <c r="G21" s="152"/>
      <c r="H21" s="152"/>
      <c r="I21" s="152"/>
      <c r="J21" s="152"/>
      <c r="K21" s="152"/>
      <c r="L21" s="152"/>
    </row>
    <row r="22" spans="1:12" ht="27" customHeight="1" x14ac:dyDescent="0.45">
      <c r="A22" s="156" t="s">
        <v>200</v>
      </c>
      <c r="B22" s="156"/>
      <c r="C22" s="2" t="s">
        <v>232</v>
      </c>
      <c r="D22" s="2" t="s">
        <v>667</v>
      </c>
      <c r="E22" s="2" t="s">
        <v>668</v>
      </c>
      <c r="F22" s="156" t="s">
        <v>55</v>
      </c>
      <c r="G22" s="156"/>
      <c r="H22" s="156"/>
      <c r="I22" s="156"/>
      <c r="J22" s="156"/>
      <c r="K22" s="156"/>
      <c r="L22" s="156"/>
    </row>
    <row r="23" spans="1:12" ht="18.75" customHeight="1" x14ac:dyDescent="0.45">
      <c r="A23" s="157" t="s">
        <v>218</v>
      </c>
      <c r="B23" s="157"/>
      <c r="C23" s="56">
        <f>'01-DRAM-Model'!B48</f>
        <v>0.15</v>
      </c>
      <c r="D23" s="22">
        <f>'01-DRAM-Model'!M22</f>
        <v>-0.36293928457149</v>
      </c>
      <c r="E23" s="60">
        <f>MIN(D23,$D$21)</f>
        <v>-0.36293928457149</v>
      </c>
      <c r="F23" s="158"/>
      <c r="G23" s="158"/>
      <c r="H23" s="158"/>
      <c r="I23" s="158"/>
      <c r="J23" s="158"/>
      <c r="K23" s="158"/>
      <c r="L23" s="158"/>
    </row>
    <row r="24" spans="1:12" ht="18.75" customHeight="1" x14ac:dyDescent="0.45">
      <c r="A24" s="157" t="s">
        <v>222</v>
      </c>
      <c r="B24" s="157"/>
      <c r="C24" s="56">
        <f>'01-DRAM-Model'!B49</f>
        <v>0.38</v>
      </c>
      <c r="D24" s="22">
        <f>'01-DRAM-Model'!M27</f>
        <v>-0.22417369903773</v>
      </c>
      <c r="E24" s="60">
        <f>MIN(D24,$D$21)</f>
        <v>-0.22417369903773</v>
      </c>
      <c r="F24" s="158"/>
      <c r="G24" s="158"/>
      <c r="H24" s="158"/>
      <c r="I24" s="158"/>
      <c r="J24" s="158"/>
      <c r="K24" s="158"/>
      <c r="L24" s="158"/>
    </row>
    <row r="25" spans="1:12" ht="18.75" customHeight="1" x14ac:dyDescent="0.45">
      <c r="A25" s="157" t="s">
        <v>224</v>
      </c>
      <c r="B25" s="157"/>
      <c r="C25" s="56">
        <f>'01-DRAM-Model'!B50</f>
        <v>0.25</v>
      </c>
      <c r="D25" s="22">
        <f>'01-DRAM-Model'!M32</f>
        <v>-0.0177276718621864</v>
      </c>
      <c r="E25" s="60">
        <f>MIN(D25,$D$21)</f>
        <v>-0.0177276718621864</v>
      </c>
      <c r="F25" s="158"/>
      <c r="G25" s="158"/>
      <c r="H25" s="158"/>
      <c r="I25" s="158"/>
      <c r="J25" s="158"/>
      <c r="K25" s="158"/>
      <c r="L25" s="158"/>
    </row>
    <row r="26" spans="1:12" ht="18.75" customHeight="1" x14ac:dyDescent="0.45">
      <c r="A26" s="157" t="s">
        <v>226</v>
      </c>
      <c r="B26" s="157"/>
      <c r="C26" s="56">
        <f>'01-DRAM-Model'!B51</f>
        <v>0.17</v>
      </c>
      <c r="D26" s="22">
        <f>'01-DRAM-Model'!M37</f>
        <v>0.144818902245155</v>
      </c>
      <c r="E26" s="60">
        <f>MIN(D26,$D$21)</f>
        <v>0.144818902245155</v>
      </c>
      <c r="F26" s="158"/>
      <c r="G26" s="158"/>
      <c r="H26" s="158"/>
      <c r="I26" s="158"/>
      <c r="J26" s="158"/>
      <c r="K26" s="158"/>
      <c r="L26" s="158"/>
    </row>
    <row r="27" spans="1:12" ht="18.75" customHeight="1" x14ac:dyDescent="0.45">
      <c r="A27" s="157" t="s">
        <v>228</v>
      </c>
      <c r="B27" s="157"/>
      <c r="C27" s="56">
        <f>'01-DRAM-Model'!B52</f>
        <v>0.05</v>
      </c>
      <c r="D27" s="22">
        <f>'01-DRAM-Model'!M42</f>
        <v>0.706301994295062</v>
      </c>
      <c r="E27" s="60">
        <f>MIN(D27,$D$21)</f>
        <v>0.35</v>
      </c>
      <c r="F27" s="158"/>
      <c r="G27" s="158"/>
      <c r="H27" s="158"/>
      <c r="I27" s="158"/>
      <c r="J27" s="158"/>
      <c r="K27" s="158"/>
      <c r="L27" s="158"/>
    </row>
    <row r="28" spans="1:12" ht="31.5" customHeight="1" x14ac:dyDescent="0.45">
      <c r="A28" s="159" t="s">
        <v>235</v>
      </c>
      <c r="B28" s="159"/>
      <c r="C28" s="109">
        <f>SUM(C23:C27)</f>
        <v>1</v>
      </c>
      <c r="D28" s="110">
        <f>SUMPRODUCT(C23:C27,D23:D27)</f>
        <v>-0.0841245031891783</v>
      </c>
      <c r="E28" s="110">
        <f>SUMPRODUCT(C23:C27,E23:E27)</f>
        <v>-0.101939602903931</v>
      </c>
      <c r="F28" s="254" t="str">
        <f>IF(ABS(E28-D28)&gt;0.00001,"★ Truncation moves the weighted 2028 level from "&amp;SUBSTITUTE(TEXT(D28,"+0.0%;-0.0%"),"-","−")&amp;" to "&amp;SUBSTITUTE(TEXT(E28,"+0.0%;-0.0%"),"-","−")&amp;": the right tail was pulling the mean up.","No scenario with weight is above the trigger, so truncation changes nothing at the current weights.")</f>
        <v>★ Truncation moves the weighted 2028 level from −8.4% to −10.2%: the right tail was pulling the mean up.</v>
      </c>
      <c r="G28" s="254"/>
      <c r="H28" s="254"/>
      <c r="I28" s="254"/>
      <c r="J28" s="254"/>
      <c r="K28" s="254"/>
      <c r="L28" s="254"/>
    </row>
    <row r="29" spans="1:12" ht="31.5" customHeight="1" x14ac:dyDescent="0.45">
      <c r="A29" s="159" t="s">
        <v>670</v>
      </c>
      <c r="B29" s="159"/>
      <c r="C29" s="15" t="s">
        <v>84</v>
      </c>
      <c r="D29" s="111">
        <f>'01-DRAM-Model'!G65</f>
        <v>-0.22417369903773</v>
      </c>
      <c r="E29" s="111">
        <f>'01-DRAM-Model'!G65</f>
        <v>-0.22417369903773</v>
      </c>
      <c r="F29" s="152" t="s">
        <v>671</v>
      </c>
      <c r="G29" s="152"/>
      <c r="H29" s="152"/>
      <c r="I29" s="152"/>
      <c r="J29" s="152"/>
      <c r="K29" s="152"/>
      <c r="L29" s="152"/>
    </row>
    <row r="30" spans="1:12" ht="31.5" customHeight="1" x14ac:dyDescent="0.45">
      <c r="A30" s="159" t="s">
        <v>672</v>
      </c>
      <c r="B30" s="159"/>
      <c r="C30" s="15" t="s">
        <v>84</v>
      </c>
      <c r="D30" s="23">
        <f>(D28-D29)*100</f>
        <v>14.0049195848552</v>
      </c>
      <c r="E30" s="23">
        <f>(E28-E29)*100</f>
        <v>12.2234096133799</v>
      </c>
      <c r="F30" s="152" t="s">
        <v>673</v>
      </c>
      <c r="G30" s="152"/>
      <c r="H30" s="152"/>
      <c r="I30" s="152"/>
      <c r="J30" s="152"/>
      <c r="K30" s="152"/>
      <c r="L30" s="152"/>
    </row>
    <row r="32" spans="1:12" ht="24" customHeight="1" x14ac:dyDescent="0.45">
      <c r="A32" s="155" t="s">
        <v>674</v>
      </c>
      <c r="B32" s="155"/>
      <c r="C32" s="155"/>
      <c r="D32" s="155"/>
      <c r="E32" s="155"/>
      <c r="F32" s="155"/>
      <c r="G32" s="155"/>
      <c r="H32" s="155"/>
      <c r="I32" s="155"/>
      <c r="J32" s="155"/>
      <c r="K32" s="155"/>
      <c r="L32" s="155"/>
    </row>
    <row r="33" spans="1:12" ht="31.5" customHeight="1" x14ac:dyDescent="0.45">
      <c r="A33" s="162" t="s">
        <v>675</v>
      </c>
      <c r="B33" s="162"/>
      <c r="C33" s="162"/>
      <c r="D33" s="162"/>
      <c r="E33" s="162"/>
      <c r="F33" s="162"/>
      <c r="G33" s="162"/>
      <c r="H33" s="162"/>
      <c r="I33" s="162"/>
      <c r="J33" s="162"/>
      <c r="K33" s="162"/>
      <c r="L33" s="162"/>
    </row>
    <row r="34" spans="1:6" ht="31.5" customHeight="1" x14ac:dyDescent="0.45">
      <c r="A34" s="156" t="s">
        <v>676</v>
      </c>
      <c r="B34" s="156"/>
      <c r="C34" s="2" t="s">
        <v>677</v>
      </c>
      <c r="D34" s="2" t="s">
        <v>678</v>
      </c>
      <c r="E34" s="2" t="s">
        <v>679</v>
      </c>
      <c r="F34" s="2" t="s">
        <v>680</v>
      </c>
    </row>
    <row r="35" spans="1:12" ht="18.75" customHeight="1" x14ac:dyDescent="0.45">
      <c r="A35" s="157" t="s">
        <v>681</v>
      </c>
      <c r="B35" s="157"/>
      <c r="C35" s="56">
        <f>'01-DRAM-Model'!B48</f>
        <v>0.15</v>
      </c>
      <c r="D35" s="22">
        <f>'01-DRAM-Model'!M22</f>
        <v>-0.36293928457149</v>
      </c>
      <c r="E35" s="22">
        <f>'02-NAND-Model'!I9</f>
        <v>-0.201506891825579</v>
      </c>
      <c r="F35" s="23">
        <f>(E35-D35)*100</f>
        <v>16.1432392745911</v>
      </c>
      <c r="G35" s="158"/>
      <c r="H35" s="158"/>
      <c r="I35" s="158"/>
      <c r="J35" s="158"/>
      <c r="K35" s="158"/>
      <c r="L35" s="158"/>
    </row>
    <row r="36" spans="1:12" ht="18.75" customHeight="1" x14ac:dyDescent="0.45">
      <c r="A36" s="157" t="s">
        <v>682</v>
      </c>
      <c r="B36" s="157"/>
      <c r="C36" s="56">
        <f>'01-DRAM-Model'!B49</f>
        <v>0.38</v>
      </c>
      <c r="D36" s="22">
        <f>'01-DRAM-Model'!M27</f>
        <v>-0.22417369903773</v>
      </c>
      <c r="E36" s="22">
        <f>'02-NAND-Model'!I14</f>
        <v>-0.0434308069358479</v>
      </c>
      <c r="F36" s="23">
        <f>(E36-D36)*100</f>
        <v>18.0742892101882</v>
      </c>
      <c r="G36" s="158"/>
      <c r="H36" s="158"/>
      <c r="I36" s="158"/>
      <c r="J36" s="158"/>
      <c r="K36" s="158"/>
      <c r="L36" s="158"/>
    </row>
    <row r="37" spans="1:12" ht="18.75" customHeight="1" x14ac:dyDescent="0.45">
      <c r="A37" s="157" t="s">
        <v>683</v>
      </c>
      <c r="B37" s="157"/>
      <c r="C37" s="56">
        <f>'01-DRAM-Model'!B50</f>
        <v>0.25</v>
      </c>
      <c r="D37" s="22">
        <f>'01-DRAM-Model'!M32</f>
        <v>-0.0177276718621864</v>
      </c>
      <c r="E37" s="22">
        <f>'02-NAND-Model'!I19</f>
        <v>0.208381579258303</v>
      </c>
      <c r="F37" s="23">
        <f>(E37-D37)*100</f>
        <v>22.610925112049</v>
      </c>
      <c r="G37" s="158"/>
      <c r="H37" s="158"/>
      <c r="I37" s="158"/>
      <c r="J37" s="158"/>
      <c r="K37" s="158"/>
      <c r="L37" s="158"/>
    </row>
    <row r="38" spans="1:12" ht="18.75" customHeight="1" x14ac:dyDescent="0.45">
      <c r="A38" s="157" t="s">
        <v>684</v>
      </c>
      <c r="B38" s="157"/>
      <c r="C38" s="56">
        <f>'01-DRAM-Model'!B51</f>
        <v>0.17</v>
      </c>
      <c r="D38" s="22">
        <f>'01-DRAM-Model'!M37</f>
        <v>0.144818902245155</v>
      </c>
      <c r="E38" s="22">
        <f>'02-NAND-Model'!I24</f>
        <v>0.474473591684664</v>
      </c>
      <c r="F38" s="23">
        <f>(E38-D38)*100</f>
        <v>32.9654689439509</v>
      </c>
      <c r="G38" s="158"/>
      <c r="H38" s="158"/>
      <c r="I38" s="158"/>
      <c r="J38" s="158"/>
      <c r="K38" s="158"/>
      <c r="L38" s="158"/>
    </row>
    <row r="39" spans="1:12" ht="18.75" customHeight="1" x14ac:dyDescent="0.45">
      <c r="A39" s="157" t="s">
        <v>685</v>
      </c>
      <c r="B39" s="157"/>
      <c r="C39" s="56">
        <f>'01-DRAM-Model'!B52</f>
        <v>0.05</v>
      </c>
      <c r="D39" s="22">
        <f>'01-DRAM-Model'!M42</f>
        <v>0.706301994295062</v>
      </c>
      <c r="E39" s="22">
        <f>'02-NAND-Model'!I24</f>
        <v>0.474473591684664</v>
      </c>
      <c r="F39" s="23">
        <f>(E39-D39)*100</f>
        <v>-23.1828402610398</v>
      </c>
      <c r="G39" s="158"/>
      <c r="H39" s="158"/>
      <c r="I39" s="158"/>
      <c r="J39" s="158"/>
      <c r="K39" s="158"/>
      <c r="L39" s="158"/>
    </row>
    <row r="40" spans="1:12" ht="25.5" customHeight="1" x14ac:dyDescent="0.45">
      <c r="A40" s="159" t="s">
        <v>686</v>
      </c>
      <c r="B40" s="159"/>
      <c r="C40" s="109">
        <f>SUM(C35:C39)</f>
        <v>1</v>
      </c>
      <c r="D40" s="60">
        <f>SUMPRODUCT(C35:C39,D35:D39)</f>
        <v>-0.0841245031891783</v>
      </c>
      <c r="E40" s="60">
        <f>SUMPRODUCT(C35:C39,E35:E39)</f>
        <v>0.109749844575743</v>
      </c>
      <c r="F40" s="112">
        <f>(E40-D40)*100</f>
        <v>19.3874347764921</v>
      </c>
      <c r="G40" s="158"/>
      <c r="H40" s="158"/>
      <c r="I40" s="158"/>
      <c r="J40" s="158"/>
      <c r="K40" s="158"/>
      <c r="L40" s="158"/>
    </row>
    <row r="41" spans="1:12" ht="25.5" customHeight="1" x14ac:dyDescent="0.45">
      <c r="A41" s="159" t="s">
        <v>687</v>
      </c>
      <c r="B41" s="159"/>
      <c r="C41" s="15" t="s">
        <v>84</v>
      </c>
      <c r="D41" s="16">
        <f>'01-DRAM-Model'!G64</f>
        <v>-0.0841245031891783</v>
      </c>
      <c r="E41" s="16">
        <f>'02-NAND-Model'!G43</f>
        <v>0.012515496894063</v>
      </c>
      <c r="F41" s="112">
        <f>(E41-D41)*100</f>
        <v>9.66400000832413</v>
      </c>
      <c r="G41" s="158"/>
      <c r="H41" s="158"/>
      <c r="I41" s="158"/>
      <c r="J41" s="158"/>
      <c r="K41" s="158"/>
      <c r="L41" s="158"/>
    </row>
    <row r="42" spans="1:12" ht="72.75" customHeight="1" x14ac:dyDescent="0.45">
      <c r="A42" s="160" t="s">
        <v>327</v>
      </c>
      <c r="B42" s="160"/>
      <c r="C42" s="161" t="str">
        <f>IF(AND(SIGN(F40)=SIGN(F41),ABS(F40)&gt;=ABS(F41)*0.8),"robust ✔","not robust ✘")</f>
        <v>robust ✔</v>
      </c>
      <c r="D42" s="161"/>
      <c r="E42" s="161"/>
      <c r="F42" s="161"/>
      <c r="G42" s="152" t="s">
        <v>688</v>
      </c>
      <c r="H42" s="152"/>
      <c r="I42" s="152"/>
      <c r="J42" s="152"/>
      <c r="K42" s="152"/>
      <c r="L42" s="152"/>
    </row>
    <row r="44" spans="1:12" ht="24" customHeight="1" x14ac:dyDescent="0.45">
      <c r="A44" s="260" t="s">
        <v>1323</v>
      </c>
      <c r="B44" s="260"/>
      <c r="C44" s="260"/>
      <c r="D44" s="260"/>
      <c r="E44" s="260"/>
      <c r="F44" s="260"/>
      <c r="G44" s="260"/>
      <c r="H44" s="260"/>
      <c r="I44" s="260"/>
      <c r="J44" s="260"/>
      <c r="K44" s="260"/>
      <c r="L44" s="260"/>
    </row>
    <row r="45" spans="1:12" ht="27" customHeight="1" x14ac:dyDescent="0.45">
      <c r="A45" s="156" t="s">
        <v>27</v>
      </c>
      <c r="B45" s="156"/>
      <c r="C45" s="156"/>
      <c r="D45" s="2" t="s">
        <v>78</v>
      </c>
      <c r="E45" s="2" t="s">
        <v>79</v>
      </c>
      <c r="F45" s="2" t="s">
        <v>80</v>
      </c>
      <c r="G45" s="156" t="s">
        <v>310</v>
      </c>
      <c r="H45" s="156"/>
      <c r="I45" s="156"/>
      <c r="J45" s="156"/>
      <c r="K45" s="156"/>
      <c r="L45" s="156"/>
    </row>
    <row r="46" spans="1:12" ht="25.5" customHeight="1" x14ac:dyDescent="0.45">
      <c r="A46" s="151" t="s">
        <v>690</v>
      </c>
      <c r="B46" s="151"/>
      <c r="C46" s="151"/>
      <c r="D46" s="16">
        <f>'01-DRAM-Model'!D53</f>
        <v>-0.091210969195974</v>
      </c>
      <c r="E46" s="16">
        <f>'01-DRAM-Model'!E53</f>
        <v>-0.0381382738227208</v>
      </c>
      <c r="F46" s="16">
        <f>'01-DRAM-Model'!F53</f>
        <v>0.0724066707837913</v>
      </c>
      <c r="G46" s="152" t="s">
        <v>312</v>
      </c>
      <c r="H46" s="152"/>
      <c r="I46" s="152"/>
      <c r="J46" s="152"/>
      <c r="K46" s="152"/>
      <c r="L46" s="152"/>
    </row>
    <row r="47" spans="1:12" ht="25.5" customHeight="1" x14ac:dyDescent="0.45">
      <c r="A47" s="151" t="s">
        <v>691</v>
      </c>
      <c r="B47" s="151"/>
      <c r="C47" s="151"/>
      <c r="D47" s="16">
        <f>'01-DRAM-Model'!E64</f>
        <v>-0.1360617840503</v>
      </c>
      <c r="E47" s="16">
        <f>'01-DRAM-Model'!F64</f>
        <v>-0.156827528879081</v>
      </c>
      <c r="F47" s="16">
        <f>'01-DRAM-Model'!G64</f>
        <v>-0.0841245031891783</v>
      </c>
      <c r="G47" s="152" t="s">
        <v>692</v>
      </c>
      <c r="H47" s="152"/>
      <c r="I47" s="152"/>
      <c r="J47" s="152"/>
      <c r="K47" s="152"/>
      <c r="L47" s="152"/>
    </row>
    <row r="48" spans="1:12" ht="31.5" customHeight="1" x14ac:dyDescent="0.45">
      <c r="A48" s="151" t="s">
        <v>693</v>
      </c>
      <c r="B48" s="151"/>
      <c r="C48" s="151"/>
      <c r="D48" s="16">
        <f>'01-DRAM-Model'!G92</f>
        <v>-0.1360617840503</v>
      </c>
      <c r="E48" s="16">
        <f>'01-DRAM-Model'!H92</f>
        <v>-0.156827528879081</v>
      </c>
      <c r="F48" s="16">
        <f>'01-DRAM-Model'!I92</f>
        <v>-0.0841245031891783</v>
      </c>
      <c r="G48" s="152" t="s">
        <v>694</v>
      </c>
      <c r="H48" s="152"/>
      <c r="I48" s="152"/>
      <c r="J48" s="152"/>
      <c r="K48" s="152"/>
      <c r="L48" s="152"/>
    </row>
    <row r="49" spans="1:12" ht="31.5" customHeight="1" x14ac:dyDescent="0.45">
      <c r="A49" s="151" t="s">
        <v>695</v>
      </c>
      <c r="B49" s="151"/>
      <c r="C49" s="151"/>
      <c r="D49" s="16">
        <f>'01-DRAM-Model'!G105</f>
        <v>-0.125910302642147</v>
      </c>
      <c r="E49" s="16">
        <f>'01-DRAM-Model'!H105</f>
        <v>-0.189553889500564</v>
      </c>
      <c r="F49" s="16">
        <f>'01-DRAM-Model'!I105</f>
        <v>-0.166105705191168</v>
      </c>
      <c r="G49" s="152" t="s">
        <v>318</v>
      </c>
      <c r="H49" s="152"/>
      <c r="I49" s="152"/>
      <c r="J49" s="152"/>
      <c r="K49" s="152"/>
      <c r="L49" s="152"/>
    </row>
    <row r="50" spans="1:12" ht="25.5" customHeight="1" x14ac:dyDescent="0.45">
      <c r="A50" s="151" t="s">
        <v>696</v>
      </c>
      <c r="B50" s="151"/>
      <c r="C50" s="151"/>
      <c r="D50" s="16">
        <f>D15</f>
        <v>-0.0499656908209102</v>
      </c>
      <c r="E50" s="16">
        <f>E15</f>
        <v>0.00622361600395083</v>
      </c>
      <c r="F50" s="16">
        <f>F15</f>
        <v>0.0659624220327353</v>
      </c>
      <c r="G50" s="152" t="s">
        <v>697</v>
      </c>
      <c r="H50" s="152"/>
      <c r="I50" s="152"/>
      <c r="J50" s="152"/>
      <c r="K50" s="152"/>
      <c r="L50" s="152"/>
    </row>
    <row r="51" spans="1:12" ht="31.5" customHeight="1" x14ac:dyDescent="0.45">
      <c r="A51" s="151" t="s">
        <v>698</v>
      </c>
      <c r="B51" s="151"/>
      <c r="C51" s="151"/>
      <c r="D51" s="16">
        <f>D16</f>
        <v>-0.0406500722117665</v>
      </c>
      <c r="E51" s="16">
        <f>E16</f>
        <v>-0.0457702116234979</v>
      </c>
      <c r="F51" s="16">
        <f>F16</f>
        <v>-0.0506615628577143</v>
      </c>
      <c r="G51" s="152" t="s">
        <v>699</v>
      </c>
      <c r="H51" s="152"/>
      <c r="I51" s="152"/>
      <c r="J51" s="152"/>
      <c r="K51" s="152"/>
      <c r="L51" s="152"/>
    </row>
    <row r="52" spans="1:12" ht="31.5" customHeight="1" x14ac:dyDescent="0.45">
      <c r="A52" s="151" t="s">
        <v>700</v>
      </c>
      <c r="B52" s="151"/>
      <c r="C52" s="151"/>
      <c r="D52" s="16">
        <f>D17</f>
        <v>0.0249890308040261</v>
      </c>
      <c r="E52" s="16">
        <f>E17</f>
        <v>0.0686076232059022</v>
      </c>
      <c r="F52" s="16">
        <f>F17</f>
        <v>0.0688684044890452</v>
      </c>
      <c r="G52" s="254" t="s">
        <v>1324</v>
      </c>
      <c r="H52" s="254"/>
      <c r="I52" s="254"/>
      <c r="J52" s="254"/>
      <c r="K52" s="254"/>
      <c r="L52" s="254"/>
    </row>
    <row r="53" spans="1:12" ht="45" customHeight="1" x14ac:dyDescent="0.45">
      <c r="A53" s="282" t="s">
        <v>1325</v>
      </c>
      <c r="B53" s="282"/>
      <c r="C53" s="282"/>
      <c r="D53" s="19">
        <f>'06-Inventory-Burn-v4'!$C$35</f>
        <v>-0.091210969195974</v>
      </c>
      <c r="E53" s="19">
        <f>'06-Inventory-Burn-v4'!$D$35</f>
        <v>-0.0372256495811009</v>
      </c>
      <c r="F53" s="19">
        <f>'06-Inventory-Burn-v4'!$E$35</f>
        <v>0.0616483750322258</v>
      </c>
      <c r="G53" s="256" t="s">
        <v>1326</v>
      </c>
      <c r="H53" s="256"/>
      <c r="I53" s="256"/>
      <c r="J53" s="256"/>
      <c r="K53" s="256"/>
      <c r="L53" s="256"/>
    </row>
    <row r="54" ht="45.0" customHeight="1" spans="1:12">
      <c r="A54" s="283" t="s">
        <v>1327</v>
      </c>
      <c r="B54" s="283"/>
      <c r="C54" s="283"/>
      <c r="D54" s="284">
        <f>'09-v4.1-Corrections'!$G$42</f>
        <v>-0.08</v>
      </c>
      <c r="E54" s="284">
        <f>'09-v4.1-Corrections'!$H$42</f>
        <v>-0.103494113577772</v>
      </c>
      <c r="F54" s="284">
        <f>'09-v4.1-Corrections'!$I$42</f>
        <v>-0.036834691155781</v>
      </c>
      <c r="G54" s="343" t="str">
        <f>"▲ NEW. Weighted mean shown; the base case (median) is "&amp;SUBSTITUTE(TEXT('09-v4.1-Corrections'!$H$43,"0.0%"),"-","−")&amp;" in 2027 and "&amp;SUBSTITUTE(TEXT('09-v4.1-Corrections'!$I$43,"0.0%"),"-","−")&amp;" in 2028 (sheet 09 [C]). The level headline (v4.2 inputs)."</f>
        <v>▲ NEW. Weighted mean shown; the base case (median) is −15.1% in 2027 and −17.4% in 2028 (sheet 09 [C]). The level headline (v4.2 inputs).</v>
      </c>
      <c r="H54" s="343"/>
      <c r="I54" s="343"/>
      <c r="J54" s="343"/>
      <c r="K54" s="343"/>
      <c r="L54" s="343"/>
    </row>
    <row r="55" spans="1:12" ht="45" customHeight="1" x14ac:dyDescent="0.45">
      <c r="A55" s="264" t="s">
        <v>1328</v>
      </c>
      <c r="B55" s="264"/>
      <c r="C55" s="264"/>
      <c r="D55" s="264"/>
      <c r="E55" s="264"/>
      <c r="F55" s="264"/>
      <c r="G55" s="264"/>
      <c r="H55" s="264"/>
      <c r="I55" s="264"/>
      <c r="J55" s="264"/>
      <c r="K55" s="264"/>
      <c r="L55" s="264"/>
    </row>
  </sheetData>
  <mergeCells count="103">
    <mergeCell ref="A1:L1"/>
    <mergeCell ref="A2:L2"/>
    <mergeCell ref="A4:L4"/>
    <mergeCell ref="B5:C5"/>
    <mergeCell ref="D5:F5"/>
    <mergeCell ref="G5:I5"/>
    <mergeCell ref="J5:L5"/>
    <mergeCell ref="B6:C6"/>
    <mergeCell ref="D6:F6"/>
    <mergeCell ref="G6:I6"/>
    <mergeCell ref="J6:L6"/>
    <mergeCell ref="B7:C7"/>
    <mergeCell ref="D7:F7"/>
    <mergeCell ref="G7:I7"/>
    <mergeCell ref="J7:L7"/>
    <mergeCell ref="B8:C8"/>
    <mergeCell ref="D8:F8"/>
    <mergeCell ref="G8:I8"/>
    <mergeCell ref="J8:L8"/>
    <mergeCell ref="B9:C9"/>
    <mergeCell ref="D9:F9"/>
    <mergeCell ref="G9:I9"/>
    <mergeCell ref="J9:L9"/>
    <mergeCell ref="B10:C10"/>
    <mergeCell ref="D10:F10"/>
    <mergeCell ref="G10:I10"/>
    <mergeCell ref="J10:L10"/>
    <mergeCell ref="A12:L12"/>
    <mergeCell ref="A13:C13"/>
    <mergeCell ref="G13:L13"/>
    <mergeCell ref="A14:C14"/>
    <mergeCell ref="G14:L14"/>
    <mergeCell ref="A15:C15"/>
    <mergeCell ref="G15:L15"/>
    <mergeCell ref="A16:C16"/>
    <mergeCell ref="G16:L16"/>
    <mergeCell ref="A17:C17"/>
    <mergeCell ref="G17:L17"/>
    <mergeCell ref="A18:C18"/>
    <mergeCell ref="G18:L18"/>
    <mergeCell ref="A20:L20"/>
    <mergeCell ref="A21:C21"/>
    <mergeCell ref="E21:L21"/>
    <mergeCell ref="A22:B22"/>
    <mergeCell ref="F22:L22"/>
    <mergeCell ref="A23:B23"/>
    <mergeCell ref="F23:L23"/>
    <mergeCell ref="A24:B24"/>
    <mergeCell ref="F24:L24"/>
    <mergeCell ref="A25:B25"/>
    <mergeCell ref="F25:L25"/>
    <mergeCell ref="A26:B26"/>
    <mergeCell ref="F26:L26"/>
    <mergeCell ref="A27:B27"/>
    <mergeCell ref="F27:L27"/>
    <mergeCell ref="A28:B28"/>
    <mergeCell ref="F28:L28"/>
    <mergeCell ref="A29:B29"/>
    <mergeCell ref="F29:L29"/>
    <mergeCell ref="A30:B30"/>
    <mergeCell ref="F30:L30"/>
    <mergeCell ref="A32:L32"/>
    <mergeCell ref="A33:L33"/>
    <mergeCell ref="A34:B34"/>
    <mergeCell ref="A35:B35"/>
    <mergeCell ref="G35:L35"/>
    <mergeCell ref="A36:B36"/>
    <mergeCell ref="G36:L36"/>
    <mergeCell ref="A37:B37"/>
    <mergeCell ref="G37:L37"/>
    <mergeCell ref="A38:B38"/>
    <mergeCell ref="G38:L38"/>
    <mergeCell ref="A39:B39"/>
    <mergeCell ref="G39:L39"/>
    <mergeCell ref="A40:B40"/>
    <mergeCell ref="G40:L40"/>
    <mergeCell ref="A41:B41"/>
    <mergeCell ref="G41:L41"/>
    <mergeCell ref="A42:B42"/>
    <mergeCell ref="C42:F42"/>
    <mergeCell ref="G42:L42"/>
    <mergeCell ref="A44:L44"/>
    <mergeCell ref="A45:C45"/>
    <mergeCell ref="G45:L45"/>
    <mergeCell ref="A46:C46"/>
    <mergeCell ref="G46:L46"/>
    <mergeCell ref="A47:C47"/>
    <mergeCell ref="G47:L47"/>
    <mergeCell ref="A48:C48"/>
    <mergeCell ref="G48:L48"/>
    <mergeCell ref="A55:L55"/>
    <mergeCell ref="A49:C49"/>
    <mergeCell ref="G49:L49"/>
    <mergeCell ref="A50:C50"/>
    <mergeCell ref="G50:L50"/>
    <mergeCell ref="A51:C51"/>
    <mergeCell ref="G51:L51"/>
    <mergeCell ref="A52:C52"/>
    <mergeCell ref="G52:L52"/>
    <mergeCell ref="A53:C53"/>
    <mergeCell ref="G53:L53"/>
    <mergeCell ref="A54:C54"/>
    <mergeCell ref="G54:L54"/>
  </mergeCells>
  <phoneticPr fontId="59"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B35C00"/>
  </sheetPr>
  <dimension ref="A1:L158"/>
  <sheetViews>
    <sheetView showGridLines="0" zoomScaleNormal="100" workbookViewId="0">
      <selection sqref="A1:L1"/>
    </sheetView>
  </sheetViews>
  <sheetFormatPr defaultColWidth="8.6640625" defaultRowHeight="14.25" x14ac:dyDescent="0.45"/>
  <cols>
    <col min="1" max="1" width="26" customWidth="1"/>
    <col min="2" max="4" width="12" customWidth="1"/>
    <col min="5" max="5" width="12.6640625" customWidth="1"/>
    <col min="6" max="6" width="11" customWidth="1"/>
    <col min="7" max="7" width="12.6640625" customWidth="1"/>
    <col min="8" max="9" width="12" customWidth="1"/>
    <col min="10" max="11" width="13" customWidth="1"/>
    <col min="12" max="12" width="39" customWidth="1"/>
  </cols>
  <sheetData>
    <row r="1" spans="1:12" ht="37.5" customHeight="1" x14ac:dyDescent="0.45">
      <c r="A1" s="167" t="s">
        <v>1229</v>
      </c>
      <c r="B1" s="167"/>
      <c r="C1" s="167"/>
      <c r="D1" s="167"/>
      <c r="E1" s="167"/>
      <c r="F1" s="167"/>
      <c r="G1" s="167"/>
      <c r="H1" s="167"/>
      <c r="I1" s="167"/>
      <c r="J1" s="167"/>
      <c r="K1" s="167"/>
      <c r="L1" s="167"/>
    </row>
    <row r="2" spans="1:12" ht="30" customHeight="1" x14ac:dyDescent="0.45">
      <c r="A2" s="243" t="s">
        <v>1230</v>
      </c>
      <c r="B2" s="243"/>
      <c r="C2" s="243"/>
      <c r="D2" s="243"/>
      <c r="E2" s="243"/>
      <c r="F2" s="243"/>
      <c r="G2" s="243"/>
      <c r="H2" s="243"/>
      <c r="I2" s="243"/>
      <c r="J2" s="243"/>
      <c r="K2" s="243"/>
      <c r="L2" s="243"/>
    </row>
    <row r="4" spans="1:12" ht="96" customHeight="1" x14ac:dyDescent="0.45">
      <c r="A4" s="207" t="s">
        <v>1231</v>
      </c>
      <c r="B4" s="207"/>
      <c r="C4" s="207"/>
      <c r="D4" s="207"/>
      <c r="E4" s="207"/>
      <c r="F4" s="207"/>
      <c r="G4" s="207"/>
      <c r="H4" s="207"/>
      <c r="I4" s="207"/>
      <c r="J4" s="207"/>
      <c r="K4" s="207"/>
      <c r="L4" s="207"/>
    </row>
    <row r="6" spans="1:12" ht="24" customHeight="1" x14ac:dyDescent="0.45">
      <c r="A6" s="181" t="s">
        <v>708</v>
      </c>
      <c r="B6" s="181"/>
      <c r="C6" s="181"/>
      <c r="D6" s="181"/>
      <c r="E6" s="181"/>
      <c r="F6" s="181"/>
      <c r="G6" s="181"/>
      <c r="H6" s="181"/>
      <c r="I6" s="181"/>
      <c r="J6" s="181"/>
      <c r="K6" s="181"/>
      <c r="L6" s="181"/>
    </row>
    <row r="7" spans="1:12" ht="48" customHeight="1" x14ac:dyDescent="0.45">
      <c r="A7" s="244" t="s">
        <v>1232</v>
      </c>
      <c r="B7" s="244"/>
      <c r="C7" s="244"/>
      <c r="D7" s="244"/>
      <c r="E7" s="244"/>
      <c r="F7" s="244"/>
      <c r="G7" s="244"/>
      <c r="H7" s="244"/>
      <c r="I7" s="244"/>
      <c r="J7" s="244"/>
      <c r="K7" s="244"/>
      <c r="L7" s="244"/>
    </row>
    <row r="8" spans="1:12" ht="31.5" customHeight="1" x14ac:dyDescent="0.45">
      <c r="A8" s="1" t="s">
        <v>174</v>
      </c>
      <c r="B8" s="1" t="s">
        <v>175</v>
      </c>
      <c r="C8" s="172" t="s">
        <v>331</v>
      </c>
      <c r="D8" s="172"/>
      <c r="E8" s="172"/>
      <c r="F8" s="172"/>
      <c r="G8" s="172"/>
      <c r="H8" s="1" t="s">
        <v>332</v>
      </c>
      <c r="I8" s="1" t="s">
        <v>333</v>
      </c>
      <c r="J8" s="172" t="s">
        <v>55</v>
      </c>
      <c r="K8" s="172"/>
      <c r="L8" s="172"/>
    </row>
    <row r="9" spans="1:12" ht="37.5" customHeight="1" x14ac:dyDescent="0.45">
      <c r="A9" s="113" t="s">
        <v>710</v>
      </c>
      <c r="B9" s="114">
        <f>H9/100</f>
        <v>2.57</v>
      </c>
      <c r="C9" s="177"/>
      <c r="D9" s="177"/>
      <c r="E9" s="177"/>
      <c r="F9" s="177"/>
      <c r="G9" s="177"/>
      <c r="H9" s="82">
        <v>257</v>
      </c>
      <c r="I9" s="83" t="s">
        <v>711</v>
      </c>
      <c r="J9" s="178" t="s">
        <v>712</v>
      </c>
      <c r="K9" s="178"/>
      <c r="L9" s="178"/>
    </row>
    <row r="10" spans="1:12" ht="37.5" customHeight="1" x14ac:dyDescent="0.45">
      <c r="A10" s="113" t="s">
        <v>713</v>
      </c>
      <c r="B10" s="81">
        <f>-H10/100</f>
        <v>-0.3</v>
      </c>
      <c r="C10" s="177"/>
      <c r="D10" s="177"/>
      <c r="E10" s="177"/>
      <c r="F10" s="177"/>
      <c r="G10" s="177"/>
      <c r="H10" s="82">
        <v>30</v>
      </c>
      <c r="I10" s="83" t="s">
        <v>714</v>
      </c>
      <c r="J10" s="245" t="s">
        <v>1233</v>
      </c>
      <c r="K10" s="245"/>
      <c r="L10" s="245"/>
    </row>
    <row r="11" spans="1:12" ht="37.5" customHeight="1" x14ac:dyDescent="0.45">
      <c r="A11" s="113" t="s">
        <v>716</v>
      </c>
      <c r="B11" s="326">
        <f>-H11/1000*(1-'11-v4.2-Recalibration'!$B$17)</f>
        <v>-0.025</v>
      </c>
      <c r="C11" s="177"/>
      <c r="D11" s="177"/>
      <c r="E11" s="177"/>
      <c r="F11" s="177"/>
      <c r="G11" s="177"/>
      <c r="H11" s="82">
        <v>25</v>
      </c>
      <c r="I11" s="83" t="s">
        <v>717</v>
      </c>
      <c r="J11" s="344" t="s">
        <v>1845</v>
      </c>
      <c r="K11" s="344"/>
      <c r="L11" s="344"/>
    </row>
    <row r="12" spans="1:12" ht="37.5" customHeight="1" x14ac:dyDescent="0.45">
      <c r="A12" s="113" t="s">
        <v>719</v>
      </c>
      <c r="B12" s="85">
        <f>H12</f>
        <v>1</v>
      </c>
      <c r="C12" s="177"/>
      <c r="D12" s="177"/>
      <c r="E12" s="177"/>
      <c r="F12" s="177"/>
      <c r="G12" s="177"/>
      <c r="H12" s="82">
        <v>1</v>
      </c>
      <c r="I12" s="83" t="s">
        <v>720</v>
      </c>
      <c r="J12" s="245" t="s">
        <v>1235</v>
      </c>
      <c r="K12" s="245"/>
      <c r="L12" s="245"/>
    </row>
    <row r="13" spans="1:12" ht="48" customHeight="48" x14ac:dyDescent="0.45">
      <c r="A13" s="113" t="s">
        <v>722</v>
      </c>
      <c r="B13" s="86">
        <f>(H13-50)/1000</f>
        <v>0.04</v>
      </c>
      <c r="C13" s="177"/>
      <c r="D13" s="177"/>
      <c r="E13" s="177"/>
      <c r="F13" s="177"/>
      <c r="G13" s="177"/>
      <c r="H13" s="82">
        <v>90</v>
      </c>
      <c r="I13" s="83" t="s">
        <v>346</v>
      </c>
      <c r="J13" s="339" t="str">
        <f>"Moves the N2 base case toward KB Securities' view that AI server investment pulls enterprise SSD alongside server DDR5. Default "&amp;SUBSTITUTE(TEXT(B13*100,"+0.0;-0.0;0.0"),"-","−")&amp;"pp lifts 2027 NAND demand from "&amp;SUBSTITUTE(TEXT('02-NAND-Model'!F13+'02-NAND-Model'!$B$81,"0%"),"-","−")&amp;" to "&amp;SUBSTITUTE(TEXT('02-NAND-Model'!F13+'02-NAND-Model'!$B$81+B13,"0%"),"-","−")&amp;" (N2 input "&amp;SUBSTITUTE(TEXT('02-NAND-Model'!F13,"0%"),"-","−")&amp;", v4.2 on sheet 11, plus the console shift). ⚠ This is an alignment to someone else's judgement, not a new measurement."</f>
        <v>Moves the N2 base case toward KB Securities' view that AI server investment pulls enterprise SSD alongside server DDR5. Default +4.0pp lifts 2027 NAND demand from 26% to 30% (N2 input 24%, v4.2 on sheet 11, plus the console shift). ⚠ This is an alignment to someone else's judgement, not a new measurement.</v>
      </c>
      <c r="K13" s="339"/>
      <c r="L13" s="339"/>
    </row>
    <row r="14" spans="1:12" ht="37.5" customHeight="1" x14ac:dyDescent="0.45">
      <c r="A14" s="113" t="s">
        <v>724</v>
      </c>
      <c r="B14" s="86">
        <f>(H14-50)/1000</f>
        <v>-0.03</v>
      </c>
      <c r="C14" s="177"/>
      <c r="D14" s="177"/>
      <c r="E14" s="177"/>
      <c r="F14" s="177"/>
      <c r="G14" s="177"/>
      <c r="H14" s="82">
        <v>20</v>
      </c>
      <c r="I14" s="83" t="s">
        <v>346</v>
      </c>
      <c r="J14" s="178" t="s">
        <v>725</v>
      </c>
      <c r="K14" s="178"/>
      <c r="L14" s="178"/>
    </row>
    <row r="15" spans="1:12" ht="33.75" customHeight="1" x14ac:dyDescent="0.45">
      <c r="A15" s="88" t="s">
        <v>726</v>
      </c>
      <c r="B15" s="115">
        <f>B9/52</f>
        <v>0.0494230769230769</v>
      </c>
      <c r="C15" s="215" t="str">
        <f>SUBSTITUTE(TEXT(B9,"0.00"),"-","−")&amp;" weeks ÷ 52 = "&amp;SUBSTITUTE(TEXT(B15,"0.0%"),"-","−")&amp;" of annual supply, gross (Samsung + SK hynix). ▲ v4.1: × coverage and × the share consumed (φ) on sheet 09 = "&amp;SUBSTITUTE(TEXT('09-v4.1-Corrections'!$B$17,"0.00%"),"-","−")&amp;" effective. v4.0 treated the gross share as the whole 2027 base effect."</f>
        <v>2.57 weeks ÷ 52 = 4.9% of annual supply, gross (Samsung + SK hynix). ▲ v4.1: × coverage and × the share consumed (φ) on sheet 09 = 1.58% effective. v4.0 treated the gross share as the whole 2027 base effect.</v>
      </c>
      <c r="D15" s="215"/>
      <c r="E15" s="215"/>
      <c r="F15" s="215"/>
      <c r="G15" s="215"/>
      <c r="H15" s="215"/>
      <c r="I15" s="215"/>
      <c r="J15" s="215"/>
      <c r="K15" s="215"/>
      <c r="L15" s="215"/>
    </row>
    <row r="16" spans="1:12" ht="24" customHeight="1" x14ac:dyDescent="0.45">
      <c r="A16" s="246" t="s">
        <v>1236</v>
      </c>
      <c r="B16" s="246"/>
      <c r="C16" s="246"/>
      <c r="D16" s="246"/>
      <c r="E16" s="246"/>
      <c r="F16" s="246"/>
      <c r="G16" s="246"/>
      <c r="H16" s="246"/>
      <c r="I16" s="246"/>
      <c r="J16" s="246"/>
      <c r="K16" s="246"/>
      <c r="L16" s="246"/>
    </row>
    <row r="17" spans="1:12" ht="45" customHeight="1" x14ac:dyDescent="0.45">
      <c r="A17" s="1" t="s">
        <v>200</v>
      </c>
      <c r="B17" s="1" t="s">
        <v>232</v>
      </c>
      <c r="C17" s="1" t="s">
        <v>728</v>
      </c>
      <c r="D17" s="1" t="s">
        <v>420</v>
      </c>
      <c r="E17" s="247" t="s">
        <v>1237</v>
      </c>
      <c r="F17" s="1" t="s">
        <v>730</v>
      </c>
      <c r="G17" s="247" t="s">
        <v>1238</v>
      </c>
      <c r="H17" s="1" t="s">
        <v>418</v>
      </c>
      <c r="I17" s="1" t="s">
        <v>419</v>
      </c>
      <c r="J17" s="247" t="s">
        <v>1239</v>
      </c>
      <c r="K17" s="247" t="s">
        <v>1240</v>
      </c>
      <c r="L17" s="1" t="s">
        <v>327</v>
      </c>
    </row>
    <row r="18" spans="1:12" ht="18" customHeight="1" x14ac:dyDescent="0.45">
      <c r="A18" s="11" t="s">
        <v>218</v>
      </c>
      <c r="B18" s="56">
        <f>'01-DRAM-Model'!B48</f>
        <v>0.15</v>
      </c>
      <c r="C18" s="22">
        <f>'01-DRAM-Model'!J21</f>
        <v>0.187184311628035</v>
      </c>
      <c r="D18" s="22">
        <f>'01-DRAM-Model'!L21</f>
        <v>-0.202815688371965</v>
      </c>
      <c r="E18" s="220">
        <f>IF($B$12=0,C18,IF($B$12=1,C18-'09-v4.1-Corrections'!$B$17,(1+C18)/(1+'09-v4.1-Corrections'!$B$17)-1))-H18</f>
        <v>-0.21863107298735</v>
      </c>
      <c r="F18" s="20">
        <f>(E18-D18)*100</f>
        <v>-1.58153846153846</v>
      </c>
      <c r="G18" s="116">
        <f>K18-I18</f>
        <v>-0.203218317638434</v>
      </c>
      <c r="H18" s="22">
        <f>'01-DRAM-Model'!K21+'01-DRAM-Model'!$B$149</f>
        <v>0.39</v>
      </c>
      <c r="I18" s="58">
        <f>H18+$B$11</f>
        <v>0.365</v>
      </c>
      <c r="J18" s="248">
        <f>(1+'01-DRAM-Model'!C21+'01-DRAM-Model'!$B$146)*(1+'01-DRAM-Model'!D21+'01-DRAM-Model'!$B$147)*(((1-'01-DRAM-Model'!G21)+'01-DRAM-Model'!G21/'09-v4.1-Corrections'!$B$19)/((1-'01-DRAM-Model'!G20)+'01-DRAM-Model'!G20/'01-DRAM-Model'!$B$6))-1</f>
        <v>0.17759706697695</v>
      </c>
      <c r="K18" s="248">
        <f>IF($B$12=0,J18,IF($B$12=1,J18-'09-v4.1-Corrections'!$B$17,(1+J18)/(1+'09-v4.1-Corrections'!$B$17)-1))</f>
        <v>0.161781682361566</v>
      </c>
      <c r="L18" s="249" t="str">
        <f>IF(E18&lt;0,IF(D18&lt;0,"widening before and after","★ flips to widening"),IF(D18&lt;0,"flips to narrowing","narrowing before and after"))</f>
        <v>widening before and after</v>
      </c>
    </row>
    <row r="19" spans="1:12" ht="18" customHeight="1" x14ac:dyDescent="0.45">
      <c r="A19" s="11" t="s">
        <v>222</v>
      </c>
      <c r="B19" s="56">
        <f>'01-DRAM-Model'!B49</f>
        <v>0.38</v>
      </c>
      <c r="C19" s="22">
        <f>'01-DRAM-Model'!J26</f>
        <v>0.228607623205902</v>
      </c>
      <c r="D19" s="22">
        <f>'01-DRAM-Model'!L26</f>
        <v>-0.101392376794098</v>
      </c>
      <c r="E19" s="220">
        <f>IF($B$12=0,C19,IF($B$12=1,C19-'09-v4.1-Corrections'!$B$17,(1+C19)/(1+'09-v4.1-Corrections'!$B$17)-1))-H19</f>
        <v>-0.117207761409482</v>
      </c>
      <c r="F19" s="20">
        <f>(E19-D19)*100</f>
        <v>-1.58153846153846</v>
      </c>
      <c r="G19" s="116">
        <f>K19-I19</f>
        <v>-0.100743305136998</v>
      </c>
      <c r="H19" s="22">
        <f>'01-DRAM-Model'!K26+'01-DRAM-Model'!$B$149</f>
        <v>0.33</v>
      </c>
      <c r="I19" s="58">
        <f>H19+$B$11</f>
        <v>0.305</v>
      </c>
      <c r="J19" s="248">
        <f>(1+'01-DRAM-Model'!C26+'01-DRAM-Model'!$B$146)*(1+'01-DRAM-Model'!D26+'01-DRAM-Model'!$B$147)*(((1-'01-DRAM-Model'!G26)+'01-DRAM-Model'!G26/'09-v4.1-Corrections'!$B$19)/((1-'01-DRAM-Model'!G25)+'01-DRAM-Model'!G25/'01-DRAM-Model'!$B$6))-1</f>
        <v>0.220072079478387</v>
      </c>
      <c r="K19" s="248">
        <f>IF($B$12=0,J19,IF($B$12=1,J19-'09-v4.1-Corrections'!$B$17,(1+J19)/(1+'09-v4.1-Corrections'!$B$17)-1))</f>
        <v>0.204256694863002</v>
      </c>
      <c r="L19" s="249" t="str">
        <f>IF(E19&lt;0,IF(D19&lt;0,"widening before and after","★ flips to widening"),IF(D19&lt;0,"flips to narrowing","narrowing before and after"))</f>
        <v>widening before and after</v>
      </c>
    </row>
    <row r="20" spans="1:12" ht="18" customHeight="1" x14ac:dyDescent="0.45">
      <c r="A20" s="11" t="s">
        <v>224</v>
      </c>
      <c r="B20" s="56">
        <f>'01-DRAM-Model'!B50</f>
        <v>0.25</v>
      </c>
      <c r="C20" s="22">
        <f>'01-DRAM-Model'!J31</f>
        <v>0.288205995834473</v>
      </c>
      <c r="D20" s="22">
        <f>'01-DRAM-Model'!L31</f>
        <v>0.0182059958344727</v>
      </c>
      <c r="E20" s="220">
        <f>IF($B$12=0,C20,IF($B$12=1,C20-'09-v4.1-Corrections'!$B$17,(1+C20)/(1+'09-v4.1-Corrections'!$B$17)-1))-H20</f>
        <v>0.00239061121908807</v>
      </c>
      <c r="F20" s="20">
        <f>(E20-D20)*100</f>
        <v>-1.58153846153846</v>
      </c>
      <c r="G20" s="116">
        <f>K20-I20</f>
        <v>0.0191408226511458</v>
      </c>
      <c r="H20" s="22">
        <f>'01-DRAM-Model'!K31+'01-DRAM-Model'!$B$149</f>
        <v>0.27</v>
      </c>
      <c r="I20" s="58">
        <f>H20+$B$11</f>
        <v>0.245</v>
      </c>
      <c r="J20" s="248">
        <f>(1+'01-DRAM-Model'!C31+'01-DRAM-Model'!$B$146)*(1+'01-DRAM-Model'!D31+'01-DRAM-Model'!$B$147)*(((1-'01-DRAM-Model'!G31)+'01-DRAM-Model'!G31/'09-v4.1-Corrections'!$B$19)/((1-'01-DRAM-Model'!G30)+'01-DRAM-Model'!G30/'01-DRAM-Model'!$B$6))-1</f>
        <v>0.279956207266531</v>
      </c>
      <c r="K20" s="248">
        <f>IF($B$12=0,J20,IF($B$12=1,J20-'09-v4.1-Corrections'!$B$17,(1+J20)/(1+'09-v4.1-Corrections'!$B$17)-1))</f>
        <v>0.264140822651146</v>
      </c>
      <c r="L20" s="249" t="str">
        <f>IF(E20&lt;0,IF(D20&lt;0,"widening before and after","★ flips to widening"),IF(D20&lt;0,"flips to narrowing","narrowing before and after"))</f>
        <v>narrowing before and after</v>
      </c>
    </row>
    <row r="21" spans="1:12" ht="18" customHeight="1" x14ac:dyDescent="0.45">
      <c r="A21" s="11" t="s">
        <v>226</v>
      </c>
      <c r="B21" s="56">
        <f>'01-DRAM-Model'!B51</f>
        <v>0.17</v>
      </c>
      <c r="C21" s="22">
        <f>'01-DRAM-Model'!J36</f>
        <v>0.342987035727405</v>
      </c>
      <c r="D21" s="22">
        <f>'01-DRAM-Model'!L36</f>
        <v>0.0929870357274054</v>
      </c>
      <c r="E21" s="220">
        <f>IF($B$12=0,C21,IF($B$12=1,C21-'09-v4.1-Corrections'!$B$17,(1+C21)/(1+'09-v4.1-Corrections'!$B$17)-1))-H21</f>
        <v>0.0771716511120208</v>
      </c>
      <c r="F21" s="20">
        <f>(E21-D21)*100</f>
        <v>-1.58153846153846</v>
      </c>
      <c r="G21" s="116">
        <f>K21-I21</f>
        <v>0.0949774071131147</v>
      </c>
      <c r="H21" s="22">
        <f>'01-DRAM-Model'!K36+'01-DRAM-Model'!$B$149</f>
        <v>0.25</v>
      </c>
      <c r="I21" s="58">
        <f>H21+$B$11</f>
        <v>0.225</v>
      </c>
      <c r="J21" s="248">
        <f>(1+'01-DRAM-Model'!C36+'01-DRAM-Model'!$B$146)*(1+'01-DRAM-Model'!D36+'01-DRAM-Model'!$B$147)*(((1-'01-DRAM-Model'!G36)+'01-DRAM-Model'!G36/'09-v4.1-Corrections'!$B$19)/((1-'01-DRAM-Model'!G35)+'01-DRAM-Model'!G35/'01-DRAM-Model'!$B$6))-1</f>
        <v>0.335792791728499</v>
      </c>
      <c r="K21" s="248">
        <f>IF($B$12=0,J21,IF($B$12=1,J21-'09-v4.1-Corrections'!$B$17,(1+J21)/(1+'09-v4.1-Corrections'!$B$17)-1))</f>
        <v>0.319977407113115</v>
      </c>
      <c r="L21" s="249" t="str">
        <f>IF(E21&lt;0,IF(D21&lt;0,"widening before and after","★ flips to widening"),IF(D21&lt;0,"flips to narrowing","narrowing before and after"))</f>
        <v>narrowing before and after</v>
      </c>
    </row>
    <row r="22" spans="1:12" ht="18" customHeight="1" x14ac:dyDescent="0.45">
      <c r="A22" s="11" t="s">
        <v>228</v>
      </c>
      <c r="B22" s="56">
        <f>'01-DRAM-Model'!B52</f>
        <v>0.05</v>
      </c>
      <c r="C22" s="22">
        <f>'01-DRAM-Model'!J41</f>
        <v>0.39907775165108</v>
      </c>
      <c r="D22" s="22">
        <f>'01-DRAM-Model'!L41</f>
        <v>0.20907775165108</v>
      </c>
      <c r="E22" s="220">
        <f>IF($B$12=0,C22,IF($B$12=1,C22-'09-v4.1-Corrections'!$B$17,(1+C22)/(1+'09-v4.1-Corrections'!$B$17)-1))-H22</f>
        <v>0.193262367035695</v>
      </c>
      <c r="F22" s="20">
        <f>(E22-D22)*100</f>
        <v>-1.58153846153846</v>
      </c>
      <c r="G22" s="116">
        <f>K22-I22</f>
        <v>0.212163782894151</v>
      </c>
      <c r="H22" s="22">
        <f>'01-DRAM-Model'!K41+'01-DRAM-Model'!$B$149</f>
        <v>0.19</v>
      </c>
      <c r="I22" s="58">
        <f>H22+$B$11</f>
        <v>0.165</v>
      </c>
      <c r="J22" s="248">
        <f>(1+'01-DRAM-Model'!C41+'01-DRAM-Model'!$B$146)*(1+'01-DRAM-Model'!D41+'01-DRAM-Model'!$B$147)*(((1-'01-DRAM-Model'!G41)+'01-DRAM-Model'!G41/'09-v4.1-Corrections'!$B$19)/((1-'01-DRAM-Model'!G40)+'01-DRAM-Model'!G40/'01-DRAM-Model'!$B$6))-1</f>
        <v>0.392979167509536</v>
      </c>
      <c r="K22" s="248">
        <f>IF($B$12=0,J22,IF($B$12=1,J22-'09-v4.1-Corrections'!$B$17,(1+J22)/(1+'09-v4.1-Corrections'!$B$17)-1))</f>
        <v>0.377163782894151</v>
      </c>
      <c r="L22" s="249" t="str">
        <f>IF(E22&lt;0,IF(D22&lt;0,"widening before and after","★ flips to widening"),IF(D22&lt;0,"flips to narrowing","narrowing before and after"))</f>
        <v>narrowing before and after</v>
      </c>
    </row>
    <row r="23" spans="1:12" ht="24" customHeight="1" x14ac:dyDescent="0.45">
      <c r="A23" s="76" t="s">
        <v>235</v>
      </c>
      <c r="B23" s="56">
        <f>SUM(B18:B22)</f>
        <v>1</v>
      </c>
      <c r="C23" s="63">
        <f>SUMPRODUCT($B$18:$B$22,C18:C22)</f>
        <v>0.265261726177279</v>
      </c>
      <c r="D23" s="63">
        <f>SUMPRODUCT($B$18:$B$22,D18:D22)</f>
        <v>-0.0381382738227208</v>
      </c>
      <c r="E23" s="77">
        <f>SUMPRODUCT($B$18:$B$22,E18:E22)</f>
        <v>-0.0539536584381055</v>
      </c>
      <c r="F23" s="20">
        <f>(E23-D23)*100</f>
        <v>-1.58153846153846</v>
      </c>
      <c r="G23" s="77">
        <f>SUMPRODUCT($B$18:$B$22,G18:G22)</f>
        <v>-0.0372256495811009</v>
      </c>
      <c r="H23" s="63">
        <f>SUMPRODUCT($B$18:$B$22,H18:H22)</f>
        <v>0.3034</v>
      </c>
      <c r="I23" s="63">
        <f>SUMPRODUCT($B$18:$B$22,I18:I22)</f>
        <v>0.2784</v>
      </c>
      <c r="J23" s="63">
        <f>SUMPRODUCT($B$18:$B$22,J18:J22)</f>
        <v>0.256989735034284</v>
      </c>
      <c r="K23" s="63">
        <f>SUMPRODUCT($B$18:$B$22,K18:K22)</f>
        <v>0.241174350418899</v>
      </c>
      <c r="L23" s="28"/>
    </row>
    <row r="24" spans="1:12" ht="24" customHeight="1" x14ac:dyDescent="0.45">
      <c r="A24" s="76" t="s">
        <v>237</v>
      </c>
      <c r="B24" s="28"/>
      <c r="C24" s="28"/>
      <c r="D24" s="63">
        <f>INDEX(D18:D22,IFERROR(MATCH(0.5,'01-DRAM-Model'!$C$48:$C$52,1)+1,1))</f>
        <v>-0.101392376794098</v>
      </c>
      <c r="E24" s="77">
        <f>INDEX(E18:E22,IFERROR(MATCH(0.5,'01-DRAM-Model'!$C$48:$C$52,1)+1,1))</f>
        <v>-0.117207761409482</v>
      </c>
      <c r="F24" s="28"/>
      <c r="G24" s="77">
        <f>INDEX(G18:G22,IFERROR(MATCH(0.5,'01-DRAM-Model'!$C$48:$C$52,1)+1,1))</f>
        <v>-0.100743305136998</v>
      </c>
      <c r="H24" s="28"/>
      <c r="I24" s="28"/>
      <c r="J24" s="28"/>
      <c r="K24" s="28"/>
      <c r="L24" s="28"/>
    </row>
    <row r="25" spans="1:12" ht="36" customHeight="1" x14ac:dyDescent="0.45">
      <c r="A25" s="253" t="s">
        <v>1241</v>
      </c>
      <c r="B25" s="253"/>
      <c r="C25" s="253"/>
      <c r="D25" s="118">
        <f>SUMPRODUCT((D18:D22&lt;0)*$B$18:$B$22)</f>
        <v>0.53</v>
      </c>
      <c r="E25" s="92">
        <f>SUMPRODUCT((E18:E22&lt;0)*$B$18:$B$22)</f>
        <v>0.53</v>
      </c>
      <c r="F25" s="28"/>
      <c r="G25" s="92">
        <f>SUMPRODUCT((G18:G22&lt;0)*$B$18:$B$22)</f>
        <v>0.53</v>
      </c>
      <c r="H25" s="28"/>
      <c r="I25" s="28"/>
      <c r="J25" s="28"/>
      <c r="K25" s="28"/>
      <c r="L25" s="28"/>
    </row>
    <row r="26" spans="1:12" ht="66" customHeight="1" x14ac:dyDescent="0.45">
      <c r="A26" s="207" t="str">
        <f>"Flow basis: the 2027 growth gap stays negative with probability "&amp;SUBSTITUTE(TEXT(D25,"0%"),"-","−")&amp;" on v3.0 production, "&amp;SUBSTITUTE(TEXT(E25,"0%"),"-","−")&amp;" with the inventory correction alone and "&amp;SUBSTITUTE(TEXT(G25,"0%"),"-","−")&amp;" with all corrections. That is the probability the gap is still widening, not the probability of shortage: on a level basis DRAM is short in 2027 with probability "&amp;SUBSTITUTE(TEXT('09-v4.1-Corrections'!$H$31,"0%"),"-","−")&amp;" and in 2028 with probability "&amp;SUBSTITUTE(TEXT('09-v4.1-Corrections'!$I$31,"0%"),"-","−")&amp;" (sheet 09 [B]). ▲ v4.1 replaces the v4.0 line ""53% → 78%"", which read the flow sign as a shortage and assumed the whole 4.9% release was consumed. With the effective release ("&amp;SUBSTITUTE(TEXT('09-v4.1-Corrections'!$B$17,"0.00%"),"-","−")&amp;") "&amp;IF(E20&lt;0,"S3 still flips to a widening gap.","S3 no longer flips.")</f>
        <v>Flow basis: the 2027 growth gap stays negative with probability 53% on v3.0 production, 53% with the inventory correction alone and 53% with all corrections. That is the probability the gap is still widening, not the probability of shortage: on a level basis DRAM is short in 2027 with probability 95% and in 2028 with probability 53% (sheet 09 [B]). ▲ v4.1 replaces the v4.0 line "53% → 78%", which read the flow sign as a shortage and assumed the whole 4.9% release was consumed. With the effective release (1.58%) S3 no longer flips.</v>
      </c>
      <c r="B26" s="207"/>
      <c r="C26" s="207"/>
      <c r="D26" s="207"/>
      <c r="E26" s="207"/>
      <c r="F26" s="207"/>
      <c r="G26" s="207"/>
      <c r="H26" s="207"/>
      <c r="I26" s="207"/>
      <c r="J26" s="207"/>
      <c r="K26" s="207"/>
      <c r="L26" s="207"/>
    </row>
    <row r="27" spans="1:12" ht="24" customHeight="1" x14ac:dyDescent="0.45">
      <c r="A27" s="246" t="s">
        <v>1242</v>
      </c>
      <c r="B27" s="246"/>
      <c r="C27" s="246"/>
      <c r="D27" s="246"/>
      <c r="E27" s="246"/>
      <c r="F27" s="246"/>
      <c r="G27" s="246"/>
      <c r="H27" s="246"/>
      <c r="I27" s="246"/>
      <c r="J27" s="246"/>
      <c r="K27" s="246"/>
      <c r="L27" s="246"/>
    </row>
    <row r="28" spans="1:12" ht="60" customHeight="1" x14ac:dyDescent="0.45">
      <c r="A28" s="208" t="s">
        <v>1243</v>
      </c>
      <c r="B28" s="208"/>
      <c r="C28" s="208"/>
      <c r="D28" s="208"/>
      <c r="E28" s="208"/>
      <c r="F28" s="208"/>
      <c r="G28" s="208"/>
      <c r="H28" s="208"/>
      <c r="I28" s="208"/>
      <c r="J28" s="208"/>
      <c r="K28" s="208"/>
      <c r="L28" s="208"/>
    </row>
    <row r="29" spans="1:12" ht="39.75" customHeight="1" x14ac:dyDescent="0.45">
      <c r="A29" s="1" t="s">
        <v>200</v>
      </c>
      <c r="B29" s="1" t="s">
        <v>232</v>
      </c>
      <c r="C29" s="1" t="s">
        <v>738</v>
      </c>
      <c r="D29" s="1" t="s">
        <v>739</v>
      </c>
      <c r="E29" s="1" t="s">
        <v>740</v>
      </c>
      <c r="F29" s="247" t="str">
        <f>"② Stock 2026"&amp;CHAR(10)&amp;IF('09-v4.1-Corrections'!$B$14=1,"(delivered)","(production)")</f>
        <v>② Stock 2026
(delivered)</v>
      </c>
      <c r="G29" s="1" t="s">
        <v>742</v>
      </c>
      <c r="H29" s="1" t="s">
        <v>743</v>
      </c>
      <c r="I29" s="247" t="s">
        <v>1244</v>
      </c>
      <c r="J29" s="1" t="s">
        <v>745</v>
      </c>
      <c r="K29" s="172" t="s">
        <v>327</v>
      </c>
      <c r="L29" s="172"/>
    </row>
    <row r="30" spans="1:12" ht="18" customHeight="1" x14ac:dyDescent="0.45">
      <c r="A30" s="11" t="s">
        <v>218</v>
      </c>
      <c r="B30" s="56">
        <f>B18</f>
        <v>0.15</v>
      </c>
      <c r="C30" s="22">
        <f>'01-DRAM-Model'!L20</f>
        <v>-0.125010969195974</v>
      </c>
      <c r="D30" s="98">
        <f>G18</f>
        <v>-0.203218317638434</v>
      </c>
      <c r="E30" s="98">
        <f>I30-J30</f>
        <v>-0.162646004224176</v>
      </c>
      <c r="F30" s="250">
        <f>IF('09-v4.1-Corrections'!$B$14=1,(1+'01-DRAM-Model'!M20)*(1+'09-v4.1-Corrections'!$B$17)-1,'01-DRAM-Model'!M20)</f>
        <v>-0.14544352524823</v>
      </c>
      <c r="G30" s="220">
        <f>IF('09-v4.1-Corrections'!$B$14=1,(1+'01-DRAM-Model'!M20)*(1+J18)/(1+I18)-1,(1+F30)*(1+K18)/(1+I18)-1)</f>
        <v>-0.274244982479405</v>
      </c>
      <c r="H30" s="98">
        <f>(1+G30)*(1+I30)/(1+J30)-1</f>
        <v>-0.365749752747135</v>
      </c>
      <c r="I30" s="251">
        <f>(1+'01-DRAM-Model'!C22+'01-DRAM-Model'!$B$146)*(1+'01-DRAM-Model'!D22+'01-DRAM-Model'!$B$147)*(((1-'01-DRAM-Model'!G22)+'01-DRAM-Model'!G22/'09-v4.1-Corrections'!$B$20)/((1-'01-DRAM-Model'!G21)+'01-DRAM-Model'!G21/'09-v4.1-Corrections'!$B$19))-1</f>
        <v>0.127353995775824</v>
      </c>
      <c r="J30" s="119">
        <f>'01-DRAM-Model'!K22+'01-DRAM-Model'!$B$149</f>
        <v>0.29</v>
      </c>
      <c r="K30" s="252" t="str">
        <f>IF(G30&lt;0,"short in 2027","not short in 2027")&amp;IF(D30&lt;0," · gap widening"," · gap narrowing")</f>
        <v>short in 2027 · gap widening</v>
      </c>
      <c r="L30" s="252"/>
    </row>
    <row r="31" spans="1:12" ht="18" customHeight="1" x14ac:dyDescent="0.45">
      <c r="A31" s="11" t="s">
        <v>222</v>
      </c>
      <c r="B31" s="56">
        <f>B19</f>
        <v>0.38</v>
      </c>
      <c r="C31" s="22">
        <f>'01-DRAM-Model'!L25</f>
        <v>-0.105010969195974</v>
      </c>
      <c r="D31" s="98">
        <f>G19</f>
        <v>-0.100743305136998</v>
      </c>
      <c r="E31" s="98">
        <f>I31-J31</f>
        <v>-0.0335160096540623</v>
      </c>
      <c r="F31" s="250">
        <f>IF('09-v4.1-Corrections'!$B$14=1,(1+'01-DRAM-Model'!M25)*(1+'09-v4.1-Corrections'!$B$17)-1,'01-DRAM-Model'!M25)</f>
        <v>-0.132194587655179</v>
      </c>
      <c r="G31" s="220">
        <f>IF('09-v4.1-Corrections'!$B$14=1,(1+'01-DRAM-Model'!M25)*(1+J19)/(1+I19)-1,(1+F31)*(1+K19)/(1+I19)-1)</f>
        <v>-0.201302094624672</v>
      </c>
      <c r="H31" s="98">
        <f>(1+G31)*(1+I31)/(1+J31)-1</f>
        <v>-0.222717427990463</v>
      </c>
      <c r="I31" s="251">
        <f>(1+'01-DRAM-Model'!C27+'01-DRAM-Model'!$B$146)*(1+'01-DRAM-Model'!D27+'01-DRAM-Model'!$B$147)*(((1-'01-DRAM-Model'!G27)+'01-DRAM-Model'!G27/'09-v4.1-Corrections'!$B$20)/((1-'01-DRAM-Model'!G26)+'01-DRAM-Model'!G26/'09-v4.1-Corrections'!$B$19))-1</f>
        <v>0.216483990345938</v>
      </c>
      <c r="J31" s="119">
        <f>'01-DRAM-Model'!K27+'01-DRAM-Model'!$B$149</f>
        <v>0.25</v>
      </c>
      <c r="K31" s="252" t="str">
        <f>IF(G31&lt;0,"short in 2027","not short in 2027")&amp;IF(D31&lt;0," · gap widening"," · gap narrowing")</f>
        <v>short in 2027 · gap widening</v>
      </c>
      <c r="L31" s="252"/>
    </row>
    <row r="32" spans="1:12" ht="18" customHeight="1" x14ac:dyDescent="0.45">
      <c r="A32" s="11" t="s">
        <v>224</v>
      </c>
      <c r="B32" s="56">
        <f>B20</f>
        <v>0.25</v>
      </c>
      <c r="C32" s="22">
        <f>'01-DRAM-Model'!L30</f>
        <v>-0.085010969195974</v>
      </c>
      <c r="D32" s="98">
        <f>G20</f>
        <v>0.0191408226511458</v>
      </c>
      <c r="E32" s="98">
        <f>I32-J32</f>
        <v>0.128834083110832</v>
      </c>
      <c r="F32" s="250">
        <f>IF('09-v4.1-Corrections'!$B$14=1,(1+'01-DRAM-Model'!M30)*(1+'09-v4.1-Corrections'!$B$17)-1,'01-DRAM-Model'!M30)</f>
        <v>-0.118528360689119</v>
      </c>
      <c r="G32" s="220">
        <f>IF('09-v4.1-Corrections'!$B$14=1,(1+'01-DRAM-Model'!M30)*(1+J20)/(1+I20)-1,(1+F32)*(1+K20)/(1+I20)-1)</f>
        <v>-0.107888131465113</v>
      </c>
      <c r="H32" s="98">
        <f>(1+G32)*(1+I32)/(1+J32)-1</f>
        <v>-0.011304589771849</v>
      </c>
      <c r="I32" s="251">
        <f>(1+'01-DRAM-Model'!C32+'01-DRAM-Model'!$B$146)*(1+'01-DRAM-Model'!D32+'01-DRAM-Model'!$B$147)*(((1-'01-DRAM-Model'!G32)+'01-DRAM-Model'!G32/'09-v4.1-Corrections'!$B$20)/((1-'01-DRAM-Model'!G31)+'01-DRAM-Model'!G31/'09-v4.1-Corrections'!$B$19))-1</f>
        <v>0.318834083110832</v>
      </c>
      <c r="J32" s="119">
        <f>'01-DRAM-Model'!K32+'01-DRAM-Model'!$B$149</f>
        <v>0.19</v>
      </c>
      <c r="K32" s="252" t="str">
        <f>IF(G32&lt;0,"short in 2027","not short in 2027")&amp;IF(D32&lt;0," · gap widening"," · gap narrowing")</f>
        <v>short in 2027 · gap narrowing</v>
      </c>
      <c r="L32" s="252"/>
    </row>
    <row r="33" spans="1:12" ht="18" customHeight="1" x14ac:dyDescent="0.45">
      <c r="A33" s="11" t="s">
        <v>226</v>
      </c>
      <c r="B33" s="56">
        <f>B21</f>
        <v>0.17</v>
      </c>
      <c r="C33" s="22">
        <f>'01-DRAM-Model'!L35</f>
        <v>-0.0650109691959739</v>
      </c>
      <c r="D33" s="98">
        <f>G21</f>
        <v>0.0949774071131147</v>
      </c>
      <c r="E33" s="98">
        <f>I33-J33</f>
        <v>0.2376869319228</v>
      </c>
      <c r="F33" s="250">
        <f>IF('09-v4.1-Corrections'!$B$14=1,(1+'01-DRAM-Model'!M35)*(1+'09-v4.1-Corrections'!$B$17)-1,'01-DRAM-Model'!M35)</f>
        <v>-0.104424814460145</v>
      </c>
      <c r="G33" s="220">
        <f>IF('09-v4.1-Corrections'!$B$14=1,(1+'01-DRAM-Model'!M35)*(1+J21)/(1+I21)-1,(1+F33)*(1+K21)/(1+I21)-1)</f>
        <v>-0.0386306486650885</v>
      </c>
      <c r="H33" s="98">
        <f>(1+G33)*(1+I33)/(1+J33)-1</f>
        <v>0.156672711645516</v>
      </c>
      <c r="I33" s="251">
        <f>(1+'01-DRAM-Model'!C37+'01-DRAM-Model'!$B$146)*(1+'01-DRAM-Model'!D37+'01-DRAM-Model'!$B$147)*(((1-'01-DRAM-Model'!G37)+'01-DRAM-Model'!G37/'09-v4.1-Corrections'!$B$20)/((1-'01-DRAM-Model'!G36)+'01-DRAM-Model'!G36/'09-v4.1-Corrections'!$B$19))-1</f>
        <v>0.4076869319228</v>
      </c>
      <c r="J33" s="119">
        <f>'01-DRAM-Model'!K37+'01-DRAM-Model'!$B$149</f>
        <v>0.17</v>
      </c>
      <c r="K33" s="252" t="str">
        <f>IF(G33&lt;0,"short in 2027","not short in 2027")&amp;IF(D33&lt;0," · gap widening"," · gap narrowing")</f>
        <v>short in 2027 · gap narrowing</v>
      </c>
      <c r="L33" s="252"/>
    </row>
    <row r="34" spans="1:12" ht="18" customHeight="1" x14ac:dyDescent="0.45">
      <c r="A34" s="11" t="s">
        <v>228</v>
      </c>
      <c r="B34" s="56">
        <f>B22</f>
        <v>0.05</v>
      </c>
      <c r="C34" s="22">
        <f>'01-DRAM-Model'!L40</f>
        <v>-0.00501096919597394</v>
      </c>
      <c r="D34" s="98">
        <f>G22</f>
        <v>0.212163782894151</v>
      </c>
      <c r="E34" s="98">
        <f>I34-J34</f>
        <v>0.523321202596236</v>
      </c>
      <c r="F34" s="250">
        <f>IF('09-v4.1-Corrections'!$B$14=1,(1+'01-DRAM-Model'!M40)*(1+'09-v4.1-Corrections'!$B$17)-1,'01-DRAM-Model'!M40)</f>
        <v>-0.0592697630883872</v>
      </c>
      <c r="G34" s="220">
        <f>IF('09-v4.1-Corrections'!$B$14=1,(1+'01-DRAM-Model'!M40)*(1+J22)/(1+I22)-1,(1+F34)*(1+K22)/(1+I22)-1)</f>
        <v>0.107309468231479</v>
      </c>
      <c r="H34" s="98">
        <f>(1+G34)*(1+I34)/(1+J34)-1</f>
        <v>0.730404653781045</v>
      </c>
      <c r="I34" s="251">
        <f>(1+'01-DRAM-Model'!C42+'01-DRAM-Model'!$B$146)*(1+'01-DRAM-Model'!D42+'01-DRAM-Model'!$B$147)*(((1-'01-DRAM-Model'!G42)+'01-DRAM-Model'!G42/'09-v4.1-Corrections'!$B$20)/((1-'01-DRAM-Model'!G41)+'01-DRAM-Model'!G41/'09-v4.1-Corrections'!$B$19))-1</f>
        <v>0.453321202596236</v>
      </c>
      <c r="J34" s="119">
        <f>'01-DRAM-Model'!K42+'01-DRAM-Model'!$B$149</f>
        <v>-0.07</v>
      </c>
      <c r="K34" s="252" t="str">
        <f>IF(G34&lt;0,"short in 2027","not short in 2027")&amp;IF(D34&lt;0," · gap widening"," · gap narrowing")</f>
        <v>not short in 2027 · gap narrowing</v>
      </c>
      <c r="L34" s="252"/>
    </row>
    <row r="35" spans="1:12" ht="24" customHeight="1" x14ac:dyDescent="0.45">
      <c r="A35" s="76" t="s">
        <v>235</v>
      </c>
      <c r="B35" s="56">
        <f>SUM(B30:B34)</f>
        <v>1</v>
      </c>
      <c r="C35" s="77">
        <f>SUMPRODUCT($B$30:$B$34,C30:C34)</f>
        <v>-0.091210969195974</v>
      </c>
      <c r="D35" s="77">
        <f>SUMPRODUCT($B$30:$B$34,D30:D34)</f>
        <v>-0.0372256495811009</v>
      </c>
      <c r="E35" s="77">
        <f>SUMPRODUCT($B$30:$B$34,E30:E34)</f>
        <v>0.0616483750322258</v>
      </c>
      <c r="F35" s="77">
        <f>SUMPRODUCT($B$30:$B$34,F30:F34)</f>
        <v>-0.122398268881126</v>
      </c>
      <c r="G35" s="77">
        <f>SUMPRODUCT($B$30:$B$34,G30:G34)</f>
        <v>-0.145805313057055</v>
      </c>
      <c r="H35" s="77">
        <f>SUMPRODUCT($B$30:$B$34,H30:H34)</f>
        <v>-0.0791666393226184</v>
      </c>
      <c r="I35" s="28"/>
      <c r="J35" s="28"/>
      <c r="K35" s="158"/>
      <c r="L35" s="158"/>
    </row>
    <row r="36" spans="1:12" ht="24" customHeight="1" x14ac:dyDescent="0.45">
      <c r="A36" s="76" t="s">
        <v>237</v>
      </c>
      <c r="B36" s="28"/>
      <c r="C36" s="63">
        <f>INDEX(C30:C34,IFERROR(MATCH(0.5,'01-DRAM-Model'!$C$48:$C$52,1)+1,1))</f>
        <v>-0.105010969195974</v>
      </c>
      <c r="D36" s="63">
        <f>INDEX(D30:D34,IFERROR(MATCH(0.5,'01-DRAM-Model'!$C$48:$C$52,1)+1,1))</f>
        <v>-0.100743305136998</v>
      </c>
      <c r="E36" s="63">
        <f>INDEX(E30:E34,IFERROR(MATCH(0.5,'01-DRAM-Model'!$C$48:$C$52,1)+1,1))</f>
        <v>-0.0335160096540623</v>
      </c>
      <c r="F36" s="63">
        <f>INDEX(F30:F34,IFERROR(MATCH(0.5,'01-DRAM-Model'!$C$48:$C$52,1)+1,1))</f>
        <v>-0.132194587655179</v>
      </c>
      <c r="G36" s="63">
        <f>INDEX(G30:G34,IFERROR(MATCH(0.5,'01-DRAM-Model'!$C$48:$C$52,1)+1,1))</f>
        <v>-0.201302094624672</v>
      </c>
      <c r="H36" s="63">
        <f>INDEX(H30:H34,IFERROR(MATCH(0.5,'01-DRAM-Model'!$C$48:$C$52,1)+1,1))</f>
        <v>-0.222717427990463</v>
      </c>
      <c r="I36" s="28"/>
      <c r="J36" s="28"/>
      <c r="K36" s="158"/>
      <c r="L36" s="158"/>
    </row>
    <row r="37" spans="1:12" ht="36" customHeight="1" x14ac:dyDescent="0.45">
      <c r="A37" s="208" t="s">
        <v>1245</v>
      </c>
      <c r="B37" s="208"/>
      <c r="C37" s="208"/>
      <c r="D37" s="208"/>
      <c r="E37" s="208"/>
      <c r="F37" s="208"/>
      <c r="G37" s="208"/>
      <c r="H37" s="208"/>
      <c r="I37" s="208"/>
      <c r="J37" s="208"/>
      <c r="K37" s="208"/>
      <c r="L37" s="208"/>
    </row>
    <row r="39" spans="1:12" ht="24" customHeight="1" x14ac:dyDescent="0.45">
      <c r="A39" s="246" t="s">
        <v>1246</v>
      </c>
      <c r="B39" s="246"/>
      <c r="C39" s="246"/>
      <c r="D39" s="246"/>
      <c r="E39" s="246"/>
      <c r="F39" s="246"/>
      <c r="G39" s="246"/>
      <c r="H39" s="246"/>
      <c r="I39" s="246"/>
      <c r="J39" s="246"/>
      <c r="K39" s="246"/>
      <c r="L39" s="246"/>
    </row>
    <row r="40" spans="1:12" ht="31.5" customHeight="1" x14ac:dyDescent="0.45">
      <c r="A40" s="172" t="s">
        <v>573</v>
      </c>
      <c r="B40" s="172"/>
      <c r="C40" s="1" t="s">
        <v>748</v>
      </c>
      <c r="D40" s="1" t="s">
        <v>749</v>
      </c>
      <c r="E40" s="172" t="s">
        <v>55</v>
      </c>
      <c r="F40" s="172"/>
      <c r="G40" s="172"/>
      <c r="H40" s="172"/>
      <c r="I40" s="172"/>
      <c r="J40" s="172"/>
      <c r="K40" s="172"/>
      <c r="L40" s="172"/>
    </row>
    <row r="41" spans="1:12" ht="30" customHeight="1" x14ac:dyDescent="0.45">
      <c r="A41" s="193" t="s">
        <v>750</v>
      </c>
      <c r="B41" s="193"/>
      <c r="C41" s="110">
        <f>'01-DRAM-Model'!E53</f>
        <v>-0.0381382738227208</v>
      </c>
      <c r="D41" s="15" t="s">
        <v>84</v>
      </c>
      <c r="E41" s="254" t="s">
        <v>1247</v>
      </c>
      <c r="F41" s="254"/>
      <c r="G41" s="254"/>
      <c r="H41" s="254"/>
      <c r="I41" s="254"/>
      <c r="J41" s="254"/>
      <c r="K41" s="254"/>
      <c r="L41" s="254"/>
    </row>
    <row r="42" spans="1:12" ht="42" customHeight="1" x14ac:dyDescent="0.45">
      <c r="A42" s="229" t="s">
        <v>1248</v>
      </c>
      <c r="B42" s="229"/>
      <c r="C42" s="15" t="s">
        <v>84</v>
      </c>
      <c r="D42" s="120">
        <f>(J23-C23)*100</f>
        <v>-0.827199114299537</v>
      </c>
      <c r="E42" s="254" t="str">
        <f>IF(D42&lt;0,"Tightening","Easing")&amp;". v4.0 applied only the 8-high relief (2.8× → 2.6×, +0.9pp). ▲ v4.1: the trade ratio rises with each generation (Micron) and the 8-high relief is the stacking-yield gain alone, so the penalty goes "&amp;TEXT('09-v4.1-Corrections'!$B$18,"0.00")&amp;"×"&amp;" → "&amp;TEXT('09-v4.1-Corrections'!$B$19,"0.00")&amp;"×"&amp;" → "&amp;TEXT('09-v4.1-Corrections'!$B$20,"0.00")&amp;"×"&amp;"."</f>
        <v>Tightening. v4.0 applied only the 8-high relief (2.8× → 2.6×, +0.9pp). ▲ v4.1: the trade ratio rises with each generation (Micron) and the 8-high relief is the stacking-yield gain alone, so the penalty goes 2.80× → 3.00× → 3.30×.</v>
      </c>
      <c r="F42" s="254"/>
      <c r="G42" s="254"/>
      <c r="H42" s="254"/>
      <c r="I42" s="254"/>
      <c r="J42" s="254"/>
      <c r="K42" s="254"/>
      <c r="L42" s="254"/>
    </row>
    <row r="43" spans="1:12" ht="31.5" customHeight="1" x14ac:dyDescent="0.45">
      <c r="A43" s="151" t="s">
        <v>754</v>
      </c>
      <c r="B43" s="151"/>
      <c r="C43" s="15" t="s">
        <v>84</v>
      </c>
      <c r="D43" s="120">
        <f>(K23-J23)*100</f>
        <v>-1.58153846153847</v>
      </c>
      <c r="E43" s="254" t="str">
        <f>"Tightening. v4.0 subtracted the gross 4.9% (−4.9pp under convention 1). ▲ v4.1 subtracts the effective release: gross × coverage × share consumed (φ) = "&amp;SUBSTITUTE(TEXT('09-v4.1-Corrections'!$B$17,"0.00%"),"-","−")&amp;" (sheet 09 row 17)."</f>
        <v>Tightening. v4.0 subtracted the gross 4.9% (−4.9pp under convention 1). ▲ v4.1 subtracts the effective release: gross × coverage × share consumed (φ) = 1.58% (sheet 09 row 17).</v>
      </c>
      <c r="F43" s="254"/>
      <c r="G43" s="254"/>
      <c r="H43" s="254"/>
      <c r="I43" s="254"/>
      <c r="J43" s="254"/>
      <c r="K43" s="254"/>
      <c r="L43" s="254"/>
    </row>
    <row r="44" spans="1:12" ht="42" customHeight="1" x14ac:dyDescent="0.45">
      <c r="A44" s="151" t="s">
        <v>756</v>
      </c>
      <c r="B44" s="151"/>
      <c r="C44" s="15" t="s">
        <v>84</v>
      </c>
      <c r="D44" s="120">
        <f>(H23-I23)*100</f>
        <v>2.5</v>
      </c>
      <c r="E44" s="254" t="s">
        <v>1249</v>
      </c>
      <c r="F44" s="254"/>
      <c r="G44" s="254"/>
      <c r="H44" s="254"/>
      <c r="I44" s="254"/>
      <c r="J44" s="254"/>
      <c r="K44" s="254"/>
      <c r="L44" s="254"/>
    </row>
    <row r="45" spans="1:12" ht="30" customHeight="1" x14ac:dyDescent="0.45">
      <c r="A45" s="217" t="s">
        <v>1250</v>
      </c>
      <c r="B45" s="217"/>
      <c r="C45" s="110">
        <f>G23</f>
        <v>-0.0372256495811009</v>
      </c>
      <c r="D45" s="120">
        <f>(G23-'01-DRAM-Model'!E53)*100</f>
        <v>0.0912624241619982</v>
      </c>
      <c r="E45" s="152" t="s">
        <v>759</v>
      </c>
      <c r="F45" s="152"/>
      <c r="G45" s="152"/>
      <c r="H45" s="152"/>
      <c r="I45" s="152"/>
      <c r="J45" s="152"/>
      <c r="K45" s="152"/>
      <c r="L45" s="152"/>
    </row>
    <row r="46" spans="1:12" ht="31.5" customHeight="1" x14ac:dyDescent="0.45">
      <c r="A46" s="217" t="s">
        <v>1251</v>
      </c>
      <c r="B46" s="217"/>
      <c r="C46" s="110">
        <f>E23</f>
        <v>-0.0539536584381055</v>
      </c>
      <c r="D46" s="120">
        <f>(E23-'01-DRAM-Model'!E53)*100</f>
        <v>-1.58153846153846</v>
      </c>
      <c r="E46" s="345" t="str">
        <f>"The v4.0 report quoted −7.3% on this basis (workbook −9.6%). v4.1: −4.8%; now (v4.2 inputs): "&amp;SUBSTITUTE(TEXT(E23,"+0.0%;-0.0%;0.0%"),"-","−")&amp;"."</f>
        <v>The v4.0 report quoted −7.3% on this basis (workbook −9.6%). v4.1: −4.8%; now (v4.2 inputs): −5.4%.</v>
      </c>
      <c r="F46" s="345"/>
      <c r="G46" s="345"/>
      <c r="H46" s="345"/>
      <c r="I46" s="345"/>
      <c r="J46" s="345"/>
      <c r="K46" s="345"/>
      <c r="L46" s="345"/>
    </row>
    <row r="47" spans="1:12" ht="45" customHeight="1" x14ac:dyDescent="0.45">
      <c r="A47" s="255" t="s">
        <v>1252</v>
      </c>
      <c r="B47" s="255"/>
      <c r="C47" s="15" t="s">
        <v>84</v>
      </c>
      <c r="D47" s="121">
        <f>(E23-G23)*100</f>
        <v>-1.67280088570046</v>
      </c>
      <c r="E47" s="256" t="s">
        <v>1253</v>
      </c>
      <c r="F47" s="256"/>
      <c r="G47" s="256"/>
      <c r="H47" s="256"/>
      <c r="I47" s="256"/>
      <c r="J47" s="256"/>
      <c r="K47" s="256"/>
      <c r="L47" s="256"/>
    </row>
    <row r="48" spans="1:12" ht="24" customHeight="1" x14ac:dyDescent="0.45">
      <c r="A48" s="171" t="s">
        <v>764</v>
      </c>
      <c r="B48" s="171"/>
      <c r="C48" s="171"/>
      <c r="D48" s="171"/>
      <c r="E48" s="171"/>
      <c r="F48" s="171"/>
      <c r="G48" s="171"/>
      <c r="H48" s="171"/>
      <c r="I48" s="171"/>
      <c r="J48" s="171"/>
      <c r="K48" s="171"/>
      <c r="L48" s="171"/>
    </row>
    <row r="49" spans="1:12" ht="27" customHeight="1" x14ac:dyDescent="0.45">
      <c r="A49" s="1" t="s">
        <v>573</v>
      </c>
      <c r="B49" s="1" t="s">
        <v>491</v>
      </c>
      <c r="C49" s="172" t="s">
        <v>765</v>
      </c>
      <c r="D49" s="172"/>
      <c r="E49" s="172"/>
      <c r="F49" s="172"/>
      <c r="G49" s="172"/>
      <c r="H49" s="172"/>
      <c r="I49" s="172"/>
      <c r="J49" s="172"/>
      <c r="K49" s="172"/>
      <c r="L49" s="172"/>
    </row>
    <row r="50" spans="1:12" ht="31.5" customHeight="1" x14ac:dyDescent="0.45">
      <c r="A50" s="14" t="s">
        <v>766</v>
      </c>
      <c r="B50" s="122">
        <v>4</v>
      </c>
      <c r="C50" s="152" t="s">
        <v>767</v>
      </c>
      <c r="D50" s="152"/>
      <c r="E50" s="152"/>
      <c r="F50" s="152"/>
      <c r="G50" s="152"/>
      <c r="H50" s="152"/>
      <c r="I50" s="152"/>
      <c r="J50" s="152"/>
      <c r="K50" s="152"/>
      <c r="L50" s="152"/>
    </row>
    <row r="51" spans="1:12" ht="31.5" customHeight="1" x14ac:dyDescent="0.45">
      <c r="A51" s="18" t="s">
        <v>768</v>
      </c>
      <c r="B51" s="123">
        <f>'01-DRAM-Model'!$B$12</f>
        <v>1.43</v>
      </c>
      <c r="C51" s="152" t="s">
        <v>769</v>
      </c>
      <c r="D51" s="152"/>
      <c r="E51" s="152"/>
      <c r="F51" s="152"/>
      <c r="G51" s="152"/>
      <c r="H51" s="152"/>
      <c r="I51" s="152"/>
      <c r="J51" s="152"/>
      <c r="K51" s="152"/>
      <c r="L51" s="152"/>
    </row>
    <row r="52" spans="1:12" ht="31.5" customHeight="1" x14ac:dyDescent="0.45">
      <c r="A52" s="14" t="s">
        <v>770</v>
      </c>
      <c r="B52" s="124">
        <f>B50-B51</f>
        <v>2.57</v>
      </c>
      <c r="C52" s="152" t="s">
        <v>771</v>
      </c>
      <c r="D52" s="152"/>
      <c r="E52" s="152"/>
      <c r="F52" s="152"/>
      <c r="G52" s="152"/>
      <c r="H52" s="152"/>
      <c r="I52" s="152"/>
      <c r="J52" s="152"/>
      <c r="K52" s="152"/>
      <c r="L52" s="152"/>
    </row>
    <row r="53" spans="1:12" ht="31.5" customHeight="1" x14ac:dyDescent="0.45">
      <c r="A53" s="18" t="s">
        <v>772</v>
      </c>
      <c r="B53" s="125">
        <f>B52/52</f>
        <v>0.0494230769230769</v>
      </c>
      <c r="C53" s="254" t="s">
        <v>1254</v>
      </c>
      <c r="D53" s="254"/>
      <c r="E53" s="254"/>
      <c r="F53" s="254"/>
      <c r="G53" s="254"/>
      <c r="H53" s="254"/>
      <c r="I53" s="254"/>
      <c r="J53" s="254"/>
      <c r="K53" s="254"/>
      <c r="L53" s="254"/>
    </row>
    <row r="54" spans="1:12" ht="31.5" customHeight="1" x14ac:dyDescent="0.45">
      <c r="A54" s="14" t="s">
        <v>774</v>
      </c>
      <c r="B54" s="124">
        <f>B9</f>
        <v>2.57</v>
      </c>
      <c r="C54" s="152" t="s">
        <v>775</v>
      </c>
      <c r="D54" s="152"/>
      <c r="E54" s="152"/>
      <c r="F54" s="152"/>
      <c r="G54" s="152"/>
      <c r="H54" s="152"/>
      <c r="I54" s="152"/>
      <c r="J54" s="152"/>
      <c r="K54" s="152"/>
      <c r="L54" s="152"/>
    </row>
    <row r="55" spans="1:12" ht="31.5" customHeight="1" x14ac:dyDescent="0.45">
      <c r="A55" s="257" t="s">
        <v>1255</v>
      </c>
      <c r="B55" s="258">
        <f>IF($B$12=0,0,IF($B$12=1,-'09-v4.1-Corrections'!$B$17,(1/(1+'09-v4.1-Corrections'!$B$17)-1)))</f>
        <v>-0.0158153846153846</v>
      </c>
      <c r="C55" s="254" t="s">
        <v>1256</v>
      </c>
      <c r="D55" s="254"/>
      <c r="E55" s="254"/>
      <c r="F55" s="254"/>
      <c r="G55" s="254"/>
      <c r="H55" s="254"/>
      <c r="I55" s="254"/>
      <c r="J55" s="254"/>
      <c r="K55" s="254"/>
      <c r="L55" s="254"/>
    </row>
    <row r="56" spans="1:12" ht="66" customHeight="1" x14ac:dyDescent="0.45">
      <c r="A56" s="259" t="s">
        <v>1258</v>
      </c>
      <c r="B56" s="259"/>
      <c r="C56" s="259"/>
      <c r="D56" s="259"/>
      <c r="E56" s="259"/>
      <c r="F56" s="259"/>
      <c r="G56" s="259"/>
      <c r="H56" s="259"/>
      <c r="I56" s="259"/>
      <c r="J56" s="259"/>
      <c r="K56" s="259"/>
      <c r="L56" s="259"/>
    </row>
    <row r="59" spans="1:12" ht="24" customHeight="1" x14ac:dyDescent="0.45">
      <c r="A59" s="260" t="s">
        <v>1259</v>
      </c>
      <c r="B59" s="260"/>
      <c r="C59" s="260"/>
      <c r="D59" s="260"/>
      <c r="E59" s="260"/>
      <c r="F59" s="260"/>
      <c r="G59" s="260"/>
      <c r="H59" s="260"/>
      <c r="I59" s="260"/>
      <c r="J59" s="260"/>
      <c r="K59" s="260"/>
      <c r="L59" s="260"/>
    </row>
    <row r="60" spans="1:12" ht="27" customHeight="1" x14ac:dyDescent="0.45">
      <c r="A60" s="2" t="s">
        <v>120</v>
      </c>
      <c r="B60" s="156" t="s">
        <v>121</v>
      </c>
      <c r="C60" s="156"/>
      <c r="D60" s="156"/>
      <c r="E60" s="156" t="s">
        <v>122</v>
      </c>
      <c r="F60" s="156"/>
      <c r="G60" s="156"/>
      <c r="H60" s="156"/>
      <c r="I60" s="156" t="s">
        <v>597</v>
      </c>
      <c r="J60" s="156"/>
      <c r="K60" s="156"/>
      <c r="L60" s="156"/>
    </row>
    <row r="61" spans="1:12" ht="66" customHeight="1" x14ac:dyDescent="0.45">
      <c r="A61" s="25" t="s">
        <v>780</v>
      </c>
      <c r="B61" s="165" t="s">
        <v>781</v>
      </c>
      <c r="C61" s="165"/>
      <c r="D61" s="165"/>
      <c r="E61" s="166" t="s">
        <v>782</v>
      </c>
      <c r="F61" s="166"/>
      <c r="G61" s="166"/>
      <c r="H61" s="166"/>
      <c r="I61" s="166" t="s">
        <v>783</v>
      </c>
      <c r="J61" s="166"/>
      <c r="K61" s="166"/>
      <c r="L61" s="166"/>
    </row>
    <row r="62" spans="1:12" ht="66" customHeight="1" x14ac:dyDescent="0.45">
      <c r="A62" s="25" t="s">
        <v>784</v>
      </c>
      <c r="B62" s="165" t="s">
        <v>785</v>
      </c>
      <c r="C62" s="165"/>
      <c r="D62" s="165"/>
      <c r="E62" s="166" t="s">
        <v>786</v>
      </c>
      <c r="F62" s="166"/>
      <c r="G62" s="166"/>
      <c r="H62" s="166"/>
      <c r="I62" s="261" t="s">
        <v>1260</v>
      </c>
      <c r="J62" s="261"/>
      <c r="K62" s="261"/>
      <c r="L62" s="261"/>
    </row>
    <row r="63" spans="1:12" ht="66" customHeight="1" x14ac:dyDescent="0.45">
      <c r="A63" s="25" t="s">
        <v>788</v>
      </c>
      <c r="B63" s="165" t="s">
        <v>789</v>
      </c>
      <c r="C63" s="165"/>
      <c r="D63" s="165"/>
      <c r="E63" s="166" t="s">
        <v>790</v>
      </c>
      <c r="F63" s="166"/>
      <c r="G63" s="166"/>
      <c r="H63" s="166"/>
      <c r="I63" s="166" t="s">
        <v>791</v>
      </c>
      <c r="J63" s="166"/>
      <c r="K63" s="166"/>
      <c r="L63" s="166"/>
    </row>
    <row r="64" ht="66" customHeight="1" spans="1:12">
      <c r="A64" s="25" t="s">
        <v>796</v>
      </c>
      <c r="B64" s="165" t="s">
        <v>797</v>
      </c>
      <c r="C64" s="165"/>
      <c r="D64" s="165"/>
      <c r="E64" s="166" t="s">
        <v>798</v>
      </c>
      <c r="F64" s="166"/>
      <c r="G64" s="166"/>
      <c r="H64" s="166"/>
      <c r="I64" s="261" t="s">
        <v>1261</v>
      </c>
      <c r="J64" s="261"/>
      <c r="K64" s="261"/>
      <c r="L64" s="261"/>
    </row>
    <row r="65" ht="66" customHeight="1" spans="1:12">
      <c r="A65" t="s" s="262">
        <v>1262</v>
      </c>
      <c r="B65" s="263" t="s">
        <v>1263</v>
      </c>
      <c r="C65" s="263"/>
      <c r="D65" s="263"/>
      <c r="E65" s="261" t="s">
        <v>1264</v>
      </c>
      <c r="F65" s="261"/>
      <c r="G65" s="261"/>
      <c r="H65" s="261"/>
      <c r="I65" s="261" t="s">
        <v>1265</v>
      </c>
      <c r="J65" s="261"/>
      <c r="K65" s="261"/>
      <c r="L65" s="261"/>
    </row>
    <row r="66" spans="1:12" ht="60" customHeight="1" x14ac:dyDescent="0.45">
      <c r="A66" s="264" t="s">
        <v>1266</v>
      </c>
      <c r="B66" s="264"/>
      <c r="C66" s="264"/>
      <c r="D66" s="264"/>
      <c r="E66" s="264"/>
      <c r="F66" s="264"/>
      <c r="G66" s="264"/>
      <c r="H66" s="264"/>
      <c r="I66" s="264"/>
      <c r="J66" s="264"/>
      <c r="K66" s="264"/>
      <c r="L66" s="264"/>
    </row>
    <row r="158" spans="1:12" ht="45" customHeight="1" x14ac:dyDescent="0.45">
      <c r="A158" s="208" t="s">
        <v>1267</v>
      </c>
      <c r="B158" s="208"/>
      <c r="C158" s="208"/>
      <c r="D158" s="208"/>
      <c r="E158" s="208"/>
      <c r="F158" s="208"/>
      <c r="G158" s="208"/>
      <c r="H158" s="208"/>
      <c r="I158" s="208"/>
      <c r="J158" s="208"/>
      <c r="K158" s="208"/>
      <c r="L158" s="208"/>
    </row>
  </sheetData>
  <mergeCells count="81">
    <mergeCell ref="A1:L1"/>
    <mergeCell ref="A2:L2"/>
    <mergeCell ref="A4:L4"/>
    <mergeCell ref="A6:L6"/>
    <mergeCell ref="A7:L7"/>
    <mergeCell ref="C8:G8"/>
    <mergeCell ref="J8:L8"/>
    <mergeCell ref="C9:G9"/>
    <mergeCell ref="J9:L9"/>
    <mergeCell ref="C10:G10"/>
    <mergeCell ref="J10:L10"/>
    <mergeCell ref="C11:G11"/>
    <mergeCell ref="J11:L11"/>
    <mergeCell ref="C12:G12"/>
    <mergeCell ref="J12:L12"/>
    <mergeCell ref="C13:G13"/>
    <mergeCell ref="J13:L13"/>
    <mergeCell ref="C14:G14"/>
    <mergeCell ref="J14:L14"/>
    <mergeCell ref="C15:L15"/>
    <mergeCell ref="A16:L16"/>
    <mergeCell ref="A26:L26"/>
    <mergeCell ref="A27:L27"/>
    <mergeCell ref="A28:L28"/>
    <mergeCell ref="K29:L29"/>
    <mergeCell ref="K30:L30"/>
    <mergeCell ref="K31:L31"/>
    <mergeCell ref="K32:L32"/>
    <mergeCell ref="K33:L33"/>
    <mergeCell ref="K34:L34"/>
    <mergeCell ref="K35:L35"/>
    <mergeCell ref="K36:L36"/>
    <mergeCell ref="A37:L37"/>
    <mergeCell ref="A39:L39"/>
    <mergeCell ref="A40:B40"/>
    <mergeCell ref="E40:L40"/>
    <mergeCell ref="A41:B41"/>
    <mergeCell ref="E41:L41"/>
    <mergeCell ref="A42:B42"/>
    <mergeCell ref="E42:L42"/>
    <mergeCell ref="A43:B43"/>
    <mergeCell ref="E43:L43"/>
    <mergeCell ref="A44:B44"/>
    <mergeCell ref="E44:L44"/>
    <mergeCell ref="A45:B45"/>
    <mergeCell ref="E45:L45"/>
    <mergeCell ref="A46:B46"/>
    <mergeCell ref="E46:L46"/>
    <mergeCell ref="A47:B47"/>
    <mergeCell ref="E47:L47"/>
    <mergeCell ref="A48:L48"/>
    <mergeCell ref="C49:L49"/>
    <mergeCell ref="C50:L50"/>
    <mergeCell ref="C51:L51"/>
    <mergeCell ref="C52:L52"/>
    <mergeCell ref="C53:L53"/>
    <mergeCell ref="C54:L54"/>
    <mergeCell ref="C55:L55"/>
    <mergeCell ref="A56:L56"/>
    <mergeCell ref="A59:L59"/>
    <mergeCell ref="B60:D60"/>
    <mergeCell ref="E60:H60"/>
    <mergeCell ref="I60:L60"/>
    <mergeCell ref="B61:D61"/>
    <mergeCell ref="E61:H61"/>
    <mergeCell ref="I61:L61"/>
    <mergeCell ref="B62:D62"/>
    <mergeCell ref="E62:H62"/>
    <mergeCell ref="I62:L62"/>
    <mergeCell ref="B63:D63"/>
    <mergeCell ref="E63:H63"/>
    <mergeCell ref="I63:L63"/>
    <mergeCell ref="A66:L66"/>
    <mergeCell ref="A158:L158"/>
    <mergeCell ref="B64:D64"/>
    <mergeCell ref="E64:H64"/>
    <mergeCell ref="I64:L64"/>
    <mergeCell ref="A25:C25"/>
    <mergeCell ref="B65:D65"/>
    <mergeCell ref="E65:H65"/>
    <mergeCell ref="I65:L65"/>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3073" r:id="rId3" name="Scroll Bar 1">
              <controlPr defaultSize="0" print="0" autoLine="0" autoPict="0" altText="">
                <anchor moveWithCells="1">
                  <from>
                    <xdr:col>2</xdr:col>
                    <xdr:colOff>19050</xdr:colOff>
                    <xdr:row>8</xdr:row>
                    <xdr:rowOff>23813</xdr:rowOff>
                  </from>
                  <to>
                    <xdr:col>7</xdr:col>
                    <xdr:colOff>0</xdr:colOff>
                    <xdr:row>9</xdr:row>
                    <xdr:rowOff>0</xdr:rowOff>
                  </to>
                </anchor>
              </controlPr>
            </control>
          </mc:Choice>
        </mc:AlternateContent>
        <mc:AlternateContent xmlns:mc="http://schemas.openxmlformats.org/markup-compatibility/2006">
          <mc:Choice Requires="x14">
            <control shapeId="3074" r:id="rId4" name="Scroll Bar 2">
              <controlPr defaultSize="0" print="0" autoLine="0" autoPict="0" altText="">
                <anchor moveWithCells="1">
                  <from>
                    <xdr:col>2</xdr:col>
                    <xdr:colOff>19050</xdr:colOff>
                    <xdr:row>9</xdr:row>
                    <xdr:rowOff>23813</xdr:rowOff>
                  </from>
                  <to>
                    <xdr:col>7</xdr:col>
                    <xdr:colOff>0</xdr:colOff>
                    <xdr:row>10</xdr:row>
                    <xdr:rowOff>0</xdr:rowOff>
                  </to>
                </anchor>
              </controlPr>
            </control>
          </mc:Choice>
        </mc:AlternateContent>
        <mc:AlternateContent xmlns:mc="http://schemas.openxmlformats.org/markup-compatibility/2006">
          <mc:Choice Requires="x14">
            <control shapeId="3075" r:id="rId5" name="Scroll Bar 3">
              <controlPr defaultSize="0" print="0" autoLine="0" autoPict="0" altText="">
                <anchor moveWithCells="1">
                  <from>
                    <xdr:col>2</xdr:col>
                    <xdr:colOff>19050</xdr:colOff>
                    <xdr:row>10</xdr:row>
                    <xdr:rowOff>23813</xdr:rowOff>
                  </from>
                  <to>
                    <xdr:col>7</xdr:col>
                    <xdr:colOff>0</xdr:colOff>
                    <xdr:row>11</xdr:row>
                    <xdr:rowOff>0</xdr:rowOff>
                  </to>
                </anchor>
              </controlPr>
            </control>
          </mc:Choice>
        </mc:AlternateContent>
        <mc:AlternateContent xmlns:mc="http://schemas.openxmlformats.org/markup-compatibility/2006">
          <mc:Choice Requires="x14">
            <control shapeId="3076" r:id="rId6" name="Scroll Bar 4">
              <controlPr defaultSize="0" print="0" autoLine="0" autoPict="0" altText="">
                <anchor moveWithCells="1">
                  <from>
                    <xdr:col>2</xdr:col>
                    <xdr:colOff>19050</xdr:colOff>
                    <xdr:row>11</xdr:row>
                    <xdr:rowOff>23813</xdr:rowOff>
                  </from>
                  <to>
                    <xdr:col>7</xdr:col>
                    <xdr:colOff>0</xdr:colOff>
                    <xdr:row>12</xdr:row>
                    <xdr:rowOff>0</xdr:rowOff>
                  </to>
                </anchor>
              </controlPr>
            </control>
          </mc:Choice>
        </mc:AlternateContent>
        <mc:AlternateContent xmlns:mc="http://schemas.openxmlformats.org/markup-compatibility/2006">
          <mc:Choice Requires="x14">
            <control shapeId="3077" r:id="rId7" name="Scroll Bar 5">
              <controlPr defaultSize="0" print="0" autoLine="0" autoPict="0" altText="">
                <anchor moveWithCells="1">
                  <from>
                    <xdr:col>2</xdr:col>
                    <xdr:colOff>19050</xdr:colOff>
                    <xdr:row>12</xdr:row>
                    <xdr:rowOff>23813</xdr:rowOff>
                  </from>
                  <to>
                    <xdr:col>7</xdr:col>
                    <xdr:colOff>0</xdr:colOff>
                    <xdr:row>13</xdr:row>
                    <xdr:rowOff>0</xdr:rowOff>
                  </to>
                </anchor>
              </controlPr>
            </control>
          </mc:Choice>
        </mc:AlternateContent>
        <mc:AlternateContent xmlns:mc="http://schemas.openxmlformats.org/markup-compatibility/2006">
          <mc:Choice Requires="x14">
            <control shapeId="3078" r:id="rId8" name="Scroll Bar 6">
              <controlPr defaultSize="0" print="0" autoLine="0" autoPict="0" altText="">
                <anchor moveWithCells="1">
                  <from>
                    <xdr:col>2</xdr:col>
                    <xdr:colOff>19050</xdr:colOff>
                    <xdr:row>13</xdr:row>
                    <xdr:rowOff>23813</xdr:rowOff>
                  </from>
                  <to>
                    <xdr:col>7</xdr:col>
                    <xdr:colOff>0</xdr:colOff>
                    <xdr:row>14</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35C00"/>
  </sheetPr>
  <dimension ref="A1:K81"/>
  <sheetViews>
    <sheetView showGridLines="0" topLeftCell="A11" zoomScale="79" zoomScaleNormal="100" workbookViewId="0">
      <selection activeCell="B31" sqref="B31"/>
    </sheetView>
  </sheetViews>
  <sheetFormatPr defaultColWidth="8.6640625" defaultRowHeight="14.25" x14ac:dyDescent="0.45"/>
  <cols>
    <col min="1" max="1" width="27" customWidth="1"/>
    <col min="2" max="2" width="13" customWidth="1"/>
    <col min="3" max="6" width="13.46484375" customWidth="1"/>
    <col min="7" max="7" width="13" customWidth="1"/>
    <col min="8" max="10" width="12" customWidth="1"/>
    <col min="11" max="11" width="24" customWidth="1"/>
  </cols>
  <sheetData>
    <row r="1" spans="1:11" ht="37.5" customHeight="1" x14ac:dyDescent="0.45">
      <c r="A1" s="167" t="s">
        <v>1268</v>
      </c>
      <c r="B1" s="167"/>
      <c r="C1" s="167"/>
      <c r="D1" s="167"/>
      <c r="E1" s="167"/>
      <c r="F1" s="167"/>
      <c r="G1" s="167"/>
      <c r="H1" s="167"/>
      <c r="I1" s="167"/>
      <c r="J1" s="167"/>
      <c r="K1" s="167"/>
    </row>
    <row r="2" spans="1:11" ht="30" customHeight="1" x14ac:dyDescent="0.45">
      <c r="A2" s="243" t="s">
        <v>1269</v>
      </c>
      <c r="B2" s="243"/>
      <c r="C2" s="243"/>
      <c r="D2" s="243"/>
      <c r="E2" s="243"/>
      <c r="F2" s="243"/>
      <c r="G2" s="243"/>
      <c r="H2" s="243"/>
      <c r="I2" s="243"/>
      <c r="J2" s="243"/>
      <c r="K2" s="243"/>
    </row>
    <row r="4" spans="1:11" ht="60" customHeight="1" x14ac:dyDescent="0.45">
      <c r="A4" s="207" t="s">
        <v>1270</v>
      </c>
      <c r="B4" s="207"/>
      <c r="C4" s="207"/>
      <c r="D4" s="207"/>
      <c r="E4" s="207"/>
      <c r="F4" s="207"/>
      <c r="G4" s="207"/>
      <c r="H4" s="207"/>
      <c r="I4" s="207"/>
      <c r="J4" s="207"/>
      <c r="K4" s="207"/>
    </row>
    <row r="6" spans="1:11" ht="24" customHeight="1" x14ac:dyDescent="0.45">
      <c r="A6" s="155" t="s">
        <v>805</v>
      </c>
      <c r="B6" s="155"/>
      <c r="C6" s="155"/>
      <c r="D6" s="155"/>
      <c r="E6" s="155"/>
      <c r="F6" s="155"/>
      <c r="G6" s="155"/>
      <c r="H6" s="155"/>
      <c r="I6" s="155"/>
      <c r="J6" s="155"/>
      <c r="K6" s="155"/>
    </row>
    <row r="7" spans="1:9" ht="31.5" customHeight="1" x14ac:dyDescent="0.45">
      <c r="A7" s="2" t="s">
        <v>806</v>
      </c>
      <c r="B7" s="2" t="s">
        <v>807</v>
      </c>
      <c r="C7" s="2" t="s">
        <v>808</v>
      </c>
      <c r="D7" s="2" t="s">
        <v>809</v>
      </c>
      <c r="E7" s="156" t="s">
        <v>55</v>
      </c>
      <c r="F7" s="156"/>
      <c r="G7" s="156"/>
      <c r="H7" s="156"/>
      <c r="I7" s="156"/>
    </row>
    <row r="8" spans="1:9" ht="31.5" customHeight="1" x14ac:dyDescent="0.45">
      <c r="A8" s="127" t="s">
        <v>810</v>
      </c>
      <c r="B8" s="128" t="s">
        <v>811</v>
      </c>
      <c r="C8" s="129">
        <f>8/9</f>
        <v>0.888888888888889</v>
      </c>
      <c r="D8" s="130">
        <f>(8/9)/(12/13)-1</f>
        <v>-0.0370370370370371</v>
      </c>
      <c r="E8" s="183" t="s">
        <v>812</v>
      </c>
      <c r="F8" s="183"/>
      <c r="G8" s="183"/>
      <c r="H8" s="183"/>
      <c r="I8" s="183"/>
    </row>
    <row r="9" spans="1:9" ht="31.5" customHeight="1" x14ac:dyDescent="0.45">
      <c r="A9" s="21" t="s">
        <v>813</v>
      </c>
      <c r="B9" s="128" t="s">
        <v>814</v>
      </c>
      <c r="C9" s="129">
        <f>12/13</f>
        <v>0.923076923076923</v>
      </c>
      <c r="D9" s="130">
        <f>(12/13)/(12/13)-1</f>
        <v>0</v>
      </c>
      <c r="E9" s="183" t="s">
        <v>815</v>
      </c>
      <c r="F9" s="183"/>
      <c r="G9" s="183"/>
      <c r="H9" s="183"/>
      <c r="I9" s="183"/>
    </row>
    <row r="10" spans="1:9" ht="31.5" customHeight="1" x14ac:dyDescent="0.45">
      <c r="A10" s="21" t="s">
        <v>816</v>
      </c>
      <c r="B10" s="128" t="s">
        <v>817</v>
      </c>
      <c r="C10" s="129">
        <f>16/17</f>
        <v>0.941176470588235</v>
      </c>
      <c r="D10" s="130">
        <f>(16/17)/(12/13)-1</f>
        <v>0.0196078431372548</v>
      </c>
      <c r="E10" s="183" t="s">
        <v>818</v>
      </c>
      <c r="F10" s="183"/>
      <c r="G10" s="183"/>
      <c r="H10" s="183"/>
      <c r="I10" s="183"/>
    </row>
    <row r="11" spans="1:11" ht="45" customHeight="1" x14ac:dyDescent="0.45">
      <c r="A11" s="208" t="s">
        <v>1271</v>
      </c>
      <c r="B11" s="208"/>
      <c r="C11" s="208"/>
      <c r="D11" s="208"/>
      <c r="E11" s="208"/>
      <c r="F11" s="208"/>
      <c r="G11" s="208"/>
      <c r="H11" s="208"/>
      <c r="I11" s="208"/>
      <c r="J11" s="208"/>
      <c r="K11" s="208"/>
    </row>
    <row r="12" ht="27" customHeight="1" spans="1:11">
      <c r="A12" t="s" s="217">
        <v>1272</v>
      </c>
      <c r="B12" s="265">
        <f>'09-v4.1-Corrections'!$B$13</f>
        <v>0</v>
      </c>
      <c r="C12" s="229" t="str">
        <f>IF(B12=1,"1: the base die is counted on the DRAM wafer (HBM3E, the v4.0 arithmetic)","0: the base die is made at a logic foundry (HBM4, v4.1 default) — dilution set to zero in rows 15–19 and 29")</f>
        <v>0: the base die is made at a logic foundry (HBM4, v4.1 default) — dilution set to zero in rows 15–19 and 29</v>
      </c>
      <c r="D12" s="229"/>
      <c r="E12" s="229"/>
      <c r="F12" s="229"/>
      <c r="G12" s="229"/>
      <c r="H12" s="229"/>
      <c r="I12" s="229"/>
      <c r="J12" s="229"/>
      <c r="K12" s="229"/>
    </row>
    <row r="13" spans="1:11" ht="24" customHeight="1" x14ac:dyDescent="0.45">
      <c r="A13" s="155" t="s">
        <v>820</v>
      </c>
      <c r="B13" s="155"/>
      <c r="C13" s="155"/>
      <c r="D13" s="155"/>
      <c r="E13" s="155"/>
      <c r="F13" s="155"/>
      <c r="G13" s="155"/>
      <c r="H13" s="155"/>
      <c r="I13" s="155"/>
      <c r="J13" s="155"/>
      <c r="K13" s="155"/>
    </row>
    <row r="14" spans="1:7" ht="31.5" customHeight="1" x14ac:dyDescent="0.45">
      <c r="A14" s="2" t="s">
        <v>821</v>
      </c>
      <c r="B14" s="2" t="s">
        <v>822</v>
      </c>
      <c r="C14" s="2" t="s">
        <v>823</v>
      </c>
      <c r="D14" s="2" t="s">
        <v>824</v>
      </c>
      <c r="E14" s="266" t="s">
        <v>1273</v>
      </c>
      <c r="F14" s="2" t="s">
        <v>826</v>
      </c>
      <c r="G14" s="2" t="s">
        <v>827</v>
      </c>
    </row>
    <row r="15" spans="1:7" ht="21" customHeight="1" x14ac:dyDescent="0.45">
      <c r="A15" s="131">
        <v>0.995</v>
      </c>
      <c r="B15" s="132">
        <f>A15^8</f>
        <v>0.960693043575437</v>
      </c>
      <c r="C15" s="132">
        <f>A15^12</f>
        <v>0.941622806914376</v>
      </c>
      <c r="D15" s="133">
        <f>B15/C15-1</f>
        <v>0.0202525220513221</v>
      </c>
      <c r="E15" s="267">
        <f>IF($B$12=1,$D$8,0)</f>
        <v>0</v>
      </c>
      <c r="F15" s="135">
        <f>(1+D15)*(1+E15)-1</f>
        <v>0.0202525220513221</v>
      </c>
      <c r="G15" s="136">
        <f>3/(1+F15)</f>
        <v>2.940448501875</v>
      </c>
    </row>
    <row r="16" spans="1:7" ht="21" customHeight="1" x14ac:dyDescent="0.45">
      <c r="A16" s="131">
        <v>0.99</v>
      </c>
      <c r="B16" s="132">
        <f>A16^8</f>
        <v>0.92274469442792</v>
      </c>
      <c r="C16" s="132">
        <f>A16^12</f>
        <v>0.886384871716129</v>
      </c>
      <c r="D16" s="133">
        <f>B16/C16-1</f>
        <v>0.0410203556852167</v>
      </c>
      <c r="E16" s="267">
        <f>IF($B$12=1,$D$8,0)</f>
        <v>0</v>
      </c>
      <c r="F16" s="135">
        <f>(1+D16)*(1+E16)-1</f>
        <v>0.0410203556852167</v>
      </c>
      <c r="G16" s="136">
        <f>3/(1+F16)</f>
        <v>2.88178803</v>
      </c>
    </row>
    <row r="17" spans="1:7" ht="21" customHeight="1" x14ac:dyDescent="0.45">
      <c r="A17" s="137">
        <v>0.98</v>
      </c>
      <c r="B17" s="132">
        <f>A17^8</f>
        <v>0.850763022581786</v>
      </c>
      <c r="C17" s="132">
        <f>A17^12</f>
        <v>0.7847167237348</v>
      </c>
      <c r="D17" s="133">
        <f>B17/C17-1</f>
        <v>0.0841657847339399</v>
      </c>
      <c r="E17" s="267">
        <f>IF($B$12=1,$D$8,0)</f>
        <v>0</v>
      </c>
      <c r="F17" s="138">
        <f>(1+D17)*(1+E17)-1</f>
        <v>0.0841657847339399</v>
      </c>
      <c r="G17" s="136">
        <f>3/(1+F17)</f>
        <v>2.76710448</v>
      </c>
    </row>
    <row r="18" spans="1:7" ht="21" customHeight="1" x14ac:dyDescent="0.45">
      <c r="A18" s="137">
        <v>0.97</v>
      </c>
      <c r="B18" s="132">
        <f>A18^8</f>
        <v>0.783743359437696</v>
      </c>
      <c r="C18" s="132">
        <f>A18^12</f>
        <v>0.693842360995438</v>
      </c>
      <c r="D18" s="133">
        <f>B18/C18-1</f>
        <v>0.129569774773163</v>
      </c>
      <c r="E18" s="267">
        <f>IF($B$12=1,$D$8,0)</f>
        <v>0</v>
      </c>
      <c r="F18" s="138">
        <f>(1+D18)*(1+E18)-1</f>
        <v>0.129569774773163</v>
      </c>
      <c r="G18" s="136">
        <f>3/(1+F18)</f>
        <v>2.65587843</v>
      </c>
    </row>
    <row r="19" spans="1:7" ht="21" customHeight="1" x14ac:dyDescent="0.45">
      <c r="A19" s="131">
        <v>0.95</v>
      </c>
      <c r="B19" s="132">
        <f>A19^8</f>
        <v>0.663420431289062</v>
      </c>
      <c r="C19" s="132">
        <f>A19^12</f>
        <v>0.540360087662637</v>
      </c>
      <c r="D19" s="133">
        <f>B19/C19-1</f>
        <v>0.227737663154826</v>
      </c>
      <c r="E19" s="267">
        <f>IF($B$12=1,$D$8,0)</f>
        <v>0</v>
      </c>
      <c r="F19" s="135">
        <f>(1+D19)*(1+E19)-1</f>
        <v>0.227737663154826</v>
      </c>
      <c r="G19" s="136">
        <f>3/(1+F19)</f>
        <v>2.44351875</v>
      </c>
    </row>
    <row r="20" spans="1:11" ht="48" customHeight="1" x14ac:dyDescent="0.45">
      <c r="A20" s="207" t="s">
        <v>1274</v>
      </c>
      <c r="B20" s="207"/>
      <c r="C20" s="207"/>
      <c r="D20" s="207"/>
      <c r="E20" s="207"/>
      <c r="F20" s="207"/>
      <c r="G20" s="207"/>
      <c r="H20" s="207"/>
      <c r="I20" s="207"/>
      <c r="J20" s="207"/>
      <c r="K20" s="207"/>
    </row>
    <row r="22" spans="1:11" ht="24" customHeight="1" x14ac:dyDescent="0.45">
      <c r="A22" s="181" t="s">
        <v>829</v>
      </c>
      <c r="B22" s="181"/>
      <c r="C22" s="181"/>
      <c r="D22" s="181"/>
      <c r="E22" s="181"/>
      <c r="F22" s="181"/>
      <c r="G22" s="181"/>
      <c r="H22" s="181"/>
      <c r="I22" s="181"/>
      <c r="J22" s="181"/>
      <c r="K22" s="181"/>
    </row>
    <row r="23" spans="1:11" ht="31.5" customHeight="1" x14ac:dyDescent="0.45">
      <c r="A23" s="244" t="s">
        <v>1275</v>
      </c>
      <c r="B23" s="244"/>
      <c r="C23" s="244"/>
      <c r="D23" s="244"/>
      <c r="E23" s="244"/>
      <c r="F23" s="244"/>
      <c r="G23" s="244"/>
      <c r="H23" s="244"/>
      <c r="I23" s="244"/>
      <c r="J23" s="244"/>
      <c r="K23" s="244"/>
    </row>
    <row r="24" spans="1:11" ht="31.5" customHeight="1" x14ac:dyDescent="0.45">
      <c r="A24" s="1" t="s">
        <v>174</v>
      </c>
      <c r="B24" s="1" t="s">
        <v>175</v>
      </c>
      <c r="C24" s="172" t="s">
        <v>331</v>
      </c>
      <c r="D24" s="172"/>
      <c r="E24" s="172"/>
      <c r="F24" s="172"/>
      <c r="G24" s="172"/>
      <c r="H24" s="1" t="s">
        <v>332</v>
      </c>
      <c r="I24" s="1" t="s">
        <v>333</v>
      </c>
      <c r="J24" s="172" t="s">
        <v>55</v>
      </c>
      <c r="K24" s="172"/>
    </row>
    <row r="25" spans="1:11" ht="37.5" customHeight="1" x14ac:dyDescent="0.45">
      <c r="A25" s="113" t="s">
        <v>821</v>
      </c>
      <c r="B25" s="139">
        <f>H25/1000</f>
        <v>0.975</v>
      </c>
      <c r="C25" s="177"/>
      <c r="D25" s="177"/>
      <c r="E25" s="177"/>
      <c r="F25" s="177"/>
      <c r="G25" s="177"/>
      <c r="H25" s="82">
        <v>975</v>
      </c>
      <c r="I25" s="83" t="s">
        <v>831</v>
      </c>
      <c r="J25" s="178" t="s">
        <v>832</v>
      </c>
      <c r="K25" s="178"/>
    </row>
    <row r="26" spans="1:11" ht="21" customHeight="1" x14ac:dyDescent="0.45">
      <c r="A26" s="9" t="s">
        <v>822</v>
      </c>
      <c r="B26" s="140">
        <f>B25^8</f>
        <v>0.816651803662262</v>
      </c>
      <c r="C26" s="152" t="s">
        <v>833</v>
      </c>
      <c r="D26" s="152"/>
      <c r="E26" s="152"/>
      <c r="F26" s="152"/>
      <c r="G26" s="152"/>
      <c r="H26" s="152"/>
      <c r="I26" s="152"/>
      <c r="J26" s="152"/>
      <c r="K26" s="152"/>
    </row>
    <row r="27" spans="1:11" ht="21" customHeight="1" x14ac:dyDescent="0.45">
      <c r="A27" s="9" t="s">
        <v>823</v>
      </c>
      <c r="B27" s="140">
        <f>B25^12</f>
        <v>0.737998345826651</v>
      </c>
      <c r="C27" s="152" t="s">
        <v>834</v>
      </c>
      <c r="D27" s="152"/>
      <c r="E27" s="152"/>
      <c r="F27" s="152"/>
      <c r="G27" s="152"/>
      <c r="H27" s="152"/>
      <c r="I27" s="152"/>
      <c r="J27" s="152"/>
      <c r="K27" s="152"/>
    </row>
    <row r="28" spans="1:11" ht="21" customHeight="1" x14ac:dyDescent="0.45">
      <c r="A28" s="9" t="s">
        <v>824</v>
      </c>
      <c r="B28" s="140">
        <f>B26/B27-1</f>
        <v>0.106576740016279</v>
      </c>
      <c r="C28" s="152" t="s">
        <v>835</v>
      </c>
      <c r="D28" s="152"/>
      <c r="E28" s="152"/>
      <c r="F28" s="152"/>
      <c r="G28" s="152"/>
      <c r="H28" s="152"/>
      <c r="I28" s="152"/>
      <c r="J28" s="152"/>
      <c r="K28" s="152"/>
    </row>
    <row r="29" spans="1:11" ht="21" customHeight="1" x14ac:dyDescent="0.45">
      <c r="A29" s="9" t="s">
        <v>825</v>
      </c>
      <c r="B29" s="268">
        <f>IF($B$12=1,$D$8,0)</f>
        <v>0</v>
      </c>
      <c r="C29" s="254" t="s">
        <v>1276</v>
      </c>
      <c r="D29" s="254"/>
      <c r="E29" s="254"/>
      <c r="F29" s="254"/>
      <c r="G29" s="254"/>
      <c r="H29" s="254"/>
      <c r="I29" s="254"/>
      <c r="J29" s="254"/>
      <c r="K29" s="254"/>
    </row>
    <row r="30" spans="1:11" ht="21" customHeight="1" x14ac:dyDescent="0.45">
      <c r="A30" s="11" t="s">
        <v>826</v>
      </c>
      <c r="B30" s="135">
        <f>(1+B28)*(1+B29)-1</f>
        <v>0.106576740016279</v>
      </c>
      <c r="C30" s="152" t="s">
        <v>837</v>
      </c>
      <c r="D30" s="152"/>
      <c r="E30" s="152"/>
      <c r="F30" s="152"/>
      <c r="G30" s="152"/>
      <c r="H30" s="152"/>
      <c r="I30" s="152"/>
      <c r="J30" s="152"/>
      <c r="K30" s="152"/>
    </row>
    <row r="31" spans="1:11" ht="21" customHeight="1" x14ac:dyDescent="0.45">
      <c r="A31" s="9" t="s">
        <v>838</v>
      </c>
      <c r="B31" s="141">
        <f>3/(1+B30)</f>
        <v>2.711063671875</v>
      </c>
      <c r="C31" s="254" t="s">
        <v>1277</v>
      </c>
      <c r="D31" s="254"/>
      <c r="E31" s="254"/>
      <c r="F31" s="254"/>
      <c r="G31" s="254"/>
      <c r="H31" s="254"/>
      <c r="I31" s="254"/>
      <c r="J31" s="254"/>
      <c r="K31" s="254"/>
    </row>
    <row r="32" spans="1:11" ht="31.5" customHeight="1" x14ac:dyDescent="0.45">
      <c r="A32" s="18" t="s">
        <v>840</v>
      </c>
      <c r="B32" s="142">
        <f>B31-3</f>
        <v>-0.288936328125</v>
      </c>
      <c r="C32" s="254" t="s">
        <v>1278</v>
      </c>
      <c r="D32" s="254"/>
      <c r="E32" s="254"/>
      <c r="F32" s="254"/>
      <c r="G32" s="254"/>
      <c r="H32" s="254"/>
      <c r="I32" s="254"/>
      <c r="J32" s="254"/>
      <c r="K32" s="254"/>
    </row>
    <row r="34" spans="1:11" ht="24" customHeight="1" x14ac:dyDescent="0.45">
      <c r="A34" s="155" t="s">
        <v>842</v>
      </c>
      <c r="B34" s="155"/>
      <c r="C34" s="155"/>
      <c r="D34" s="155"/>
      <c r="E34" s="155"/>
      <c r="F34" s="155"/>
      <c r="G34" s="155"/>
      <c r="H34" s="155"/>
      <c r="I34" s="155"/>
      <c r="J34" s="155"/>
      <c r="K34" s="155"/>
    </row>
    <row r="35" spans="1:11" ht="39.75" customHeight="1" x14ac:dyDescent="0.45">
      <c r="A35" s="2" t="s">
        <v>843</v>
      </c>
      <c r="B35" s="2" t="s">
        <v>844</v>
      </c>
      <c r="C35" s="2" t="s">
        <v>845</v>
      </c>
      <c r="D35" s="2" t="s">
        <v>846</v>
      </c>
      <c r="E35" s="2" t="s">
        <v>847</v>
      </c>
      <c r="F35" s="156" t="s">
        <v>55</v>
      </c>
      <c r="G35" s="156"/>
      <c r="H35" s="156"/>
      <c r="I35" s="156"/>
      <c r="J35" s="156"/>
      <c r="K35" s="156"/>
    </row>
    <row r="36" spans="1:11" ht="21" customHeight="1" x14ac:dyDescent="0.45">
      <c r="A36" s="21" t="s">
        <v>848</v>
      </c>
      <c r="B36" s="143">
        <f>(1-0.22)+0.22/3</f>
        <v>0.853333333333333</v>
      </c>
      <c r="C36" s="143">
        <f>(1-0.3)+0.3/3</f>
        <v>0.8</v>
      </c>
      <c r="D36" s="144">
        <f>C36/B36-1</f>
        <v>-0.0625000000000001</v>
      </c>
      <c r="E36" s="145">
        <f>(D36-$D$36)*100</f>
        <v>0</v>
      </c>
      <c r="F36" s="183" t="s">
        <v>849</v>
      </c>
      <c r="G36" s="183"/>
      <c r="H36" s="183"/>
      <c r="I36" s="183"/>
      <c r="J36" s="183"/>
      <c r="K36" s="183"/>
    </row>
    <row r="37" spans="1:11" ht="21" customHeight="1" x14ac:dyDescent="0.45">
      <c r="A37" s="21" t="s">
        <v>850</v>
      </c>
      <c r="B37" s="143">
        <f>(1-0.22)+0.22/3</f>
        <v>0.853333333333333</v>
      </c>
      <c r="C37" s="143">
        <f>(1-0.3)+0.3/2.9</f>
        <v>0.803448275862069</v>
      </c>
      <c r="D37" s="144">
        <f>C37/B37-1</f>
        <v>-0.058459051724138</v>
      </c>
      <c r="E37" s="145">
        <f>(D37-$D$36)*100</f>
        <v>0.40409482758621</v>
      </c>
      <c r="F37" s="183" t="s">
        <v>851</v>
      </c>
      <c r="G37" s="183"/>
      <c r="H37" s="183"/>
      <c r="I37" s="183"/>
      <c r="J37" s="183"/>
      <c r="K37" s="183"/>
    </row>
    <row r="38" spans="1:11" ht="21" customHeight="1" x14ac:dyDescent="0.45">
      <c r="A38" s="127" t="s">
        <v>852</v>
      </c>
      <c r="B38" s="143">
        <f>(1-0.22)+0.22/3</f>
        <v>0.853333333333333</v>
      </c>
      <c r="C38" s="143">
        <f>(1-0.3)+0.3/2.8</f>
        <v>0.807142857142857</v>
      </c>
      <c r="D38" s="138">
        <f>C38/B38-1</f>
        <v>-0.0541294642857143</v>
      </c>
      <c r="E38" s="145">
        <f>(D38-$D$36)*100</f>
        <v>0.837053571428581</v>
      </c>
      <c r="F38" s="183" t="s">
        <v>853</v>
      </c>
      <c r="G38" s="183"/>
      <c r="H38" s="183"/>
      <c r="I38" s="183"/>
      <c r="J38" s="183"/>
      <c r="K38" s="183"/>
    </row>
    <row r="39" spans="1:11" ht="21" customHeight="1" x14ac:dyDescent="0.45">
      <c r="A39" s="21" t="s">
        <v>854</v>
      </c>
      <c r="B39" s="143">
        <f>(1-0.22)+0.22/3</f>
        <v>0.853333333333333</v>
      </c>
      <c r="C39" s="143">
        <f>(1-0.3)+0.3/2.7</f>
        <v>0.811111111111111</v>
      </c>
      <c r="D39" s="144">
        <f>C39/B39-1</f>
        <v>-0.0494791666666667</v>
      </c>
      <c r="E39" s="145">
        <f>(D39-$D$36)*100</f>
        <v>1.30208333333334</v>
      </c>
      <c r="F39" s="183" t="s">
        <v>855</v>
      </c>
      <c r="G39" s="183"/>
      <c r="H39" s="183"/>
      <c r="I39" s="183"/>
      <c r="J39" s="183"/>
      <c r="K39" s="183"/>
    </row>
    <row r="40" spans="1:11" ht="72" customHeight="1" x14ac:dyDescent="0.45">
      <c r="A40" s="264" t="s">
        <v>1279</v>
      </c>
      <c r="B40" s="264"/>
      <c r="C40" s="264"/>
      <c r="D40" s="264"/>
      <c r="E40" s="264"/>
      <c r="F40" s="264"/>
      <c r="G40" s="264"/>
      <c r="H40" s="264"/>
      <c r="I40" s="264"/>
      <c r="J40" s="264"/>
      <c r="K40" s="264"/>
    </row>
    <row r="42" spans="1:11" ht="24" customHeight="1" x14ac:dyDescent="0.45">
      <c r="A42" s="155" t="s">
        <v>857</v>
      </c>
      <c r="B42" s="155"/>
      <c r="C42" s="155"/>
      <c r="D42" s="155"/>
      <c r="E42" s="155"/>
      <c r="F42" s="155"/>
      <c r="G42" s="155"/>
      <c r="H42" s="155"/>
      <c r="I42" s="155"/>
      <c r="J42" s="155"/>
      <c r="K42" s="155"/>
    </row>
    <row r="43" spans="1:11" ht="27" customHeight="1" x14ac:dyDescent="0.45">
      <c r="A43" s="2" t="s">
        <v>858</v>
      </c>
      <c r="B43" s="2" t="s">
        <v>523</v>
      </c>
      <c r="C43" s="156" t="s">
        <v>859</v>
      </c>
      <c r="D43" s="156"/>
      <c r="E43" s="156"/>
      <c r="F43" s="156"/>
      <c r="G43" s="156"/>
      <c r="H43" s="156"/>
      <c r="I43" s="156"/>
      <c r="J43" s="156"/>
      <c r="K43" s="156"/>
    </row>
    <row r="44" spans="1:11" ht="45" customHeight="1" x14ac:dyDescent="0.45">
      <c r="A44" s="105" t="s">
        <v>860</v>
      </c>
      <c r="B44" s="146" t="s">
        <v>861</v>
      </c>
      <c r="C44" s="269" t="s">
        <v>1280</v>
      </c>
      <c r="D44" s="269"/>
      <c r="E44" s="269"/>
      <c r="F44" s="269"/>
      <c r="G44" s="269"/>
      <c r="H44" s="269"/>
      <c r="I44" s="269"/>
      <c r="J44" s="269"/>
      <c r="K44" s="269"/>
    </row>
    <row r="45" spans="1:11" ht="48" customHeight="1" x14ac:dyDescent="0.45">
      <c r="A45" s="105" t="s">
        <v>863</v>
      </c>
      <c r="B45" s="147" t="s">
        <v>864</v>
      </c>
      <c r="C45" s="200" t="s">
        <v>865</v>
      </c>
      <c r="D45" s="200"/>
      <c r="E45" s="200"/>
      <c r="F45" s="200"/>
      <c r="G45" s="200"/>
      <c r="H45" s="200"/>
      <c r="I45" s="200"/>
      <c r="J45" s="200"/>
      <c r="K45" s="200"/>
    </row>
    <row r="46" spans="1:11" ht="36" customHeight="1" x14ac:dyDescent="0.45">
      <c r="A46" s="105" t="s">
        <v>866</v>
      </c>
      <c r="B46" s="146" t="s">
        <v>867</v>
      </c>
      <c r="C46" s="269" t="s">
        <v>1281</v>
      </c>
      <c r="D46" s="269"/>
      <c r="E46" s="269"/>
      <c r="F46" s="269"/>
      <c r="G46" s="269"/>
      <c r="H46" s="269"/>
      <c r="I46" s="269"/>
      <c r="J46" s="269"/>
      <c r="K46" s="269"/>
    </row>
    <row r="47" spans="1:11" ht="48" customHeight="1" x14ac:dyDescent="0.45">
      <c r="A47" s="105" t="s">
        <v>869</v>
      </c>
      <c r="B47" s="147" t="s">
        <v>84</v>
      </c>
      <c r="C47" s="200" t="s">
        <v>870</v>
      </c>
      <c r="D47" s="200"/>
      <c r="E47" s="200"/>
      <c r="F47" s="200"/>
      <c r="G47" s="200"/>
      <c r="H47" s="200"/>
      <c r="I47" s="200"/>
      <c r="J47" s="200"/>
      <c r="K47" s="200"/>
    </row>
    <row r="48" spans="1:11" ht="36" customHeight="1" x14ac:dyDescent="0.45">
      <c r="A48" s="207" t="str">
        <f>"★ The takeaway survives in a different form: the size of a headline and the size of its model impact are close to uncorrelated. ▲ v4.1: once the base die is off the DRAM wafer and the trade ratio is allowed to rise, the HBM path moves the 2"&amp;"027 gap by "&amp;SUBSTITUTE(TEXT('06-Inventory-Burn-v4'!$D$42,"+0.0;-0.0;0.0"),"-","−")&amp;"pp"&amp;", while the inventory reading is worth "&amp;SUBSTITUTE(TEXT('06-Inventory-Burn-v4'!$D$43,"+0.0;-0.0;0.0"),"-","−")&amp;"pp"&amp;" once only the consumed, industry-wide part counts (v4.0: +0.9pp and −4.9pp)."</f>
        <v>★ The takeaway survives in a different form: the size of a headline and the size of its model impact are close to uncorrelated. ▲ v4.1: once the base die is off the DRAM wafer and the trade ratio is allowed to rise, the HBM path moves the 2027 gap by −0.8pp, while the inventory reading is worth −1.6pp once only the consumed, industry-wide part counts (v4.0: +0.9pp and −4.9pp).</v>
      </c>
      <c r="B48" s="207"/>
      <c r="C48" s="207"/>
      <c r="D48" s="207"/>
      <c r="E48" s="207"/>
      <c r="F48" s="207"/>
      <c r="G48" s="207"/>
      <c r="H48" s="207"/>
      <c r="I48" s="207"/>
      <c r="J48" s="207"/>
      <c r="K48" s="207"/>
    </row>
    <row r="81" spans="1:11" ht="36" customHeight="1" x14ac:dyDescent="0.45">
      <c r="A81" s="208" t="s">
        <v>1282</v>
      </c>
      <c r="B81" s="208"/>
      <c r="C81" s="208"/>
      <c r="D81" s="208"/>
      <c r="E81" s="208"/>
      <c r="F81" s="208"/>
      <c r="G81" s="208"/>
      <c r="H81" s="208"/>
      <c r="I81" s="208"/>
      <c r="J81" s="208"/>
      <c r="K81" s="208"/>
    </row>
  </sheetData>
  <mergeCells count="40">
    <mergeCell ref="A1:K1"/>
    <mergeCell ref="A2:K2"/>
    <mergeCell ref="A4:K4"/>
    <mergeCell ref="A6:K6"/>
    <mergeCell ref="E7:I7"/>
    <mergeCell ref="E8:I8"/>
    <mergeCell ref="E9:I9"/>
    <mergeCell ref="E10:I10"/>
    <mergeCell ref="A11:K11"/>
    <mergeCell ref="A13:K13"/>
    <mergeCell ref="A20:K20"/>
    <mergeCell ref="A22:K22"/>
    <mergeCell ref="A23:K23"/>
    <mergeCell ref="C24:G24"/>
    <mergeCell ref="J24:K24"/>
    <mergeCell ref="C25:G25"/>
    <mergeCell ref="J25:K25"/>
    <mergeCell ref="C26:K26"/>
    <mergeCell ref="C27:K27"/>
    <mergeCell ref="C28:K28"/>
    <mergeCell ref="C29:K29"/>
    <mergeCell ref="C30:K30"/>
    <mergeCell ref="C31:K31"/>
    <mergeCell ref="C32:K32"/>
    <mergeCell ref="A34:K34"/>
    <mergeCell ref="F35:K35"/>
    <mergeCell ref="F36:K36"/>
    <mergeCell ref="F37:K37"/>
    <mergeCell ref="F38:K38"/>
    <mergeCell ref="F39:K39"/>
    <mergeCell ref="C46:K46"/>
    <mergeCell ref="C47:K47"/>
    <mergeCell ref="A48:K48"/>
    <mergeCell ref="A81:K81"/>
    <mergeCell ref="A40:K40"/>
    <mergeCell ref="A42:K42"/>
    <mergeCell ref="C43:K43"/>
    <mergeCell ref="C44:K44"/>
    <mergeCell ref="C45:K45"/>
    <mergeCell ref="C12:K12"/>
  </mergeCells>
  <phoneticPr fontId="59" type="noConversion"/>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4097" r:id="rId3" name="Scroll Bar 1">
              <controlPr defaultSize="0" print="0" autoLine="0" autoPict="0" altText="">
                <anchor moveWithCells="1">
                  <from>
                    <xdr:col>2</xdr:col>
                    <xdr:colOff>19050</xdr:colOff>
                    <xdr:row>24</xdr:row>
                    <xdr:rowOff>23813</xdr:rowOff>
                  </from>
                  <to>
                    <xdr:col>7</xdr:col>
                    <xdr:colOff>0</xdr:colOff>
                    <xdr:row>25</xdr:row>
                    <xdr:rowOff>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35C00"/>
  </sheetPr>
  <dimension ref="A1:L36"/>
  <sheetViews>
    <sheetView showGridLines="0" topLeftCell="A8" zoomScale="73" zoomScaleNormal="100" workbookViewId="0">
      <selection sqref="A1:L1"/>
    </sheetView>
  </sheetViews>
  <sheetFormatPr defaultColWidth="8.6640625" defaultRowHeight="14.25" x14ac:dyDescent="0.45"/>
  <cols>
    <col min="1" max="1" width="8" customWidth="1"/>
    <col min="2" max="2" width="30" customWidth="1"/>
    <col min="3" max="3" width="34" customWidth="1"/>
    <col min="4" max="4" width="14" customWidth="1"/>
  </cols>
  <sheetData>
    <row r="1" spans="1:12" ht="37.5" customHeight="1" x14ac:dyDescent="0.45">
      <c r="A1" s="167" t="s">
        <v>873</v>
      </c>
      <c r="B1" s="167"/>
      <c r="C1" s="167"/>
      <c r="D1" s="167"/>
      <c r="E1" s="167"/>
      <c r="F1" s="167"/>
      <c r="G1" s="167"/>
      <c r="H1" s="167"/>
      <c r="I1" s="167"/>
      <c r="J1" s="167"/>
      <c r="K1" s="167"/>
      <c r="L1" s="167"/>
    </row>
    <row r="2" spans="1:12" ht="19.5" customHeight="1" x14ac:dyDescent="0.45">
      <c r="A2" s="346" t="s">
        <v>1846</v>
      </c>
      <c r="B2" s="346"/>
      <c r="C2" s="346"/>
      <c r="D2" s="346"/>
      <c r="E2" s="346"/>
      <c r="F2" s="346"/>
      <c r="G2" s="346"/>
      <c r="H2" s="346"/>
      <c r="I2" s="346"/>
      <c r="J2" s="346"/>
      <c r="K2" s="346"/>
      <c r="L2" s="346"/>
    </row>
    <row r="4" spans="1:12" ht="24" customHeight="1" x14ac:dyDescent="0.45">
      <c r="A4" s="171" t="s">
        <v>875</v>
      </c>
      <c r="B4" s="171"/>
      <c r="C4" s="171"/>
      <c r="D4" s="171"/>
      <c r="E4" s="171"/>
      <c r="F4" s="171"/>
      <c r="G4" s="171"/>
      <c r="H4" s="171"/>
      <c r="I4" s="171"/>
      <c r="J4" s="171"/>
      <c r="K4" s="171"/>
      <c r="L4" s="171"/>
    </row>
    <row r="5" spans="1:12" ht="27" customHeight="1" x14ac:dyDescent="0.45">
      <c r="A5" s="1" t="s">
        <v>876</v>
      </c>
      <c r="B5" s="1" t="s">
        <v>877</v>
      </c>
      <c r="C5" s="1" t="s">
        <v>878</v>
      </c>
      <c r="D5" s="1" t="s">
        <v>879</v>
      </c>
      <c r="E5" s="172" t="s">
        <v>880</v>
      </c>
      <c r="F5" s="172"/>
      <c r="G5" s="172"/>
      <c r="H5" s="172"/>
      <c r="I5" s="172"/>
      <c r="J5" s="172"/>
      <c r="K5" s="172"/>
      <c r="L5" s="172"/>
    </row>
    <row r="6" spans="1:12" ht="77.0" customHeight="1" x14ac:dyDescent="0.45">
      <c r="A6" s="108" t="s">
        <v>881</v>
      </c>
      <c r="B6" s="105" t="s">
        <v>882</v>
      </c>
      <c r="C6" s="347" t="s">
        <v>1847</v>
      </c>
      <c r="D6" s="4" t="s">
        <v>884</v>
      </c>
      <c r="E6" s="269" t="s">
        <v>1360</v>
      </c>
      <c r="F6" s="269"/>
      <c r="G6" s="269"/>
      <c r="H6" s="269"/>
      <c r="I6" s="269"/>
      <c r="J6" s="269"/>
      <c r="K6" s="269"/>
      <c r="L6" s="269"/>
    </row>
    <row r="7" spans="1:12" ht="42.5" customHeight="1" x14ac:dyDescent="0.45">
      <c r="A7" s="108" t="s">
        <v>886</v>
      </c>
      <c r="B7" s="105" t="s">
        <v>887</v>
      </c>
      <c r="C7" s="14" t="s">
        <v>888</v>
      </c>
      <c r="D7" s="4" t="s">
        <v>889</v>
      </c>
      <c r="E7" s="200" t="s">
        <v>890</v>
      </c>
      <c r="F7" s="200"/>
      <c r="G7" s="200"/>
      <c r="H7" s="200"/>
      <c r="I7" s="200"/>
      <c r="J7" s="200"/>
      <c r="K7" s="200"/>
      <c r="L7" s="200"/>
    </row>
    <row r="8" spans="1:12" ht="54.0" customHeight="1" x14ac:dyDescent="0.45">
      <c r="A8" s="108" t="s">
        <v>891</v>
      </c>
      <c r="B8" s="105" t="s">
        <v>892</v>
      </c>
      <c r="C8" s="14" t="s">
        <v>893</v>
      </c>
      <c r="D8" s="4" t="s">
        <v>889</v>
      </c>
      <c r="E8" s="269" t="s">
        <v>1361</v>
      </c>
      <c r="F8" s="269"/>
      <c r="G8" s="269"/>
      <c r="H8" s="269"/>
      <c r="I8" s="269"/>
      <c r="J8" s="269"/>
      <c r="K8" s="269"/>
      <c r="L8" s="269"/>
    </row>
    <row r="9" spans="1:12" ht="31.0" customHeight="1" x14ac:dyDescent="0.45">
      <c r="A9" s="108" t="s">
        <v>895</v>
      </c>
      <c r="B9" s="105" t="s">
        <v>896</v>
      </c>
      <c r="C9" s="257" t="s">
        <v>1362</v>
      </c>
      <c r="D9" s="4" t="s">
        <v>898</v>
      </c>
      <c r="E9" s="200" t="s">
        <v>899</v>
      </c>
      <c r="F9" s="200"/>
      <c r="G9" s="200"/>
      <c r="H9" s="200"/>
      <c r="I9" s="200"/>
      <c r="J9" s="200"/>
      <c r="K9" s="200"/>
      <c r="L9" s="200"/>
    </row>
    <row r="10" spans="1:12" ht="54.0" customHeight="1" x14ac:dyDescent="0.45">
      <c r="A10" s="108" t="s">
        <v>900</v>
      </c>
      <c r="B10" s="105" t="s">
        <v>901</v>
      </c>
      <c r="C10" s="14" t="s">
        <v>902</v>
      </c>
      <c r="D10" s="4" t="s">
        <v>889</v>
      </c>
      <c r="E10" s="269" t="s">
        <v>1363</v>
      </c>
      <c r="F10" s="269"/>
      <c r="G10" s="269"/>
      <c r="H10" s="269"/>
      <c r="I10" s="269"/>
      <c r="J10" s="269"/>
      <c r="K10" s="269"/>
      <c r="L10" s="269"/>
    </row>
    <row r="11" spans="1:12" ht="65.5" customHeight="1" x14ac:dyDescent="0.45">
      <c r="A11" s="108" t="s">
        <v>904</v>
      </c>
      <c r="B11" s="105" t="s">
        <v>905</v>
      </c>
      <c r="C11" s="347" t="s">
        <v>1848</v>
      </c>
      <c r="D11" s="148" t="s">
        <v>907</v>
      </c>
      <c r="E11" s="200" t="s">
        <v>908</v>
      </c>
      <c r="F11" s="200"/>
      <c r="G11" s="200"/>
      <c r="H11" s="200"/>
      <c r="I11" s="200"/>
      <c r="J11" s="200"/>
      <c r="K11" s="200"/>
      <c r="L11" s="200"/>
    </row>
    <row r="12" spans="1:12" ht="54.0" customHeight="1" x14ac:dyDescent="0.45">
      <c r="A12" s="108" t="s">
        <v>909</v>
      </c>
      <c r="B12" s="105" t="s">
        <v>910</v>
      </c>
      <c r="C12" s="347" t="s">
        <v>1849</v>
      </c>
      <c r="D12" s="148" t="s">
        <v>907</v>
      </c>
      <c r="E12" s="269" t="str">
        <f>"Item 2 in v3.0. ⚠ If large increases are agreed, the reversal assumption behind S3 and S4 ("&amp;SUBSTITUTE(TEXT('01-DRAM-Model'!$B$153+'01-DRAM-Model'!$B$154,"0%"),"-","−")&amp;" of probability combined) has to be reweighted."</f>
        <v>Item 2 in v3.0. ⚠ If large increases are agreed, the reversal assumption behind S3 and S4 (42% of probability combined) has to be reweighted.</v>
      </c>
      <c r="F12" s="269"/>
      <c r="G12" s="269"/>
      <c r="H12" s="269"/>
      <c r="I12" s="269"/>
      <c r="J12" s="269"/>
      <c r="K12" s="269"/>
      <c r="L12" s="269"/>
    </row>
    <row r="13" spans="1:12" ht="31.0" customHeight="1" x14ac:dyDescent="0.45">
      <c r="A13" s="108" t="s">
        <v>913</v>
      </c>
      <c r="B13" s="105" t="s">
        <v>914</v>
      </c>
      <c r="C13" s="14" t="s">
        <v>915</v>
      </c>
      <c r="D13" s="4" t="s">
        <v>889</v>
      </c>
      <c r="E13" s="200" t="s">
        <v>916</v>
      </c>
      <c r="F13" s="200"/>
      <c r="G13" s="200"/>
      <c r="H13" s="200"/>
      <c r="I13" s="200"/>
      <c r="J13" s="200"/>
      <c r="K13" s="200"/>
      <c r="L13" s="200"/>
    </row>
    <row r="14" ht="77.0" customHeight="1" spans="1:12">
      <c r="A14" s="291" t="s">
        <v>1364</v>
      </c>
      <c r="B14" s="292" t="s">
        <v>1365</v>
      </c>
      <c r="C14" s="257" t="s">
        <v>1366</v>
      </c>
      <c r="D14" s="293" t="s">
        <v>1367</v>
      </c>
      <c r="E14" s="269" t="s">
        <v>1368</v>
      </c>
      <c r="F14" s="269"/>
      <c r="G14" s="269"/>
      <c r="H14" s="269"/>
      <c r="I14" s="269"/>
      <c r="J14" s="269"/>
      <c r="K14" s="269"/>
      <c r="L14" s="269"/>
    </row>
    <row r="15" spans="1:12" ht="24" customHeight="1" x14ac:dyDescent="0.45">
      <c r="A15" s="155" t="s">
        <v>917</v>
      </c>
      <c r="B15" s="155"/>
      <c r="C15" s="155"/>
      <c r="D15" s="155"/>
      <c r="E15" s="155"/>
      <c r="F15" s="155"/>
      <c r="G15" s="155"/>
      <c r="H15" s="155"/>
      <c r="I15" s="155"/>
      <c r="J15" s="155"/>
      <c r="K15" s="155"/>
      <c r="L15" s="155"/>
    </row>
    <row r="16" spans="1:12" ht="27" customHeight="1" x14ac:dyDescent="0.45">
      <c r="A16" s="2" t="s">
        <v>594</v>
      </c>
      <c r="B16" s="2" t="s">
        <v>877</v>
      </c>
      <c r="C16" s="2" t="s">
        <v>878</v>
      </c>
      <c r="D16" s="2" t="s">
        <v>918</v>
      </c>
      <c r="E16" s="156" t="s">
        <v>919</v>
      </c>
      <c r="F16" s="156"/>
      <c r="G16" s="156"/>
      <c r="H16" s="156"/>
      <c r="I16" s="156"/>
      <c r="J16" s="156"/>
      <c r="K16" s="156"/>
      <c r="L16" s="156"/>
    </row>
    <row r="17" spans="1:12" ht="42.5" customHeight="1" x14ac:dyDescent="0.45">
      <c r="A17" s="21" t="s">
        <v>920</v>
      </c>
      <c r="B17" s="14" t="s">
        <v>921</v>
      </c>
      <c r="C17" s="347" t="s">
        <v>1850</v>
      </c>
      <c r="D17" s="149" t="s">
        <v>923</v>
      </c>
      <c r="E17" s="200" t="s">
        <v>924</v>
      </c>
      <c r="F17" s="200"/>
      <c r="G17" s="200"/>
      <c r="H17" s="200"/>
      <c r="I17" s="200"/>
      <c r="J17" s="200"/>
      <c r="K17" s="200"/>
      <c r="L17" s="200"/>
    </row>
    <row r="18" spans="1:12" ht="31.0" customHeight="1" x14ac:dyDescent="0.45">
      <c r="A18" s="21" t="s">
        <v>925</v>
      </c>
      <c r="B18" s="14" t="s">
        <v>926</v>
      </c>
      <c r="C18" s="14" t="s">
        <v>927</v>
      </c>
      <c r="D18" s="149" t="s">
        <v>923</v>
      </c>
      <c r="E18" s="200" t="s">
        <v>928</v>
      </c>
      <c r="F18" s="200"/>
      <c r="G18" s="200"/>
      <c r="H18" s="200"/>
      <c r="I18" s="200"/>
      <c r="J18" s="200"/>
      <c r="K18" s="200"/>
      <c r="L18" s="200"/>
    </row>
    <row r="19" spans="1:12" ht="31.0" customHeight="1" x14ac:dyDescent="0.45">
      <c r="A19" s="21" t="s">
        <v>929</v>
      </c>
      <c r="B19" s="14" t="s">
        <v>930</v>
      </c>
      <c r="C19" s="14" t="s">
        <v>931</v>
      </c>
      <c r="D19" s="149" t="s">
        <v>923</v>
      </c>
      <c r="E19" s="200" t="s">
        <v>932</v>
      </c>
      <c r="F19" s="200"/>
      <c r="G19" s="200"/>
      <c r="H19" s="200"/>
      <c r="I19" s="200"/>
      <c r="J19" s="200"/>
      <c r="K19" s="200"/>
      <c r="L19" s="200"/>
    </row>
    <row r="20" spans="1:12" ht="42.5" customHeight="1" x14ac:dyDescent="0.45">
      <c r="A20" s="21" t="s">
        <v>933</v>
      </c>
      <c r="B20" s="14" t="s">
        <v>934</v>
      </c>
      <c r="C20" s="347" t="s">
        <v>1852</v>
      </c>
      <c r="D20" s="149" t="s">
        <v>936</v>
      </c>
      <c r="E20" s="200" t="s">
        <v>937</v>
      </c>
      <c r="F20" s="200"/>
      <c r="G20" s="200"/>
      <c r="H20" s="200"/>
      <c r="I20" s="200"/>
      <c r="J20" s="200"/>
      <c r="K20" s="200"/>
      <c r="L20" s="200"/>
    </row>
    <row r="21" spans="1:12" ht="146.0" customHeight="1" x14ac:dyDescent="0.45">
      <c r="A21" s="21" t="s">
        <v>938</v>
      </c>
      <c r="B21" s="14" t="s">
        <v>939</v>
      </c>
      <c r="C21" s="348" t="s">
        <v>1851</v>
      </c>
      <c r="D21" s="149" t="s">
        <v>936</v>
      </c>
      <c r="E21" s="200" t="s">
        <v>941</v>
      </c>
      <c r="F21" s="200"/>
      <c r="G21" s="200"/>
      <c r="H21" s="200"/>
      <c r="I21" s="200"/>
      <c r="J21" s="200"/>
      <c r="K21" s="200"/>
      <c r="L21" s="200"/>
    </row>
    <row r="22" spans="1:12" ht="31.0" customHeight="1" x14ac:dyDescent="0.45">
      <c r="A22" s="21" t="s">
        <v>942</v>
      </c>
      <c r="B22" s="14" t="s">
        <v>943</v>
      </c>
      <c r="C22" s="14" t="s">
        <v>944</v>
      </c>
      <c r="D22" s="149" t="s">
        <v>936</v>
      </c>
      <c r="E22" s="200" t="s">
        <v>945</v>
      </c>
      <c r="F22" s="200"/>
      <c r="G22" s="200"/>
      <c r="H22" s="200"/>
      <c r="I22" s="200"/>
      <c r="J22" s="200"/>
      <c r="K22" s="200"/>
      <c r="L22" s="200"/>
    </row>
    <row r="23" spans="1:12" ht="31.0" customHeight="1" x14ac:dyDescent="0.45">
      <c r="A23" s="21" t="s">
        <v>946</v>
      </c>
      <c r="B23" s="14" t="s">
        <v>947</v>
      </c>
      <c r="C23" s="14" t="s">
        <v>948</v>
      </c>
      <c r="D23" s="149" t="s">
        <v>949</v>
      </c>
      <c r="E23" s="349" t="str">
        <f>"To turn 2027 positive, demand growth must fall from "&amp;SUBSTITUTE(TEXT('01-DRAM-Model'!$B$81,"0%"),"-","−")&amp;" to about "&amp;SUBSTITUTE(TEXT('01-DRAM-Model'!$B$81+'01-DRAM-Model'!$I$81/100,"0.0%"),"-","−")&amp;". Still the only realistic path."</f>
        <v>To turn 2027 positive, demand growth must fall from 33% to about 22.9%. Still the only realistic path.</v>
      </c>
      <c r="F23" s="349"/>
      <c r="G23" s="349"/>
      <c r="H23" s="349"/>
      <c r="I23" s="349"/>
      <c r="J23" s="349"/>
      <c r="K23" s="349"/>
      <c r="L23" s="349"/>
    </row>
    <row r="24" spans="1:12" ht="31.0" customHeight="1" x14ac:dyDescent="0.45">
      <c r="A24" s="21" t="s">
        <v>951</v>
      </c>
      <c r="B24" s="14" t="s">
        <v>952</v>
      </c>
      <c r="C24" s="14" t="s">
        <v>953</v>
      </c>
      <c r="D24" s="149" t="s">
        <v>949</v>
      </c>
      <c r="E24" s="200" t="s">
        <v>954</v>
      </c>
      <c r="F24" s="200"/>
      <c r="G24" s="200"/>
      <c r="H24" s="200"/>
      <c r="I24" s="200"/>
      <c r="J24" s="200"/>
      <c r="K24" s="200"/>
      <c r="L24" s="200"/>
    </row>
    <row r="25" ht="77.0" customHeight="1" spans="1:12">
      <c r="A25" s="238" t="s">
        <v>1370</v>
      </c>
      <c r="B25" s="257" t="s">
        <v>1371</v>
      </c>
      <c r="C25" s="257" t="s">
        <v>1372</v>
      </c>
      <c r="D25" s="294" t="s">
        <v>1373</v>
      </c>
      <c r="E25" s="269" t="s">
        <v>1374</v>
      </c>
      <c r="F25" s="269"/>
      <c r="G25" s="269"/>
      <c r="H25" s="269"/>
      <c r="I25" s="269"/>
      <c r="J25" s="269"/>
      <c r="K25" s="269"/>
      <c r="L25" s="269"/>
    </row>
    <row r="26" ht="42.5" customHeight="1" spans="1:12">
      <c r="A26" s="322" t="s">
        <v>1853</v>
      </c>
      <c r="B26" s="347" t="s">
        <v>1854</v>
      </c>
      <c r="C26" s="347" t="s">
        <v>1855</v>
      </c>
      <c r="D26" s="350" t="s">
        <v>1856</v>
      </c>
      <c r="E26" s="349" t="s">
        <v>1857</v>
      </c>
      <c r="F26" s="349"/>
      <c r="G26" s="349"/>
      <c r="H26" s="349"/>
      <c r="I26" s="349"/>
      <c r="J26" s="349"/>
      <c r="K26" s="349"/>
      <c r="L26" s="349"/>
    </row>
    <row r="27" ht="65.5" customHeight="1" spans="1:12">
      <c r="A27" s="322" t="s">
        <v>1858</v>
      </c>
      <c r="B27" s="347" t="s">
        <v>1859</v>
      </c>
      <c r="C27" s="347" t="s">
        <v>1860</v>
      </c>
      <c r="D27" s="350" t="s">
        <v>1861</v>
      </c>
      <c r="E27" s="349" t="s">
        <v>1862</v>
      </c>
      <c r="F27" s="349"/>
      <c r="G27" s="349"/>
      <c r="H27" s="349"/>
      <c r="I27" s="349"/>
      <c r="J27" s="349"/>
      <c r="K27" s="349"/>
      <c r="L27" s="349"/>
    </row>
    <row r="28" ht="42.5" customHeight="1" spans="1:12">
      <c r="A28" s="322" t="s">
        <v>1863</v>
      </c>
      <c r="B28" s="347" t="s">
        <v>1864</v>
      </c>
      <c r="C28" s="347" t="s">
        <v>1865</v>
      </c>
      <c r="D28" s="350" t="s">
        <v>1866</v>
      </c>
      <c r="E28" s="349" t="s">
        <v>1867</v>
      </c>
      <c r="F28" s="349"/>
      <c r="G28" s="349"/>
      <c r="H28" s="349"/>
      <c r="I28" s="349"/>
      <c r="J28" s="349"/>
      <c r="K28" s="349"/>
      <c r="L28" s="349"/>
    </row>
    <row r="29" ht="54.0" customHeight="1" spans="1:12">
      <c r="A29" s="322" t="s">
        <v>1868</v>
      </c>
      <c r="B29" s="347" t="s">
        <v>1869</v>
      </c>
      <c r="C29" s="347" t="s">
        <v>1870</v>
      </c>
      <c r="D29" s="350" t="s">
        <v>1856</v>
      </c>
      <c r="E29" s="349" t="s">
        <v>1871</v>
      </c>
      <c r="F29" s="349"/>
      <c r="G29" s="349"/>
      <c r="H29" s="349"/>
      <c r="I29" s="349"/>
      <c r="J29" s="349"/>
      <c r="K29" s="349"/>
      <c r="L29" s="349"/>
    </row>
    <row r="30" ht="42.5" customHeight="1" spans="1:12">
      <c r="A30" s="322" t="s">
        <v>1872</v>
      </c>
      <c r="B30" s="347" t="s">
        <v>1873</v>
      </c>
      <c r="C30" s="347" t="s">
        <v>1874</v>
      </c>
      <c r="D30" s="350" t="s">
        <v>1856</v>
      </c>
      <c r="E30" s="349" t="s">
        <v>1875</v>
      </c>
      <c r="F30" s="349"/>
      <c r="G30" s="349"/>
      <c r="H30" s="349"/>
      <c r="I30" s="349"/>
      <c r="J30" s="349"/>
      <c r="K30" s="349"/>
      <c r="L30" s="349"/>
    </row>
    <row r="32" ht="24" customHeight="1" spans="1:12">
      <c r="A32" s="260" t="s">
        <v>1375</v>
      </c>
      <c r="B32" s="260"/>
      <c r="C32" s="260"/>
      <c r="D32" s="260"/>
      <c r="E32" s="260"/>
      <c r="F32" s="260"/>
      <c r="G32" s="260"/>
      <c r="H32" s="260"/>
      <c r="I32" s="260"/>
      <c r="J32" s="260"/>
      <c r="K32" s="260"/>
      <c r="L32" s="260"/>
    </row>
    <row r="33" ht="45" customHeight="1" spans="1:12">
      <c r="A33" s="150" t="s">
        <v>978</v>
      </c>
      <c r="B33" s="150"/>
      <c r="C33" s="150"/>
      <c r="D33" s="150"/>
      <c r="E33" s="150"/>
      <c r="F33" s="150"/>
      <c r="G33" s="150"/>
      <c r="H33" s="150"/>
      <c r="I33" s="150"/>
      <c r="J33" s="150"/>
      <c r="K33" s="150"/>
      <c r="L33" s="150"/>
    </row>
    <row r="34" ht="45" customHeight="1" spans="1:12">
      <c r="A34" s="150" t="s">
        <v>979</v>
      </c>
      <c r="B34" s="150"/>
      <c r="C34" s="150"/>
      <c r="D34" s="150"/>
      <c r="E34" s="150"/>
      <c r="F34" s="150"/>
      <c r="G34" s="150"/>
      <c r="H34" s="150"/>
      <c r="I34" s="150"/>
      <c r="J34" s="150"/>
      <c r="K34" s="150"/>
      <c r="L34" s="150"/>
    </row>
    <row r="35" ht="45" customHeight="1" spans="1:12">
      <c r="A35" s="207" t="s">
        <v>1376</v>
      </c>
      <c r="B35" s="207"/>
      <c r="C35" s="207"/>
      <c r="D35" s="207"/>
      <c r="E35" s="207"/>
      <c r="F35" s="207"/>
      <c r="G35" s="207"/>
      <c r="H35" s="207"/>
      <c r="I35" s="207"/>
      <c r="J35" s="207"/>
      <c r="K35" s="207"/>
      <c r="L35" s="207"/>
    </row>
    <row r="36" ht="45" customHeight="1" spans="1:12">
      <c r="A36" s="169" t="s">
        <v>981</v>
      </c>
      <c r="B36" s="169"/>
      <c r="C36" s="169"/>
      <c r="D36" s="169"/>
      <c r="E36" s="169"/>
      <c r="F36" s="169"/>
      <c r="G36" s="169"/>
      <c r="H36" s="169"/>
      <c r="I36" s="169"/>
      <c r="J36" s="169"/>
      <c r="K36" s="169"/>
      <c r="L36" s="169"/>
    </row>
  </sheetData>
  <mergeCells count="34">
    <mergeCell ref="A1:L1"/>
    <mergeCell ref="A2:L2"/>
    <mergeCell ref="A4:L4"/>
    <mergeCell ref="E5:L5"/>
    <mergeCell ref="E6:L6"/>
    <mergeCell ref="E7:L7"/>
    <mergeCell ref="E8:L8"/>
    <mergeCell ref="E9:L9"/>
    <mergeCell ref="E10:L10"/>
    <mergeCell ref="E11:L11"/>
    <mergeCell ref="E12:L12"/>
    <mergeCell ref="E13:L13"/>
    <mergeCell ref="A15:L15"/>
    <mergeCell ref="E16:L16"/>
    <mergeCell ref="E17:L17"/>
    <mergeCell ref="E18:L18"/>
    <mergeCell ref="E19:L19"/>
    <mergeCell ref="E20:L20"/>
    <mergeCell ref="E21:L21"/>
    <mergeCell ref="E22:L22"/>
    <mergeCell ref="E23:L23"/>
    <mergeCell ref="E24:L24"/>
    <mergeCell ref="A33:L33"/>
    <mergeCell ref="A34:L34"/>
    <mergeCell ref="A35:L35"/>
    <mergeCell ref="A36:L36"/>
    <mergeCell ref="A32:L32"/>
    <mergeCell ref="E14:L14"/>
    <mergeCell ref="E25:L25"/>
    <mergeCell ref="E26:L26"/>
    <mergeCell ref="E27:L27"/>
    <mergeCell ref="E28:L28"/>
    <mergeCell ref="E29:L29"/>
    <mergeCell ref="E30:L30"/>
  </mergeCells>
  <phoneticPr fontId="59" type="noConversion"/>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5B4A8B"/>
  </sheetPr>
  <dimension ref="A1:L140"/>
  <sheetViews>
    <sheetView showGridLines="0" zoomScaleNormal="100" workbookViewId="0">
      <selection sqref="A1"/>
    </sheetView>
  </sheetViews>
  <sheetFormatPr defaultColWidth="8.6640625" defaultRowHeight="14.25" x14ac:dyDescent="0.45"/>
  <cols>
    <col min="1" max="1" width="26" customWidth="1"/>
    <col min="2" max="4" width="12" customWidth="1"/>
    <col min="5" max="5" width="12.6640625" customWidth="1"/>
    <col min="6" max="6" width="11" customWidth="1"/>
    <col min="7" max="7" width="12.6640625" customWidth="1"/>
    <col min="8" max="9" width="12" customWidth="1"/>
    <col min="10" max="11" width="13" customWidth="1"/>
    <col min="12" max="12" width="39" customWidth="1"/>
  </cols>
  <sheetData>
    <row r="1" ht="37.5" customHeight="1" spans="1:12">
      <c r="A1" s="167" t="s">
        <v>982</v>
      </c>
      <c r="B1" s="167"/>
      <c r="C1" s="167"/>
      <c r="D1" s="167"/>
      <c r="E1" s="167"/>
      <c r="F1" s="167"/>
      <c r="G1" s="167"/>
      <c r="H1" s="167"/>
      <c r="I1" s="167"/>
      <c r="J1" s="167"/>
      <c r="K1" s="167"/>
      <c r="L1" s="167"/>
    </row>
    <row r="2" ht="30" customHeight="1" spans="1:12">
      <c r="A2" s="327" t="s">
        <v>1876</v>
      </c>
      <c r="B2" s="327"/>
      <c r="C2" s="327"/>
      <c r="D2" s="327"/>
      <c r="E2" s="327"/>
      <c r="F2" s="327"/>
      <c r="G2" s="327"/>
      <c r="H2" s="327"/>
      <c r="I2" s="327"/>
      <c r="J2" s="327"/>
      <c r="K2" s="327"/>
      <c r="L2" s="327"/>
    </row>
    <row r="4" ht="88" customHeight="1" spans="1:12">
      <c r="A4" s="207" t="s">
        <v>984</v>
      </c>
      <c r="B4" s="207"/>
      <c r="C4" s="207"/>
      <c r="D4" s="207"/>
      <c r="E4" s="207"/>
      <c r="F4" s="207"/>
      <c r="G4" s="207"/>
      <c r="H4" s="207"/>
      <c r="I4" s="207"/>
      <c r="J4" s="207"/>
      <c r="K4" s="207"/>
      <c r="L4" s="207"/>
    </row>
    <row r="6" ht="24" customHeight="1" spans="1:12">
      <c r="A6" s="203" t="s">
        <v>985</v>
      </c>
      <c r="B6" s="203"/>
      <c r="C6" s="203"/>
      <c r="D6" s="203"/>
      <c r="E6" s="203"/>
      <c r="F6" s="203"/>
      <c r="G6" s="203"/>
      <c r="H6" s="203"/>
      <c r="I6" s="203"/>
      <c r="J6" s="203"/>
      <c r="K6" s="203"/>
      <c r="L6" s="203"/>
    </row>
    <row r="7" ht="42" customHeight="1" spans="1:12">
      <c r="A7" s="182" t="s">
        <v>986</v>
      </c>
      <c r="B7" s="182"/>
      <c r="C7" s="182"/>
      <c r="D7" s="182"/>
      <c r="E7" s="182"/>
      <c r="F7" s="182"/>
      <c r="G7" s="182"/>
      <c r="H7" s="182"/>
      <c r="I7" s="182"/>
      <c r="J7" s="182"/>
      <c r="K7" s="182"/>
      <c r="L7" s="182"/>
    </row>
    <row r="8" ht="31.5" customHeight="1" spans="1:12">
      <c r="A8" t="s" s="204">
        <v>987</v>
      </c>
      <c r="B8" t="s" s="204">
        <v>988</v>
      </c>
      <c r="C8" s="205" t="s">
        <v>989</v>
      </c>
      <c r="D8" s="205"/>
      <c r="E8" s="205"/>
      <c r="F8" s="205"/>
      <c r="G8" s="205"/>
      <c r="H8" t="s" s="204">
        <v>990</v>
      </c>
      <c r="I8" t="s" s="204">
        <v>991</v>
      </c>
      <c r="J8" s="205" t="s">
        <v>992</v>
      </c>
      <c r="K8" s="205"/>
      <c r="L8" s="205"/>
    </row>
    <row r="9" ht="48" customHeight="1" spans="1:12">
      <c r="A9" t="s" s="206">
        <v>993</v>
      </c>
      <c r="B9" s="210">
        <f>H9/100</f>
        <v>0.5</v>
      </c>
      <c r="C9" s="177"/>
      <c r="D9" s="177"/>
      <c r="E9" s="177"/>
      <c r="F9" s="177"/>
      <c r="G9" s="177"/>
      <c r="H9" s="82">
        <v>50</v>
      </c>
      <c r="I9" t="s" s="83">
        <v>994</v>
      </c>
      <c r="J9" s="178" t="s">
        <v>995</v>
      </c>
      <c r="K9" s="178"/>
      <c r="L9" s="178"/>
    </row>
    <row r="10" ht="48" customHeight="1" spans="1:12">
      <c r="A10" t="s" s="206">
        <v>996</v>
      </c>
      <c r="B10" s="210">
        <f>H10/100</f>
        <v>0.64</v>
      </c>
      <c r="C10" s="177"/>
      <c r="D10" s="177"/>
      <c r="E10" s="177"/>
      <c r="F10" s="177"/>
      <c r="G10" s="177"/>
      <c r="H10" s="82">
        <v>64</v>
      </c>
      <c r="I10" t="s" s="83">
        <v>997</v>
      </c>
      <c r="J10" s="178" t="s">
        <v>998</v>
      </c>
      <c r="K10" s="178"/>
      <c r="L10" s="178"/>
    </row>
    <row r="11" ht="48" customHeight="1" spans="1:12">
      <c r="A11" t="s" s="206">
        <v>999</v>
      </c>
      <c r="B11" s="211">
        <f>H11/100</f>
        <v>0.5</v>
      </c>
      <c r="C11" s="177"/>
      <c r="D11" s="177"/>
      <c r="E11" s="177"/>
      <c r="F11" s="177"/>
      <c r="G11" s="177"/>
      <c r="H11" s="82">
        <v>50</v>
      </c>
      <c r="I11" t="s" s="83">
        <v>1000</v>
      </c>
      <c r="J11" s="178" t="s">
        <v>1001</v>
      </c>
      <c r="K11" s="178"/>
      <c r="L11" s="178"/>
    </row>
    <row r="12" ht="48" customHeight="1" spans="1:12">
      <c r="A12" t="s" s="206">
        <v>1002</v>
      </c>
      <c r="B12" s="211">
        <f>H12/100</f>
        <v>0.8</v>
      </c>
      <c r="C12" s="177"/>
      <c r="D12" s="177"/>
      <c r="E12" s="177"/>
      <c r="F12" s="177"/>
      <c r="G12" s="177"/>
      <c r="H12" s="82">
        <v>80</v>
      </c>
      <c r="I12" t="s" s="83">
        <v>1003</v>
      </c>
      <c r="J12" s="178" t="s">
        <v>1004</v>
      </c>
      <c r="K12" s="178"/>
      <c r="L12" s="178"/>
    </row>
    <row r="13" ht="48" customHeight="1" spans="1:12">
      <c r="A13" t="s" s="206">
        <v>1005</v>
      </c>
      <c r="B13" s="85">
        <f>H13</f>
        <v>0</v>
      </c>
      <c r="C13" s="177"/>
      <c r="D13" s="177"/>
      <c r="E13" s="177"/>
      <c r="F13" s="177"/>
      <c r="G13" s="177"/>
      <c r="H13" s="82">
        <v>0</v>
      </c>
      <c r="I13" t="s" s="83">
        <v>1006</v>
      </c>
      <c r="J13" s="178" t="s">
        <v>1007</v>
      </c>
      <c r="K13" s="178"/>
      <c r="L13" s="178"/>
    </row>
    <row r="14" ht="48" customHeight="1" spans="1:12">
      <c r="A14" t="s" s="206">
        <v>1008</v>
      </c>
      <c r="B14" s="85">
        <f>H14</f>
        <v>1</v>
      </c>
      <c r="C14" s="177"/>
      <c r="D14" s="177"/>
      <c r="E14" s="177"/>
      <c r="F14" s="177"/>
      <c r="G14" s="177"/>
      <c r="H14" s="82">
        <v>1</v>
      </c>
      <c r="I14" t="s" s="83">
        <v>1006</v>
      </c>
      <c r="J14" s="178" t="s">
        <v>1009</v>
      </c>
      <c r="K14" s="178"/>
      <c r="L14" s="178"/>
    </row>
    <row r="15" ht="48" customHeight="1" spans="1:12">
      <c r="A15" t="s" s="206">
        <v>1010</v>
      </c>
      <c r="B15" s="84">
        <f>-H15/1000</f>
        <v>-0.08</v>
      </c>
      <c r="C15" s="177"/>
      <c r="D15" s="177"/>
      <c r="E15" s="177"/>
      <c r="F15" s="177"/>
      <c r="G15" s="177"/>
      <c r="H15" s="82">
        <v>80</v>
      </c>
      <c r="I15" t="s" s="83">
        <v>1011</v>
      </c>
      <c r="J15" s="178" t="s">
        <v>1012</v>
      </c>
      <c r="K15" s="178"/>
      <c r="L15" s="178"/>
    </row>
    <row r="16" ht="48" customHeight="1" spans="1:12">
      <c r="A16" t="s" s="206">
        <v>1013</v>
      </c>
      <c r="B16" s="84">
        <f>-H16/1000</f>
        <v>-0.015</v>
      </c>
      <c r="C16" s="177"/>
      <c r="D16" s="177"/>
      <c r="E16" s="177"/>
      <c r="F16" s="177"/>
      <c r="G16" s="177"/>
      <c r="H16" s="82">
        <v>15</v>
      </c>
      <c r="I16" t="s" s="83">
        <v>1014</v>
      </c>
      <c r="J16" s="178" t="s">
        <v>1015</v>
      </c>
      <c r="K16" s="178"/>
      <c r="L16" s="178"/>
    </row>
    <row r="17" ht="45" customHeight="1" spans="1:12">
      <c r="A17" t="s" s="212">
        <v>1016</v>
      </c>
      <c r="B17" s="213">
        <f>IF('06-Inventory-Burn-v4'!$B$12=0,0,'06-Inventory-Burn-v4'!$B$15*$B$10*$B$9)</f>
        <v>0.0158153846153846</v>
      </c>
      <c r="C17" s="215" t="str">
        <f>SUBSTITUTE(TEXT('06-Inventory-Burn-v4'!$B$9,"0.00"),"-","−")&amp;" weeks ÷ 52 = "&amp;SUBSTITUTE(TEXT('06-Inventory-Burn-v4'!$B$15,"0.0%"),"-","−")&amp;" gross release (Samsung + SK hynix, sheet 06 row 15)  ×  coverage "&amp;SUBSTITUTE(TEXT($B$10,"0.00"),"-","−")&amp;"  ×  φ "&amp;SUBSTITUTE(TEXT($B$9,"0.00"),"-","−")&amp;"  =  "&amp;SUBSTITUTE(TEXT($B$17,"0.00%"),"-","−")&amp;" of annual supply. This is the base effect sheet 06 now subtracts from 2027 shipment growth (v4.0 subtracted the gross figure). The on/off switch and the linear/exact convention stay on sheet 06 row 12."</f>
        <v>2.57 weeks ÷ 52 = 4.9% gross release (Samsung + SK hynix, sheet 06 row 15)  ×  coverage 0.64  ×  φ 0.50  =  1.58% of annual supply. This is the base effect sheet 06 now subtracts from 2027 shipment growth (v4.0 subtracted the gross figure). The on/off switch and the linear/exact convention stay on sheet 06 row 12.</v>
      </c>
      <c r="D17" s="215"/>
      <c r="E17" s="215"/>
      <c r="F17" s="215"/>
      <c r="G17" s="215"/>
      <c r="H17" s="215"/>
      <c r="I17" s="215"/>
      <c r="J17" s="215"/>
      <c r="K17" s="215"/>
      <c r="L17" s="215"/>
    </row>
    <row r="18" ht="33" customHeight="1" spans="1:12">
      <c r="A18" t="s" s="212">
        <v>1017</v>
      </c>
      <c r="B18" s="214">
        <f>'01-DRAM-Model'!$B$6</f>
        <v>2.8</v>
      </c>
      <c r="C18" s="215" t="s">
        <v>1018</v>
      </c>
      <c r="D18" s="215"/>
      <c r="E18" s="215"/>
      <c r="F18" s="215"/>
      <c r="G18" s="215"/>
      <c r="H18" s="215"/>
      <c r="I18" s="215"/>
      <c r="J18" s="215"/>
      <c r="K18" s="215"/>
      <c r="L18" s="215"/>
    </row>
    <row r="19" ht="33" customHeight="1" spans="1:12">
      <c r="A19" t="s" s="212">
        <v>1019</v>
      </c>
      <c r="B19" s="214">
        <f>$B$18+$B$11+'06-Inventory-Burn-v4'!$B$10</f>
        <v>3</v>
      </c>
      <c r="C19" s="215" t="str">
        <f>"Base "&amp;TEXT($B$18,"0.00")&amp;"×"&amp;" + trade-ratio step "&amp;SUBSTITUTE(TEXT($B$11,"+0.00;-0.00;0.00"),"-","−")&amp;" + 8-high yield relief "&amp;SUBSTITUTE(TEXT('06-Inventory-Burn-v4'!$B$10,"+0.00;-0.00;0.00"),"-","−")&amp;" (sheet 06 row 10) = "&amp;TEXT($B$19,"0.00")&amp;"×"&amp;". Used for 2027 in sheet 06 column J and shown on sheet 01 row 8."</f>
        <v>Base 2.80× + trade-ratio step +0.50 + 8-high yield relief −0.30 (sheet 06 row 10) = 3.00×. Used for 2027 in sheet 06 column J and shown on sheet 01 row 8.</v>
      </c>
      <c r="D19" s="215"/>
      <c r="E19" s="215"/>
      <c r="F19" s="215"/>
      <c r="G19" s="215"/>
      <c r="H19" s="215"/>
      <c r="I19" s="215"/>
      <c r="J19" s="215"/>
      <c r="K19" s="215"/>
      <c r="L19" s="215"/>
    </row>
    <row r="20" ht="33" customHeight="1" spans="1:12">
      <c r="A20" t="s" s="212">
        <v>1020</v>
      </c>
      <c r="B20" s="214">
        <f>$B$18+$B$12+'06-Inventory-Burn-v4'!$B$10</f>
        <v>3.3</v>
      </c>
      <c r="C20" s="215" t="str">
        <f>"Base "&amp;TEXT($B$18,"0.00")&amp;"×"&amp;" + trade-ratio step "&amp;SUBSTITUTE(TEXT($B$12,"+0.00;-0.00;0.00"),"-","−")&amp;" + 8-high yield relief "&amp;SUBSTITUTE(TEXT('06-Inventory-Burn-v4'!$B$10,"+0.00;-0.00;0.00"),"-","−")&amp;" = "&amp;TEXT($B$20,"0.00")&amp;"×"&amp;". Used for 2028 in sheet 06 column I. With both steps at zero and the relief at −0.20 this is v4.0’s 2.60× in both years."</f>
        <v>Base 2.80× + trade-ratio step +0.80 + 8-high yield relief −0.30 = 3.30×. Used for 2028 in sheet 06 column I. With both steps at zero and the relief at −0.20 this is v4.0’s 2.60× in both years.</v>
      </c>
      <c r="D20" s="215"/>
      <c r="E20" s="215"/>
      <c r="F20" s="215"/>
      <c r="G20" s="215"/>
      <c r="H20" s="215"/>
      <c r="I20" s="215"/>
      <c r="J20" s="215"/>
      <c r="K20" s="215"/>
      <c r="L20" s="215"/>
    </row>
    <row r="22" ht="24" customHeight="1" spans="1:12">
      <c r="A22" s="203" t="s">
        <v>1021</v>
      </c>
      <c r="B22" s="203"/>
      <c r="C22" s="203"/>
      <c r="D22" s="203"/>
      <c r="E22" s="203"/>
      <c r="F22" s="203"/>
      <c r="G22" s="203"/>
      <c r="H22" s="203"/>
      <c r="I22" s="203"/>
      <c r="J22" s="203"/>
      <c r="K22" s="203"/>
      <c r="L22" s="203"/>
    </row>
    <row r="23" ht="54" customHeight="1" spans="1:12">
      <c r="A23" s="207" t="s">
        <v>1022</v>
      </c>
      <c r="B23" s="207"/>
      <c r="C23" s="207"/>
      <c r="D23" s="207"/>
      <c r="E23" s="207"/>
      <c r="F23" s="207"/>
      <c r="G23" s="207"/>
      <c r="H23" s="207"/>
      <c r="I23" s="207"/>
      <c r="J23" s="207"/>
      <c r="K23" s="207"/>
      <c r="L23" s="207"/>
    </row>
    <row r="24" ht="45" customHeight="1" spans="1:12">
      <c r="A24" t="s" s="204">
        <v>1023</v>
      </c>
      <c r="B24" t="s" s="204">
        <v>1024</v>
      </c>
      <c r="C24" s="354" t="s">
        <v>1882</v>
      </c>
      <c r="D24" t="s" s="204">
        <v>1026</v>
      </c>
      <c r="E24" t="s" s="204">
        <v>1027</v>
      </c>
      <c r="F24" t="s" s="204">
        <v>1028</v>
      </c>
      <c r="G24" t="s" s="204">
        <v>1029</v>
      </c>
      <c r="H24" t="s" s="204">
        <v>1030</v>
      </c>
      <c r="I24" t="s" s="204">
        <v>1031</v>
      </c>
      <c r="J24" t="s" s="204">
        <v>1032</v>
      </c>
      <c r="K24" t="s" s="204">
        <v>1033</v>
      </c>
      <c r="L24" t="s" s="204">
        <v>1034</v>
      </c>
    </row>
    <row r="25" ht="18" customHeight="1" spans="1:12">
      <c r="A25" t="s" s="216">
        <v>1035</v>
      </c>
      <c r="B25" s="218">
        <f>'06-Inventory-Burn-v4'!B18</f>
        <v>0.15</v>
      </c>
      <c r="C25" s="22">
        <f>'06-Inventory-Burn-v4'!G18</f>
        <v>-0.203218317638434</v>
      </c>
      <c r="D25" s="190" t="str">
        <f>IF(C25&lt;0,"widening","narrowing")</f>
        <v>widening</v>
      </c>
      <c r="E25" s="22">
        <f>'06-Inventory-Burn-v4'!F30</f>
        <v>-0.14544352524823</v>
      </c>
      <c r="F25" s="22">
        <f>'06-Inventory-Burn-v4'!G30</f>
        <v>-0.274244982479405</v>
      </c>
      <c r="G25" s="22">
        <f>'06-Inventory-Burn-v4'!H30</f>
        <v>-0.365749752747135</v>
      </c>
      <c r="H25" s="220">
        <f>H37</f>
        <v>-0.216967657309421</v>
      </c>
      <c r="I25" s="220">
        <f>I37</f>
        <v>-0.315694077245017</v>
      </c>
      <c r="J25" s="190" t="str">
        <f>IF(H25&lt;0,"short","not short")</f>
        <v>short</v>
      </c>
      <c r="K25" s="190" t="str">
        <f>IF(I25&lt;0,"short","not short")</f>
        <v>short</v>
      </c>
      <c r="L25" s="190" t="str">
        <f>IF(H25&lt;0,IF(C25&lt;0,"short, and the gap is still widening","short, but the gap has started to narrow"),"not short in 2027")</f>
        <v>short, and the gap is still widening</v>
      </c>
    </row>
    <row r="26" ht="18" customHeight="1" spans="1:12">
      <c r="A26" t="s" s="216">
        <v>1036</v>
      </c>
      <c r="B26" s="218">
        <f>'06-Inventory-Burn-v4'!B19</f>
        <v>0.38</v>
      </c>
      <c r="C26" s="22">
        <f>'06-Inventory-Burn-v4'!G19</f>
        <v>-0.100743305136998</v>
      </c>
      <c r="D26" s="190" t="str">
        <f>IF(C26&lt;0,"widening","narrowing")</f>
        <v>widening</v>
      </c>
      <c r="E26" s="22">
        <f>'06-Inventory-Burn-v4'!F31</f>
        <v>-0.132194587655179</v>
      </c>
      <c r="F26" s="22">
        <f>'06-Inventory-Burn-v4'!G31</f>
        <v>-0.201302094624672</v>
      </c>
      <c r="G26" s="22">
        <f>'06-Inventory-Burn-v4'!H31</f>
        <v>-0.222717427990463</v>
      </c>
      <c r="H26" s="220">
        <f>H38</f>
        <v>-0.151022100173209</v>
      </c>
      <c r="I26" s="220">
        <f>I38</f>
        <v>-0.173785581362554</v>
      </c>
      <c r="J26" s="190" t="str">
        <f>IF(H26&lt;0,"short","not short")</f>
        <v>short</v>
      </c>
      <c r="K26" s="190" t="str">
        <f>IF(I26&lt;0,"short","not short")</f>
        <v>short</v>
      </c>
      <c r="L26" s="190" t="str">
        <f>IF(H26&lt;0,IF(C26&lt;0,"short, and the gap is still widening","short, but the gap has started to narrow"),"not short in 2027")</f>
        <v>short, and the gap is still widening</v>
      </c>
    </row>
    <row r="27" ht="18" customHeight="1" spans="1:12">
      <c r="A27" t="s" s="216">
        <v>1037</v>
      </c>
      <c r="B27" s="218">
        <f>'06-Inventory-Burn-v4'!B20</f>
        <v>0.25</v>
      </c>
      <c r="C27" s="22">
        <f>'06-Inventory-Burn-v4'!G20</f>
        <v>0.0191408226511458</v>
      </c>
      <c r="D27" s="190" t="str">
        <f>IF(C27&lt;0,"widening","narrowing")</f>
        <v>narrowing</v>
      </c>
      <c r="E27" s="22">
        <f>'06-Inventory-Burn-v4'!F32</f>
        <v>-0.118528360689119</v>
      </c>
      <c r="F27" s="22">
        <f>'06-Inventory-Burn-v4'!G32</f>
        <v>-0.107888131465113</v>
      </c>
      <c r="G27" s="22">
        <f>'06-Inventory-Burn-v4'!H32</f>
        <v>-0.011304589771849</v>
      </c>
      <c r="H27" s="220">
        <f>H39</f>
        <v>-0.0658557776393138</v>
      </c>
      <c r="I27" s="220">
        <f>I39</f>
        <v>0.0352783520927202</v>
      </c>
      <c r="J27" s="190" t="str">
        <f>IF(H27&lt;0,"short","not short")</f>
        <v>short</v>
      </c>
      <c r="K27" s="190" t="str">
        <f>IF(I27&lt;0,"short","not short")</f>
        <v>not short</v>
      </c>
      <c r="L27" s="190" t="str">
        <f>IF(H27&lt;0,IF(C27&lt;0,"short, and the gap is still widening","short, but the gap has started to narrow"),"not short in 2027")</f>
        <v>short, but the gap has started to narrow</v>
      </c>
    </row>
    <row r="28" ht="18" customHeight="1" spans="1:12">
      <c r="A28" t="s" s="216">
        <v>1038</v>
      </c>
      <c r="B28" s="218">
        <f>'06-Inventory-Burn-v4'!B21</f>
        <v>0.17</v>
      </c>
      <c r="C28" s="22">
        <f>'06-Inventory-Burn-v4'!G21</f>
        <v>0.0949774071131147</v>
      </c>
      <c r="D28" s="190" t="str">
        <f>IF(C28&lt;0,"widening","narrowing")</f>
        <v>narrowing</v>
      </c>
      <c r="E28" s="22">
        <f>'06-Inventory-Burn-v4'!F33</f>
        <v>-0.104424814460145</v>
      </c>
      <c r="F28" s="22">
        <f>'06-Inventory-Burn-v4'!G33</f>
        <v>-0.0386306486650885</v>
      </c>
      <c r="G28" s="22">
        <f>'06-Inventory-Burn-v4'!H33</f>
        <v>0.156672711645516</v>
      </c>
      <c r="H28" s="220">
        <f>H40</f>
        <v>-0.00867002894362012</v>
      </c>
      <c r="I28" s="220">
        <f>I40</f>
        <v>0.192719867931174</v>
      </c>
      <c r="J28" s="190" t="str">
        <f>IF(H28&lt;0,"short","not short")</f>
        <v>short</v>
      </c>
      <c r="K28" s="190" t="str">
        <f>IF(I28&lt;0,"short","not short")</f>
        <v>not short</v>
      </c>
      <c r="L28" s="190" t="str">
        <f>IF(H28&lt;0,IF(C28&lt;0,"short, and the gap is still widening","short, but the gap has started to narrow"),"not short in 2027")</f>
        <v>short, but the gap has started to narrow</v>
      </c>
    </row>
    <row r="29" ht="18" customHeight="1" spans="1:12">
      <c r="A29" t="s" s="216">
        <v>1039</v>
      </c>
      <c r="B29" s="218">
        <f>'06-Inventory-Burn-v4'!B22</f>
        <v>0.05</v>
      </c>
      <c r="C29" s="22">
        <f>'06-Inventory-Burn-v4'!G22</f>
        <v>0.212163782894151</v>
      </c>
      <c r="D29" s="190" t="str">
        <f>IF(C29&lt;0,"widening","narrowing")</f>
        <v>narrowing</v>
      </c>
      <c r="E29" s="22">
        <f>'06-Inventory-Burn-v4'!F34</f>
        <v>-0.0592697630883872</v>
      </c>
      <c r="F29" s="22">
        <f>'06-Inventory-Burn-v4'!G34</f>
        <v>0.107309468231479</v>
      </c>
      <c r="G29" s="22">
        <f>'06-Inventory-Burn-v4'!H34</f>
        <v>0.730404653781045</v>
      </c>
      <c r="H29" s="220">
        <f>H41</f>
        <v>0.087545648294094</v>
      </c>
      <c r="I29" s="220">
        <f>I41</f>
        <v>0.699519515545243</v>
      </c>
      <c r="J29" s="190" t="str">
        <f>IF(H29&lt;0,"short","not short")</f>
        <v>not short</v>
      </c>
      <c r="K29" s="190" t="str">
        <f>IF(I29&lt;0,"short","not short")</f>
        <v>not short</v>
      </c>
      <c r="L29" s="190" t="str">
        <f>IF(H29&lt;0,IF(C29&lt;0,"short, and the gap is still widening","short, but the gap has started to narrow"),"not short in 2027")</f>
        <v>not short in 2027</v>
      </c>
    </row>
    <row r="30" ht="24" customHeight="1" spans="1:12">
      <c r="A30" t="s" s="221">
        <v>1040</v>
      </c>
      <c r="B30" s="218">
        <f>SUM(B25:B29)</f>
        <v>1</v>
      </c>
      <c r="C30" s="222">
        <f>SUMPRODUCT($B$25:$B$29,C25:C29)</f>
        <v>-0.0372256495811009</v>
      </c>
      <c r="D30" s="28"/>
      <c r="E30" s="222">
        <f>SUMPRODUCT($B$25:$B$29,E25:E29)</f>
        <v>-0.122398268881126</v>
      </c>
      <c r="F30" s="222">
        <f>SUMPRODUCT($B$25:$B$29,F25:F29)</f>
        <v>-0.145805313057055</v>
      </c>
      <c r="G30" s="222">
        <f>SUMPRODUCT($B$25:$B$29,G25:G29)</f>
        <v>-0.0791666393226184</v>
      </c>
      <c r="H30" s="222">
        <f>SUMPRODUCT($B$25:$B$29,H25:H29)</f>
        <v>-0.103494113577772</v>
      </c>
      <c r="I30" s="222">
        <f>SUMPRODUCT($B$25:$B$29,I25:I29)</f>
        <v>-0.036834691155781</v>
      </c>
      <c r="J30" s="28"/>
      <c r="K30" s="28"/>
      <c r="L30" s="28"/>
    </row>
    <row r="31" ht="31.5" customHeight="1" spans="1:12">
      <c r="A31" t="s" s="221">
        <v>1041</v>
      </c>
      <c r="B31" s="28"/>
      <c r="C31" s="223">
        <f>SUMPRODUCT((C25:C29&lt;0)*$B$25:$B$29)</f>
        <v>0.53</v>
      </c>
      <c r="D31" t="s" s="190">
        <v>1042</v>
      </c>
      <c r="E31" s="223">
        <f>SUMPRODUCT((E25:E29&lt;0)*$B$25:$B$29)</f>
        <v>1</v>
      </c>
      <c r="F31" s="223">
        <f>SUMPRODUCT((F25:F29&lt;0)*$B$25:$B$29)</f>
        <v>0.95</v>
      </c>
      <c r="G31" s="223">
        <f>SUMPRODUCT((G25:G29&lt;0)*$B$25:$B$29)</f>
        <v>0.78</v>
      </c>
      <c r="H31" s="223">
        <f>SUMPRODUCT((H25:H29&lt;0)*$B$25:$B$29)</f>
        <v>0.95</v>
      </c>
      <c r="I31" s="223">
        <f>SUMPRODUCT((I25:I29&lt;0)*$B$25:$B$29)</f>
        <v>0.53</v>
      </c>
      <c r="J31" s="28"/>
      <c r="K31" s="28"/>
      <c r="L31" s="28"/>
    </row>
    <row r="32" ht="45" customHeight="1" spans="1:12">
      <c r="A32" s="215" t="str">
        <f>"Flow: the 2027 growth gap is still widening with probability "&amp;SUBSTITUTE(TEXT(C31,"0%"),"-","−")&amp;". Level: DRAM is short in 2027 with probability "&amp;SUBSTITUTE(TEXT(H31,"0%"),"-","−")&amp;" and in 2028 with probability "&amp;SUBSTITUTE(TEXT(I31,"0%"),"-","−")&amp;" on the external anchor ("&amp;SUBSTITUTE(TEXT(F31,"0%"),"-","−")&amp;" and "&amp;SUBSTITUTE(TEXT(G31,"0%"),"-","−")&amp;" on the sheet 06 stock basis). The first number answers ""is it getting worse?"", the others ""is it short?"". Only the level numbers should be called the probability of shortage."</f>
        <v>Flow: the 2027 growth gap is still widening with probability 53%. Level: DRAM is short in 2027 with probability 95% and in 2028 with probability 53% on the external anchor (95% and 78% on the sheet 06 stock basis). The first number answers "is it getting worse?", the others "is it short?". Only the level numbers should be called the probability of shortage.</v>
      </c>
      <c r="B32" s="215"/>
      <c r="C32" s="215"/>
      <c r="D32" s="215"/>
      <c r="E32" s="215"/>
      <c r="F32" s="215"/>
      <c r="G32" s="215"/>
      <c r="H32" s="215"/>
      <c r="I32" s="215"/>
      <c r="J32" s="215"/>
      <c r="K32" s="215"/>
      <c r="L32" s="215"/>
    </row>
    <row r="34" ht="24" customHeight="1" spans="1:12">
      <c r="A34" s="203" t="s">
        <v>1043</v>
      </c>
      <c r="B34" s="203"/>
      <c r="C34" s="203"/>
      <c r="D34" s="203"/>
      <c r="E34" s="203"/>
      <c r="F34" s="203"/>
      <c r="G34" s="203"/>
      <c r="H34" s="203"/>
      <c r="I34" s="203"/>
      <c r="J34" s="203"/>
      <c r="K34" s="203"/>
      <c r="L34" s="203"/>
    </row>
    <row r="35" ht="66" customHeight="1" spans="1:12">
      <c r="A35" s="207" t="s">
        <v>1044</v>
      </c>
      <c r="B35" s="207"/>
      <c r="C35" s="207"/>
      <c r="D35" s="207"/>
      <c r="E35" s="207"/>
      <c r="F35" s="207"/>
      <c r="G35" s="207"/>
      <c r="H35" s="207"/>
      <c r="I35" s="207"/>
      <c r="J35" s="207"/>
      <c r="K35" s="207"/>
      <c r="L35" s="207"/>
    </row>
    <row r="36" ht="45" customHeight="1" spans="1:12">
      <c r="A36" t="s" s="204">
        <v>1023</v>
      </c>
      <c r="B36" t="s" s="204">
        <v>1024</v>
      </c>
      <c r="C36" s="354" t="s">
        <v>1883</v>
      </c>
      <c r="D36" s="354" t="s">
        <v>1884</v>
      </c>
      <c r="E36" s="354" t="s">
        <v>1885</v>
      </c>
      <c r="F36" t="s" s="204">
        <v>1048</v>
      </c>
      <c r="G36" t="s" s="204">
        <v>1049</v>
      </c>
      <c r="H36" t="s" s="204">
        <v>1050</v>
      </c>
      <c r="I36" t="s" s="204">
        <v>1051</v>
      </c>
      <c r="J36" t="s" s="204">
        <v>1052</v>
      </c>
      <c r="K36" t="s" s="204">
        <v>1053</v>
      </c>
      <c r="L36" t="s" s="204">
        <v>1034</v>
      </c>
    </row>
    <row r="37" ht="18" customHeight="1" spans="1:12">
      <c r="A37" t="s" s="216">
        <v>1035</v>
      </c>
      <c r="B37" s="218">
        <f>'06-Inventory-Burn-v4'!B18</f>
        <v>0.15</v>
      </c>
      <c r="C37" s="22">
        <f>'06-Inventory-Burn-v4'!K18</f>
        <v>0.161781682361566</v>
      </c>
      <c r="D37" s="22">
        <f>'06-Inventory-Burn-v4'!I18</f>
        <v>0.365</v>
      </c>
      <c r="E37" s="22">
        <f>'06-Inventory-Burn-v4'!I30</f>
        <v>0.127353995775824</v>
      </c>
      <c r="F37" s="22">
        <f>'06-Inventory-Burn-v4'!J30</f>
        <v>0.29</v>
      </c>
      <c r="G37" s="58">
        <f>$B$15</f>
        <v>-0.08</v>
      </c>
      <c r="H37" s="220">
        <f>(1+G37)*(1+C37)/(1+D37)-1</f>
        <v>-0.216967657309421</v>
      </c>
      <c r="I37" s="220">
        <f>(1+H37)*(1+E37)/(1+F37)-1</f>
        <v>-0.315694077245017</v>
      </c>
      <c r="J37" s="58">
        <f>(1+$B$16)*(1+C37)/(1+D37)-1</f>
        <v>-0.161644720054108</v>
      </c>
      <c r="K37" s="58">
        <f>(1+J37)*(1+E37)/(1+F37)-1</f>
        <v>-0.267346376180806</v>
      </c>
      <c r="L37" s="190" t="str">
        <f>IF(H37&lt;0,IF(I37&lt;0,"short in 2027 and 2028","short in 2027, filled in 2028"),IF(I37&lt;0,"filled in 2027, short again in 2028","filled by 2027"))</f>
        <v>short in 2027 and 2028</v>
      </c>
    </row>
    <row r="38" ht="18" customHeight="1" spans="1:12">
      <c r="A38" t="s" s="216">
        <v>1036</v>
      </c>
      <c r="B38" s="218">
        <f>'06-Inventory-Burn-v4'!B19</f>
        <v>0.38</v>
      </c>
      <c r="C38" s="22">
        <f>'06-Inventory-Burn-v4'!K19</f>
        <v>0.204256694863002</v>
      </c>
      <c r="D38" s="22">
        <f>'06-Inventory-Burn-v4'!I19</f>
        <v>0.305</v>
      </c>
      <c r="E38" s="22">
        <f>'06-Inventory-Burn-v4'!I31</f>
        <v>0.216483990345938</v>
      </c>
      <c r="F38" s="22">
        <f>'06-Inventory-Burn-v4'!J31</f>
        <v>0.25</v>
      </c>
      <c r="G38" s="58">
        <f>$B$15</f>
        <v>-0.08</v>
      </c>
      <c r="H38" s="220">
        <f>(1+G38)*(1+C38)/(1+D38)-1</f>
        <v>-0.151022100173209</v>
      </c>
      <c r="I38" s="220">
        <f>(1+H38)*(1+E38)/(1+F38)-1</f>
        <v>-0.173785581362554</v>
      </c>
      <c r="J38" s="58">
        <f>(1+$B$16)*(1+C38)/(1+D38)-1</f>
        <v>-0.0910399659463165</v>
      </c>
      <c r="K38" s="58">
        <f>(1+J38)*(1+E38)/(1+F38)-1</f>
        <v>-0.115411736567517</v>
      </c>
      <c r="L38" s="190" t="str">
        <f>IF(H38&lt;0,IF(I38&lt;0,"short in 2027 and 2028","short in 2027, filled in 2028"),IF(I38&lt;0,"filled in 2027, short again in 2028","filled by 2027"))</f>
        <v>short in 2027 and 2028</v>
      </c>
    </row>
    <row r="39" ht="18" customHeight="1" spans="1:12">
      <c r="A39" t="s" s="216">
        <v>1037</v>
      </c>
      <c r="B39" s="218">
        <f>'06-Inventory-Burn-v4'!B20</f>
        <v>0.25</v>
      </c>
      <c r="C39" s="22">
        <f>'06-Inventory-Burn-v4'!K20</f>
        <v>0.264140822651146</v>
      </c>
      <c r="D39" s="22">
        <f>'06-Inventory-Burn-v4'!I20</f>
        <v>0.245</v>
      </c>
      <c r="E39" s="22">
        <f>'06-Inventory-Burn-v4'!I32</f>
        <v>0.318834083110832</v>
      </c>
      <c r="F39" s="22">
        <f>'06-Inventory-Burn-v4'!J32</f>
        <v>0.19</v>
      </c>
      <c r="G39" s="58">
        <f>$B$15</f>
        <v>-0.08</v>
      </c>
      <c r="H39" s="220">
        <f>(1+G39)*(1+C39)/(1+D39)-1</f>
        <v>-0.0658557776393138</v>
      </c>
      <c r="I39" s="220">
        <f>(1+H39)*(1+E39)/(1+F39)-1</f>
        <v>0.0352783520927202</v>
      </c>
      <c r="J39" s="58">
        <f>(1+$B$16)*(1+C39)/(1+D39)-1</f>
        <v>0.000143542418777898</v>
      </c>
      <c r="K39" s="58">
        <f>(1+J39)*(1+E39)/(1+F39)-1</f>
        <v>0.108423018273184</v>
      </c>
      <c r="L39" s="190" t="str">
        <f>IF(H39&lt;0,IF(I39&lt;0,"short in 2027 and 2028","short in 2027, filled in 2028"),IF(I39&lt;0,"filled in 2027, short again in 2028","filled by 2027"))</f>
        <v>short in 2027, filled in 2028</v>
      </c>
    </row>
    <row r="40" ht="18" customHeight="1" spans="1:12">
      <c r="A40" t="s" s="216">
        <v>1038</v>
      </c>
      <c r="B40" s="218">
        <f>'06-Inventory-Burn-v4'!B21</f>
        <v>0.17</v>
      </c>
      <c r="C40" s="22">
        <f>'06-Inventory-Burn-v4'!K21</f>
        <v>0.319977407113115</v>
      </c>
      <c r="D40" s="22">
        <f>'06-Inventory-Burn-v4'!I21</f>
        <v>0.225</v>
      </c>
      <c r="E40" s="22">
        <f>'06-Inventory-Burn-v4'!I33</f>
        <v>0.4076869319228</v>
      </c>
      <c r="F40" s="22">
        <f>'06-Inventory-Burn-v4'!J33</f>
        <v>0.17</v>
      </c>
      <c r="G40" s="58">
        <f>$B$15</f>
        <v>-0.08</v>
      </c>
      <c r="H40" s="220">
        <f>(1+G40)*(1+C40)/(1+D40)-1</f>
        <v>-0.00867002894362012</v>
      </c>
      <c r="I40" s="220">
        <f>(1+H40)*(1+E40)/(1+F40)-1</f>
        <v>0.192719867931174</v>
      </c>
      <c r="J40" s="58">
        <f>(1+$B$16)*(1+C40)/(1+D40)-1</f>
        <v>0.0613695885766676</v>
      </c>
      <c r="K40" s="58">
        <f>(1+J40)*(1+E40)/(1+F40)-1</f>
        <v>0.27698811946979</v>
      </c>
      <c r="L40" s="190" t="str">
        <f>IF(H40&lt;0,IF(I40&lt;0,"short in 2027 and 2028","short in 2027, filled in 2028"),IF(I40&lt;0,"filled in 2027, short again in 2028","filled by 2027"))</f>
        <v>short in 2027, filled in 2028</v>
      </c>
    </row>
    <row r="41" ht="18" customHeight="1" spans="1:12">
      <c r="A41" t="s" s="216">
        <v>1039</v>
      </c>
      <c r="B41" s="218">
        <f>'06-Inventory-Burn-v4'!B22</f>
        <v>0.05</v>
      </c>
      <c r="C41" s="22">
        <f>'06-Inventory-Burn-v4'!K22</f>
        <v>0.377163782894151</v>
      </c>
      <c r="D41" s="22">
        <f>'06-Inventory-Burn-v4'!I22</f>
        <v>0.165</v>
      </c>
      <c r="E41" s="22">
        <f>'06-Inventory-Burn-v4'!I34</f>
        <v>0.453321202596236</v>
      </c>
      <c r="F41" s="22">
        <f>'06-Inventory-Burn-v4'!J34</f>
        <v>-0.07</v>
      </c>
      <c r="G41" s="58">
        <f>$B$15</f>
        <v>-0.08</v>
      </c>
      <c r="H41" s="220">
        <f>(1+G41)*(1+C41)/(1+D41)-1</f>
        <v>0.087545648294094</v>
      </c>
      <c r="I41" s="220">
        <f>(1+H41)*(1+E41)/(1+F41)-1</f>
        <v>0.699519515545243</v>
      </c>
      <c r="J41" s="58">
        <f>(1+$B$16)*(1+C41)/(1+D41)-1</f>
        <v>0.164383112575742</v>
      </c>
      <c r="K41" s="58">
        <f>(1+J41)*(1+E41)/(1+F41)-1</f>
        <v>0.819594263926156</v>
      </c>
      <c r="L41" s="190" t="str">
        <f>IF(H41&lt;0,IF(I41&lt;0,"short in 2027 and 2028","short in 2027, filled in 2028"),IF(I41&lt;0,"filled in 2027, short again in 2028","filled by 2027"))</f>
        <v>filled by 2027</v>
      </c>
    </row>
    <row r="42" ht="24" customHeight="1" spans="1:12">
      <c r="A42" t="s" s="221">
        <v>1040</v>
      </c>
      <c r="B42" s="218">
        <f>SUM(B37:B41)</f>
        <v>1</v>
      </c>
      <c r="C42" s="222">
        <f>SUMPRODUCT($B$37:$B$41,C37:C41)</f>
        <v>0.241174350418899</v>
      </c>
      <c r="D42" s="222">
        <f>SUMPRODUCT($B$37:$B$41,D37:D41)</f>
        <v>0.2784</v>
      </c>
      <c r="E42" s="222">
        <f>SUMPRODUCT($B$37:$B$41,E37:E41)</f>
        <v>0.273048375032226</v>
      </c>
      <c r="F42" s="222">
        <f>SUMPRODUCT($B$37:$B$41,F37:F41)</f>
        <v>0.2114</v>
      </c>
      <c r="G42" s="222">
        <f>SUMPRODUCT($B$37:$B$41,G37:G41)</f>
        <v>-0.08</v>
      </c>
      <c r="H42" s="222">
        <f>SUMPRODUCT($B$37:$B$41,H37:H41)</f>
        <v>-0.103494113577772</v>
      </c>
      <c r="I42" s="222">
        <f>SUMPRODUCT($B$37:$B$41,I37:I41)</f>
        <v>-0.036834691155781</v>
      </c>
      <c r="J42" s="222">
        <f>SUMPRODUCT($B$37:$B$41,J37:J41)</f>
        <v>-0.0401540237762014</v>
      </c>
      <c r="K42" s="222">
        <f>SUMPRODUCT($B$37:$B$41,K37:K41)</f>
        <v>0.0312150317516908</v>
      </c>
      <c r="L42" t="s" s="190">
        <v>1055</v>
      </c>
    </row>
    <row r="43" ht="24" customHeight="1" spans="1:12">
      <c r="A43" t="s" s="221">
        <v>1054</v>
      </c>
      <c r="B43" s="28"/>
      <c r="C43" s="222">
        <f>INDEX(C37:C41,IFERROR(MATCH(0.5,'01-DRAM-Model'!$C$48:$C$52,1)+1,1))</f>
        <v>0.204256694863002</v>
      </c>
      <c r="D43" s="222">
        <f>INDEX(D37:D41,IFERROR(MATCH(0.5,'01-DRAM-Model'!$C$48:$C$52,1)+1,1))</f>
        <v>0.305</v>
      </c>
      <c r="E43" s="222">
        <f>INDEX(E37:E41,IFERROR(MATCH(0.5,'01-DRAM-Model'!$C$48:$C$52,1)+1,1))</f>
        <v>0.216483990345938</v>
      </c>
      <c r="F43" s="222">
        <f>INDEX(F37:F41,IFERROR(MATCH(0.5,'01-DRAM-Model'!$C$48:$C$52,1)+1,1))</f>
        <v>0.25</v>
      </c>
      <c r="G43" s="222">
        <f>INDEX(G37:G41,IFERROR(MATCH(0.5,'01-DRAM-Model'!$C$48:$C$52,1)+1,1))</f>
        <v>-0.08</v>
      </c>
      <c r="H43" s="222">
        <f>INDEX(H37:H41,IFERROR(MATCH(0.5,'01-DRAM-Model'!$C$48:$C$52,1)+1,1))</f>
        <v>-0.151022100173209</v>
      </c>
      <c r="I43" s="222">
        <f>INDEX(I37:I41,IFERROR(MATCH(0.5,'01-DRAM-Model'!$C$48:$C$52,1)+1,1))</f>
        <v>-0.173785581362554</v>
      </c>
      <c r="J43" s="222">
        <f>INDEX(J37:J41,IFERROR(MATCH(0.5,'01-DRAM-Model'!$C$48:$C$52,1)+1,1))</f>
        <v>-0.0910399659463165</v>
      </c>
      <c r="K43" s="222">
        <f>INDEX(K37:K41,IFERROR(MATCH(0.5,'01-DRAM-Model'!$C$48:$C$52,1)+1,1))</f>
        <v>-0.115411736567517</v>
      </c>
      <c r="L43" t="s" s="190">
        <v>1056</v>
      </c>
    </row>
    <row r="44" ht="36" customHeight="1" spans="1:12">
      <c r="A44" t="s" s="217">
        <v>1057</v>
      </c>
      <c r="B44" s="28"/>
      <c r="C44" s="28"/>
      <c r="D44" s="28"/>
      <c r="E44" s="28"/>
      <c r="F44" s="28"/>
      <c r="G44" s="22">
        <f>'01-DRAM-Model'!E60</f>
        <v>-0.145705582443609</v>
      </c>
      <c r="H44" s="22">
        <f>'01-DRAM-Model'!F60</f>
        <v>-0.210832606111257</v>
      </c>
      <c r="I44" s="22">
        <f>'01-DRAM-Model'!G60</f>
        <v>-0.22417369903773</v>
      </c>
      <c r="J44" s="28"/>
      <c r="K44" s="28"/>
      <c r="L44" t="s" s="190">
        <v>1058</v>
      </c>
    </row>
    <row r="45" ht="36" customHeight="1" spans="1:12">
      <c r="A45" t="s" s="217">
        <v>1059</v>
      </c>
      <c r="B45" s="28"/>
      <c r="C45" s="28"/>
      <c r="D45" s="28"/>
      <c r="E45" s="28"/>
      <c r="F45" s="28"/>
      <c r="G45" s="22">
        <f>'05-Audit-v3'!D16</f>
        <v>-0.0406500722117665</v>
      </c>
      <c r="H45" s="22">
        <f>'05-Audit-v3'!E16</f>
        <v>-0.0457702116234979</v>
      </c>
      <c r="I45" s="22">
        <f>'05-Audit-v3'!F16</f>
        <v>-0.0506615628577143</v>
      </c>
      <c r="J45" s="28"/>
      <c r="K45" s="28"/>
      <c r="L45" t="s" s="190">
        <v>1060</v>
      </c>
    </row>
    <row r="46" ht="36" customHeight="1" spans="1:12">
      <c r="A46" t="s" s="217">
        <v>1061</v>
      </c>
      <c r="B46" s="28"/>
      <c r="C46" s="28"/>
      <c r="D46" s="28"/>
      <c r="E46" s="28"/>
      <c r="F46" s="28"/>
      <c r="G46" t="s" s="175">
        <v>1062</v>
      </c>
      <c r="H46" t="s" s="175">
        <v>1063</v>
      </c>
      <c r="I46" t="s" s="175">
        <v>1064</v>
      </c>
      <c r="J46" s="28"/>
      <c r="K46" s="28"/>
      <c r="L46" t="s" s="190">
        <v>1065</v>
      </c>
    </row>
    <row r="47" ht="48" customHeight="1" spans="1:12">
      <c r="A47" s="353" t="str">
        <f>"Base case (median scenario): anchored at "&amp;SUBSTITUTE(TEXT($B$15,"0.0%"),"-","−")&amp;" in 2026, the current flows (v4.2 inputs) give "&amp;SUBSTITUTE(TEXT(H43,"0.0%"),"-","−")&amp;" in 2027 and "&amp;SUBSTITUTE(TEXT(I43,"0.0%"),"-","−")&amp;" in 2028. The TrendForce cleared anchor ("&amp;SUBSTITUTE(TEXT($B$16,"0.0%"),"-","−")&amp;") gives "&amp;SUBSTITUTE(TEXT(J43,"0.0%"),"-","−")&amp;" and "&amp;SUBSTITUTE(TEXT(K43,"0.0%"),"-","−")&amp;". SemiAnalysis’ public range for 2027 is the low-to-mid teens. The inventory start point (B2: "&amp;SUBSTITUTE(TEXT(H44,"0.0%"),"-","−")&amp;" in 2027) is the deep end and the aligned basis (B6: "&amp;SUBSTITUTE(TEXT(H45,"0.0%"),"-","−")&amp;") the shallow end; the anchored path is the v4.1 level headline and the TrendForce path its lower bound."</f>
        <v>Base case (median scenario): anchored at −8.0% in 2026, the current flows (v4.2 inputs) give −15.1% in 2027 and −17.4% in 2028. The TrendForce cleared anchor (−1.5%) gives −9.1% and −11.5%. SemiAnalysis’ public range for 2027 is the low-to-mid teens. The inventory start point (B2: −21.1% in 2027) is the deep end and the aligned basis (B6: −4.6%) the shallow end; the anchored path is the v4.1 level headline and the TrendForce path its lower bound.</v>
      </c>
      <c r="B47" s="353"/>
      <c r="C47" s="353"/>
      <c r="D47" s="353"/>
      <c r="E47" s="353"/>
      <c r="F47" s="353"/>
      <c r="G47" s="353"/>
      <c r="H47" s="353"/>
      <c r="I47" s="353"/>
      <c r="J47" s="353"/>
      <c r="K47" s="353"/>
      <c r="L47" s="353"/>
    </row>
    <row r="49" ht="24" customHeight="1" spans="1:12">
      <c r="A49" s="203" t="s">
        <v>1066</v>
      </c>
      <c r="B49" s="203"/>
      <c r="C49" s="203"/>
      <c r="D49" s="203"/>
      <c r="E49" s="203"/>
      <c r="F49" s="203"/>
      <c r="G49" s="203"/>
      <c r="H49" s="203"/>
      <c r="I49" s="203"/>
      <c r="J49" s="203"/>
      <c r="K49" s="203"/>
      <c r="L49" s="203"/>
    </row>
    <row r="50" ht="39.75" customHeight="1" spans="1:12">
      <c r="A50" t="s" s="204">
        <v>1067</v>
      </c>
      <c r="B50" t="s" s="204">
        <v>1068</v>
      </c>
      <c r="C50" t="s" s="204">
        <v>1069</v>
      </c>
      <c r="D50" t="s" s="204">
        <v>1070</v>
      </c>
      <c r="E50" t="s" s="204">
        <v>1071</v>
      </c>
      <c r="F50" s="205" t="s">
        <v>1072</v>
      </c>
      <c r="G50" s="205"/>
      <c r="H50" s="205"/>
      <c r="I50" s="205" t="s">
        <v>1034</v>
      </c>
      <c r="J50" s="205"/>
      <c r="K50" s="205"/>
      <c r="L50" s="205"/>
    </row>
    <row r="51" ht="45" customHeight="1" spans="1:12">
      <c r="A51" t="s" s="217">
        <v>1073</v>
      </c>
      <c r="B51" s="22">
        <f>'01-DRAM-Model'!J25</f>
        <v>0.184989030804026</v>
      </c>
      <c r="C51" s="100">
        <v>0.16</v>
      </c>
      <c r="D51" s="100">
        <v>0.16</v>
      </c>
      <c r="E51" s="232">
        <f>(B51-AVERAGE(C51:D51))*100</f>
        <v>2.49890308040261</v>
      </c>
      <c r="F51" s="151" t="s">
        <v>1074</v>
      </c>
      <c r="G51" s="151"/>
      <c r="H51" s="151"/>
      <c r="I51" s="318" t="s">
        <v>1879</v>
      </c>
      <c r="J51" s="318"/>
      <c r="K51" s="318"/>
      <c r="L51" s="318"/>
    </row>
    <row r="52" ht="45" customHeight="1" spans="1:12">
      <c r="A52" s="351" t="s">
        <v>1877</v>
      </c>
      <c r="B52" s="22">
        <f>'06-Inventory-Burn-v4'!J19</f>
        <v>0.220072079478387</v>
      </c>
      <c r="C52" s="100">
        <v>0.24</v>
      </c>
      <c r="D52" s="100">
        <v>0.24</v>
      </c>
      <c r="E52" s="232">
        <f>(B52-AVERAGE(C52:D52))*100</f>
        <v>-1.99279205216134</v>
      </c>
      <c r="F52" s="151" t="s">
        <v>1077</v>
      </c>
      <c r="G52" s="151"/>
      <c r="H52" s="151"/>
      <c r="I52" s="318" t="str">
        <f>"▲ v4.2: recalibrated to Micron's 'low-20s'; "&amp;SUBSTITUTE(TEXT(ABS(B52-AVERAGE(C52:D52))*100,"0.0"),"-","−")&amp;"pp from TrendForce's 24%. v4.1's base case (16.7%) was well below both; demand was raised with supply (row 56)."</f>
        <v>▲ v4.2: recalibrated to Micron's 'low-20s'; 2.0pp from TrendForce's 24%. v4.1's base case (16.7%) was well below both; demand was raised with supply (row 56).</v>
      </c>
      <c r="J52" s="318"/>
      <c r="K52" s="318"/>
      <c r="L52" s="318"/>
    </row>
    <row r="53" ht="45" customHeight="1" spans="1:12">
      <c r="A53" s="351" t="s">
        <v>1878</v>
      </c>
      <c r="B53" s="22">
        <f>'06-Inventory-Burn-v4'!J20</f>
        <v>0.279956207266531</v>
      </c>
      <c r="C53" s="100">
        <v>0.24</v>
      </c>
      <c r="D53" s="100">
        <v>0.24</v>
      </c>
      <c r="E53" s="232">
        <f>(B53-AVERAGE(C53:D53))*100</f>
        <v>3.99562072665305</v>
      </c>
      <c r="F53" s="151" t="s">
        <v>1080</v>
      </c>
      <c r="G53" s="151"/>
      <c r="H53" s="151"/>
      <c r="I53" s="151" t="s">
        <v>1081</v>
      </c>
      <c r="J53" s="151"/>
      <c r="K53" s="151"/>
      <c r="L53" s="151"/>
    </row>
    <row r="54" ht="45" customHeight="1" spans="1:12">
      <c r="A54" t="s" s="217">
        <v>1082</v>
      </c>
      <c r="B54" s="22">
        <f>'06-Inventory-Burn-v4'!G19</f>
        <v>-0.100743305136998</v>
      </c>
      <c r="C54" s="100">
        <v>-0.1</v>
      </c>
      <c r="D54" s="100">
        <v>-0.1</v>
      </c>
      <c r="E54" s="232">
        <f>(B54-AVERAGE(C54:D54))*100</f>
        <v>-0.0743305136998024</v>
      </c>
      <c r="F54" s="151" t="s">
        <v>1083</v>
      </c>
      <c r="G54" s="151"/>
      <c r="H54" s="151"/>
      <c r="I54" s="151" t="s">
        <v>1084</v>
      </c>
      <c r="J54" s="151"/>
      <c r="K54" s="151"/>
      <c r="L54" s="151"/>
    </row>
    <row r="55" ht="45" customHeight="1" spans="1:12">
      <c r="A55" t="s" s="217">
        <v>1085</v>
      </c>
      <c r="B55" s="22">
        <f>H43</f>
        <v>-0.151022100173209</v>
      </c>
      <c r="C55" s="100">
        <v>-0.15</v>
      </c>
      <c r="D55" s="100">
        <v>-0.11</v>
      </c>
      <c r="E55" s="232">
        <f>(B55-AVERAGE(C55:D55))*100</f>
        <v>-2.10221001732092</v>
      </c>
      <c r="F55" s="151" t="s">
        <v>1086</v>
      </c>
      <c r="G55" s="151"/>
      <c r="H55" s="151"/>
      <c r="I55" s="151" t="s">
        <v>1087</v>
      </c>
      <c r="J55" s="151"/>
      <c r="K55" s="151"/>
      <c r="L55" s="151"/>
    </row>
    <row r="56" ht="45" customHeight="1" spans="1:12">
      <c r="A56" t="s" s="217">
        <v>1088</v>
      </c>
      <c r="B56" s="22">
        <f>'06-Inventory-Burn-v4'!I19</f>
        <v>0.305</v>
      </c>
      <c r="C56" s="58">
        <f>(1+0.24)*(1-0.08)/(1-0.13)-1</f>
        <v>0.311264367816092</v>
      </c>
      <c r="D56" s="58">
        <f>(1+0.24)*(1-0.08)/(1-0.14)-1</f>
        <v>0.326511627906977</v>
      </c>
      <c r="E56" s="232">
        <f>(B56-AVERAGE(C56:D56))*100</f>
        <v>-1.38879978615344</v>
      </c>
      <c r="F56" s="151" t="s">
        <v>1089</v>
      </c>
      <c r="G56" s="151"/>
      <c r="H56" s="151"/>
      <c r="I56" s="318" t="str">
        <f>"If supply really grows 24%, the outside gap implies demand growth of about 31–33%. ▲ v4.2: base-case demand "&amp;SUBSTITUTE(TEXT(B56,"0.0%"),"-","−")&amp;", close to that range; both levels moved up together and the gap still matches."</f>
        <v>If supply really grows 24%, the outside gap implies demand growth of about 31–33%. ▲ v4.2: base-case demand 30.5%, close to that range; both levels moved up together and the gap still matches.</v>
      </c>
      <c r="J56" s="318"/>
      <c r="K56" s="318"/>
      <c r="L56" s="318"/>
    </row>
    <row r="57" ht="45" customHeight="1" spans="1:12">
      <c r="A57" t="s" s="217">
        <v>1091</v>
      </c>
      <c r="B57" s="219">
        <f>$B$19</f>
        <v>3</v>
      </c>
      <c r="C57" s="225">
        <v>2.87</v>
      </c>
      <c r="D57" s="225">
        <v>4</v>
      </c>
      <c r="E57" s="239">
        <f>B57-AVERAGE(C57:D57)</f>
        <v>-0.435</v>
      </c>
      <c r="F57" s="151" t="s">
        <v>1092</v>
      </c>
      <c r="G57" s="151"/>
      <c r="H57" s="151"/>
      <c r="I57" s="151" t="s">
        <v>1093</v>
      </c>
      <c r="J57" s="151"/>
      <c r="K57" s="151"/>
      <c r="L57" s="151"/>
    </row>
    <row r="58" ht="45" customHeight="1" spans="1:12">
      <c r="A58" t="s" s="217">
        <v>1094</v>
      </c>
      <c r="B58" s="22">
        <f>'02-NAND-Model'!G12</f>
        <v>0.172655</v>
      </c>
      <c r="C58" s="100">
        <v>0.17</v>
      </c>
      <c r="D58" s="100">
        <v>0.17</v>
      </c>
      <c r="E58" s="232">
        <f>(B58-AVERAGE(C58:D58))*100</f>
        <v>0.265499999999977</v>
      </c>
      <c r="F58" s="151" t="s">
        <v>1095</v>
      </c>
      <c r="G58" s="151"/>
      <c r="H58" s="151"/>
      <c r="I58" s="151" t="s">
        <v>1096</v>
      </c>
      <c r="J58" s="151"/>
      <c r="K58" s="151"/>
      <c r="L58" s="151"/>
    </row>
    <row r="59" ht="45" customHeight="1" spans="1:12">
      <c r="A59" t="s" s="217">
        <v>1097</v>
      </c>
      <c r="B59" s="22">
        <f>'02-NAND-Model'!H66</f>
        <v>-0.07546</v>
      </c>
      <c r="C59" s="100">
        <v>-0.1</v>
      </c>
      <c r="D59" s="100">
        <v>0.08</v>
      </c>
      <c r="E59" s="232">
        <f>(B59-AVERAGE(C59:D59))*100</f>
        <v>-6.546</v>
      </c>
      <c r="F59" s="151" t="s">
        <v>1098</v>
      </c>
      <c r="G59" s="151"/>
      <c r="H59" s="151"/>
      <c r="I59" s="151" t="s">
        <v>1099</v>
      </c>
      <c r="J59" s="151"/>
      <c r="K59" s="151"/>
      <c r="L59" s="151"/>
    </row>
    <row r="60" ht="45" customHeight="1" spans="1:12">
      <c r="A60" t="s" s="217">
        <v>1100</v>
      </c>
      <c r="B60" s="22">
        <f>'02-NAND-Model'!I13</f>
        <v>-0.081948259979839</v>
      </c>
      <c r="C60" s="100">
        <v>-0.09</v>
      </c>
      <c r="D60" s="100">
        <v>0</v>
      </c>
      <c r="E60" s="232">
        <f>(B60-AVERAGE(C60:D60))*100</f>
        <v>-3.6948259979839</v>
      </c>
      <c r="F60" s="151" t="s">
        <v>1101</v>
      </c>
      <c r="G60" s="151"/>
      <c r="H60" s="151"/>
      <c r="I60" s="151" t="s">
        <v>1102</v>
      </c>
      <c r="J60" s="151"/>
      <c r="K60" s="151"/>
      <c r="L60" s="151"/>
    </row>
    <row r="61" ht="33" customHeight="1" spans="1:12">
      <c r="A61" s="208" t="s">
        <v>1103</v>
      </c>
      <c r="B61" s="208"/>
      <c r="C61" s="208"/>
      <c r="D61" s="208"/>
      <c r="E61" s="208"/>
      <c r="F61" s="208"/>
      <c r="G61" s="208"/>
      <c r="H61" s="208"/>
      <c r="I61" s="208"/>
      <c r="J61" s="208"/>
      <c r="K61" s="208"/>
      <c r="L61" s="208"/>
    </row>
    <row r="62" ht="30" customHeight="1" spans="1:12">
      <c r="A62" s="328" t="s">
        <v>1886</v>
      </c>
      <c r="B62" s="328"/>
      <c r="C62" s="328"/>
      <c r="D62" s="328"/>
      <c r="E62" s="328"/>
      <c r="F62" s="328"/>
      <c r="G62" s="328"/>
      <c r="H62" s="328"/>
      <c r="I62" s="328"/>
      <c r="J62" s="328"/>
      <c r="K62" s="328"/>
      <c r="L62" s="328"/>
    </row>
    <row r="63" ht="24" customHeight="1" spans="1:12">
      <c r="A63" s="203" t="s">
        <v>1104</v>
      </c>
      <c r="B63" s="203"/>
      <c r="C63" s="203"/>
      <c r="D63" s="203"/>
      <c r="E63" s="203"/>
      <c r="F63" s="203"/>
      <c r="G63" s="203"/>
      <c r="H63" s="203"/>
      <c r="I63" s="203"/>
      <c r="J63" s="203"/>
      <c r="K63" s="203"/>
      <c r="L63" s="203"/>
    </row>
    <row r="64" ht="27" customHeight="1" spans="1:12">
      <c r="A64" t="s" s="204">
        <v>1105</v>
      </c>
      <c r="B64" t="s" s="204">
        <v>1106</v>
      </c>
      <c r="C64" s="205" t="s">
        <v>1107</v>
      </c>
      <c r="D64" s="205"/>
      <c r="E64" s="205"/>
      <c r="F64" s="205"/>
      <c r="G64" s="205"/>
      <c r="H64" s="205"/>
      <c r="I64" s="205"/>
      <c r="J64" s="205"/>
      <c r="K64" s="205"/>
      <c r="L64" s="205"/>
    </row>
    <row r="65" ht="33" customHeight="1" spans="1:12">
      <c r="A65" t="s" s="217">
        <v>1108</v>
      </c>
      <c r="B65" s="22">
        <f>'06-Inventory-Burn-v4'!$B$15</f>
        <v>0.0494230769230769</v>
      </c>
      <c r="C65" s="151" t="s">
        <v>1109</v>
      </c>
      <c r="D65" s="151"/>
      <c r="E65" s="151"/>
      <c r="F65" s="151"/>
      <c r="G65" s="151"/>
      <c r="H65" s="151"/>
      <c r="I65" s="151"/>
      <c r="J65" s="151"/>
      <c r="K65" s="151"/>
      <c r="L65" s="151"/>
    </row>
    <row r="66" ht="33" customHeight="1" spans="1:12">
      <c r="A66" t="s" s="217">
        <v>1110</v>
      </c>
      <c r="B66" s="58">
        <f>B65*$B$10</f>
        <v>0.0316307692307692</v>
      </c>
      <c r="C66" s="151" t="s">
        <v>1111</v>
      </c>
      <c r="D66" s="151"/>
      <c r="E66" s="151"/>
      <c r="F66" s="151"/>
      <c r="G66" s="151"/>
      <c r="H66" s="151"/>
      <c r="I66" s="151"/>
      <c r="J66" s="151"/>
      <c r="K66" s="151"/>
      <c r="L66" s="151"/>
    </row>
    <row r="67" ht="33" customHeight="1" spans="1:12">
      <c r="A67" t="s" s="217">
        <v>1112</v>
      </c>
      <c r="B67" s="220">
        <f>B66*$B$9</f>
        <v>0.0158153846153846</v>
      </c>
      <c r="C67" s="151" t="s">
        <v>1113</v>
      </c>
      <c r="D67" s="151"/>
      <c r="E67" s="151"/>
      <c r="F67" s="151"/>
      <c r="G67" s="151"/>
      <c r="H67" s="151"/>
      <c r="I67" s="151"/>
      <c r="J67" s="151"/>
      <c r="K67" s="151"/>
      <c r="L67" s="151"/>
    </row>
    <row r="68" ht="33" customHeight="1" spans="1:12">
      <c r="A68" t="s" s="217">
        <v>1114</v>
      </c>
      <c r="B68" s="226">
        <v>3</v>
      </c>
      <c r="C68" s="151" t="s">
        <v>1115</v>
      </c>
      <c r="D68" s="151"/>
      <c r="E68" s="151"/>
      <c r="F68" s="151"/>
      <c r="G68" s="151"/>
      <c r="H68" s="151"/>
      <c r="I68" s="151"/>
      <c r="J68" s="151"/>
      <c r="K68" s="151"/>
      <c r="L68" s="151"/>
    </row>
    <row r="69" ht="33" customHeight="1" spans="1:12">
      <c r="A69" t="s" s="217">
        <v>1116</v>
      </c>
      <c r="B69" s="240">
        <f>'01-DRAM-Model'!$B$12</f>
        <v>1.43</v>
      </c>
      <c r="C69" s="151" t="s">
        <v>1117</v>
      </c>
      <c r="D69" s="151"/>
      <c r="E69" s="151"/>
      <c r="F69" s="151"/>
      <c r="G69" s="151"/>
      <c r="H69" s="151"/>
      <c r="I69" s="151"/>
      <c r="J69" s="151"/>
      <c r="K69" s="151"/>
      <c r="L69" s="151"/>
    </row>
    <row r="70" ht="33" customHeight="1" spans="1:12">
      <c r="A70" t="s" s="217">
        <v>1118</v>
      </c>
      <c r="B70" s="58">
        <f>(B68-B69)/52</f>
        <v>0.0301923076923077</v>
      </c>
      <c r="C70" s="151" t="s">
        <v>1119</v>
      </c>
      <c r="D70" s="151"/>
      <c r="E70" s="151"/>
      <c r="F70" s="151"/>
      <c r="G70" s="151"/>
      <c r="H70" s="151"/>
      <c r="I70" s="151"/>
      <c r="J70" s="151"/>
      <c r="K70" s="151"/>
      <c r="L70" s="151"/>
    </row>
    <row r="71" ht="33" customHeight="1" spans="1:12">
      <c r="A71" t="s" s="217">
        <v>1120</v>
      </c>
      <c r="B71" s="314">
        <v>0.25</v>
      </c>
      <c r="C71" s="318" t="s">
        <v>1880</v>
      </c>
      <c r="D71" s="318"/>
      <c r="E71" s="318"/>
      <c r="F71" s="318"/>
      <c r="G71" s="318"/>
      <c r="H71" s="318"/>
      <c r="I71" s="318"/>
      <c r="J71" s="318"/>
      <c r="K71" s="318"/>
      <c r="L71" s="318"/>
    </row>
    <row r="72" ht="33" customHeight="1" spans="1:12">
      <c r="A72" t="s" s="217">
        <v>1122</v>
      </c>
      <c r="B72" s="22">
        <f>'01-DRAM-Model'!$J$25</f>
        <v>0.184989030804026</v>
      </c>
      <c r="C72" s="151" t="s">
        <v>1123</v>
      </c>
      <c r="D72" s="151"/>
      <c r="E72" s="151"/>
      <c r="F72" s="151"/>
      <c r="G72" s="151"/>
      <c r="H72" s="151"/>
      <c r="I72" s="151"/>
      <c r="J72" s="151"/>
      <c r="K72" s="151"/>
      <c r="L72" s="151"/>
    </row>
    <row r="73" ht="33" customHeight="1" spans="1:12">
      <c r="A73" t="s" s="217">
        <v>1124</v>
      </c>
      <c r="B73" s="220">
        <f>(1+B71)/(1+B72)-1</f>
        <v>0.0548620852227326</v>
      </c>
      <c r="C73" s="151" t="s">
        <v>1125</v>
      </c>
      <c r="D73" s="151"/>
      <c r="E73" s="151"/>
      <c r="F73" s="151"/>
      <c r="G73" s="151"/>
      <c r="H73" s="151"/>
      <c r="I73" s="151"/>
      <c r="J73" s="151"/>
      <c r="K73" s="151"/>
      <c r="L73" s="151"/>
    </row>
    <row r="74" ht="54" customHeight="1" spans="1:12">
      <c r="A74" s="352" t="s">
        <v>1881</v>
      </c>
      <c r="B74" s="352"/>
      <c r="C74" s="352"/>
      <c r="D74" s="352"/>
      <c r="E74" s="352"/>
      <c r="F74" s="352"/>
      <c r="G74" s="352"/>
      <c r="H74" s="352"/>
      <c r="I74" s="352"/>
      <c r="J74" s="352"/>
      <c r="K74" s="352"/>
      <c r="L74" s="352"/>
    </row>
    <row r="76" ht="31.5" customHeight="1" spans="1:12">
      <c r="A76" t="s" s="204">
        <v>1127</v>
      </c>
      <c r="B76" s="234">
        <v>0</v>
      </c>
      <c r="C76" s="234">
        <v>0.25</v>
      </c>
      <c r="D76" s="234">
        <v>0.5</v>
      </c>
      <c r="E76" s="234">
        <v>0.75</v>
      </c>
      <c r="F76" s="234">
        <v>1</v>
      </c>
      <c r="G76" s="151" t="s">
        <v>1128</v>
      </c>
      <c r="H76" s="151"/>
      <c r="I76" s="151"/>
      <c r="J76" s="151"/>
      <c r="K76" s="151"/>
      <c r="L76" s="151"/>
    </row>
    <row r="77" ht="21" customHeight="1" spans="1:12">
      <c r="A77" s="235">
        <v>0.02</v>
      </c>
      <c r="B77" s="236">
        <f>-$A77*B$76*100</f>
        <v>0</v>
      </c>
      <c r="C77" s="236">
        <f>-$A77*C$76*100</f>
        <v>-0.5</v>
      </c>
      <c r="D77" s="236">
        <f>-$A77*D$76*100</f>
        <v>-1</v>
      </c>
      <c r="E77" s="236">
        <f>-$A77*E$76*100</f>
        <v>-1.5</v>
      </c>
      <c r="F77" s="236">
        <f>-$A77*F$76*100</f>
        <v>-2</v>
      </c>
      <c r="G77" s="151" t="s">
        <v>1129</v>
      </c>
      <c r="H77" s="151"/>
      <c r="I77" s="151"/>
      <c r="J77" s="151"/>
      <c r="K77" s="151"/>
      <c r="L77" s="151"/>
    </row>
    <row r="78" ht="21" customHeight="1" spans="1:12">
      <c r="A78" s="235">
        <v>0.035</v>
      </c>
      <c r="B78" s="236">
        <f>-$A78*B$76*100</f>
        <v>0</v>
      </c>
      <c r="C78" s="236">
        <f>-$A78*C$76*100</f>
        <v>-0.875</v>
      </c>
      <c r="D78" s="236">
        <f>-$A78*D$76*100</f>
        <v>-1.75</v>
      </c>
      <c r="E78" s="236">
        <f>-$A78*E$76*100</f>
        <v>-2.625</v>
      </c>
      <c r="F78" s="236">
        <f>-$A78*F$76*100</f>
        <v>-3.5</v>
      </c>
      <c r="G78" s="151" t="str">
        <f>"Middle of the range; for reference, gross × coverage (row 66) = "&amp;SUBSTITUTE(TEXT($B$66,"0.0%"),"-","−")&amp;"."</f>
        <v>Middle of the range; for reference, gross × coverage (row 66) = 3.2%.</v>
      </c>
      <c r="H78" s="151"/>
      <c r="I78" s="151"/>
      <c r="J78" s="151"/>
      <c r="K78" s="151"/>
      <c r="L78" s="151"/>
    </row>
    <row r="79" ht="21" customHeight="1" spans="1:12">
      <c r="A79" s="235">
        <f>'06-Inventory-Burn-v4'!$B$15</f>
        <v>0.0494230769230769</v>
      </c>
      <c r="B79" s="236">
        <f>-$A79*B$76*100</f>
        <v>0</v>
      </c>
      <c r="C79" s="236">
        <f>-$A79*C$76*100</f>
        <v>-1.23557692307692</v>
      </c>
      <c r="D79" s="236">
        <f>-$A79*D$76*100</f>
        <v>-2.47115384615385</v>
      </c>
      <c r="E79" s="236">
        <f>-$A79*E$76*100</f>
        <v>-3.70673076923077</v>
      </c>
      <c r="F79" s="236">
        <f>-$A79*F$76*100</f>
        <v>-4.94230769230769</v>
      </c>
      <c r="G79" s="151" t="s">
        <v>1130</v>
      </c>
      <c r="H79" s="151"/>
      <c r="I79" s="151"/>
      <c r="J79" s="151"/>
      <c r="K79" s="151"/>
      <c r="L79" s="151"/>
    </row>
    <row r="80" ht="33" customHeight="1" spans="1:12">
      <c r="A80" s="215" t="str">
        <f>"v4.0 is the bottom-right cell ("&amp;SUBSTITUTE(TEXT(-'06-Inventory-Burn-v4'!$B$15*100,"+0.0;-0.0;0.0"),"-","−")&amp;"pp"&amp;"). The v4.1 default is row 67: "&amp;SUBSTITUTE(TEXT(-$B$67*100,"+0.0;-0.0;0.0"),"-","−")&amp;"pp"&amp;". The S3 relief scenario flips to a widening gap only if φ × coverage exceeds "&amp;SUBSTITUTE(TEXT(('06-Inventory-Burn-v4'!C20-'06-Inventory-Burn-v4'!H20)/'06-Inventory-Burn-v4'!$B$15,"0.00"),"-","−")&amp;" (now "&amp;SUBSTITUTE(TEXT($B$9*$B$10,"0.00"),"-","−")&amp;")."</f>
        <v>v4.0 is the bottom-right cell (−4.9pp). The v4.1 default is row 67: −1.6pp. The S3 relief scenario flips to a widening gap only if φ × coverage exceeds 0.37 (now 0.32).</v>
      </c>
      <c r="B80" s="215"/>
      <c r="C80" s="215"/>
      <c r="D80" s="215"/>
      <c r="E80" s="215"/>
      <c r="F80" s="215"/>
      <c r="G80" s="215"/>
      <c r="H80" s="215"/>
      <c r="I80" s="215"/>
      <c r="J80" s="215"/>
      <c r="K80" s="215"/>
      <c r="L80" s="215"/>
    </row>
    <row r="82" ht="24" customHeight="1" spans="1:12">
      <c r="A82" s="203" t="s">
        <v>1131</v>
      </c>
      <c r="B82" s="203"/>
      <c r="C82" s="203"/>
      <c r="D82" s="203"/>
      <c r="E82" s="203"/>
      <c r="F82" s="203"/>
      <c r="G82" s="203"/>
      <c r="H82" s="203"/>
      <c r="I82" s="203"/>
      <c r="J82" s="203"/>
      <c r="K82" s="203"/>
      <c r="L82" s="203"/>
    </row>
    <row r="83" ht="54" customHeight="1" spans="1:12">
      <c r="A83" s="207" t="s">
        <v>1132</v>
      </c>
      <c r="B83" s="207"/>
      <c r="C83" s="207"/>
      <c r="D83" s="207"/>
      <c r="E83" s="207"/>
      <c r="F83" s="207"/>
      <c r="G83" s="207"/>
      <c r="H83" s="207"/>
      <c r="I83" s="207"/>
      <c r="J83" s="207"/>
      <c r="K83" s="207"/>
      <c r="L83" s="207"/>
    </row>
    <row r="84" ht="39.75" customHeight="1" spans="1:12">
      <c r="A84" t="s" s="204">
        <v>1133</v>
      </c>
      <c r="B84" t="s" s="204">
        <v>1134</v>
      </c>
      <c r="C84" t="s" s="204">
        <v>1135</v>
      </c>
      <c r="D84" t="s" s="204">
        <v>1136</v>
      </c>
      <c r="E84" t="s" s="204">
        <v>1137</v>
      </c>
      <c r="F84" t="s" s="204">
        <v>1138</v>
      </c>
      <c r="G84" t="s" s="204">
        <v>1139</v>
      </c>
      <c r="H84" s="205" t="s">
        <v>992</v>
      </c>
      <c r="I84" s="205"/>
      <c r="J84" s="205"/>
      <c r="K84" s="205"/>
      <c r="L84" s="205"/>
    </row>
    <row r="85" ht="21" customHeight="1" spans="1:12">
      <c r="A85" t="s" s="216">
        <v>1140</v>
      </c>
      <c r="B85" s="225">
        <v>2.8</v>
      </c>
      <c r="C85" s="225">
        <v>2.6</v>
      </c>
      <c r="D85" s="225">
        <v>2.6</v>
      </c>
      <c r="E85" s="58">
        <f>(1+'01-DRAM-Model'!$C$26+'01-DRAM-Model'!$B$146)*(1+'01-DRAM-Model'!$D$26+'01-DRAM-Model'!$B$147)*(((1-'01-DRAM-Model'!$G$26)+'01-DRAM-Model'!$G$26/C85)/((1-'01-DRAM-Model'!$G$25)+'01-DRAM-Model'!$G$25/B85))-1</f>
        <v>0.238456327506882</v>
      </c>
      <c r="F85" s="58">
        <f>(1+'01-DRAM-Model'!$C$27+'01-DRAM-Model'!$B$146)*(1+'01-DRAM-Model'!$D$27+'01-DRAM-Model'!$B$147)*(((1-'01-DRAM-Model'!$G$27)+'01-DRAM-Model'!$G$27/D85)/((1-'01-DRAM-Model'!$G$26)+'01-DRAM-Model'!$G$26/C85))-1</f>
        <v>0.229589965924745</v>
      </c>
      <c r="G85" s="236">
        <f>(E85-$E$85)*100</f>
        <v>0</v>
      </c>
      <c r="H85" s="151" t="s">
        <v>1141</v>
      </c>
      <c r="I85" s="151"/>
      <c r="J85" s="151"/>
      <c r="K85" s="151"/>
      <c r="L85" s="151"/>
    </row>
    <row r="86" ht="21" customHeight="1" spans="1:12">
      <c r="A86" t="s" s="216">
        <v>1142</v>
      </c>
      <c r="B86" s="231">
        <f>'01-DRAM-Model'!$B$6</f>
        <v>2.8</v>
      </c>
      <c r="C86" s="231">
        <f>B86</f>
        <v>2.8</v>
      </c>
      <c r="D86" s="231">
        <f>B86</f>
        <v>2.8</v>
      </c>
      <c r="E86" s="58">
        <f>(1+'01-DRAM-Model'!$C$26+'01-DRAM-Model'!$B$146)*(1+'01-DRAM-Model'!$D$26+'01-DRAM-Model'!$B$147)*(((1-'01-DRAM-Model'!$G$26)+'01-DRAM-Model'!$G$26/C86)/((1-'01-DRAM-Model'!$G$25)+'01-DRAM-Model'!$G$25/B86))-1</f>
        <v>0.228607623205902</v>
      </c>
      <c r="F86" s="58">
        <f>(1+'01-DRAM-Model'!$C$27+'01-DRAM-Model'!$B$146)*(1+'01-DRAM-Model'!$D$27+'01-DRAM-Model'!$B$147)*(((1-'01-DRAM-Model'!$G$27)+'01-DRAM-Model'!$G$27/D86)/((1-'01-DRAM-Model'!$G$26)+'01-DRAM-Model'!$G$26/C86))-1</f>
        <v>0.228868404489045</v>
      </c>
      <c r="G86" s="236">
        <f>(E86-$E$85)*100</f>
        <v>-0.984870430097962</v>
      </c>
      <c r="H86" s="151" t="s">
        <v>1143</v>
      </c>
      <c r="I86" s="151"/>
      <c r="J86" s="151"/>
      <c r="K86" s="151"/>
      <c r="L86" s="151"/>
    </row>
    <row r="87" ht="21" customHeight="1" spans="1:12">
      <c r="A87" t="s" s="216">
        <v>1144</v>
      </c>
      <c r="B87" s="225">
        <v>3</v>
      </c>
      <c r="C87" s="225">
        <v>3</v>
      </c>
      <c r="D87" s="225">
        <v>3</v>
      </c>
      <c r="E87" s="58">
        <f>(1+'01-DRAM-Model'!$C$26+'01-DRAM-Model'!$B$146)*(1+'01-DRAM-Model'!$D$26+'01-DRAM-Model'!$B$147)*(((1-'01-DRAM-Model'!$G$26)+'01-DRAM-Model'!$G$26/C87)/((1-'01-DRAM-Model'!$G$25)+'01-DRAM-Model'!$G$25/B87))-1</f>
        <v>0.226103428909701</v>
      </c>
      <c r="F87" s="58">
        <f>(1+'01-DRAM-Model'!$C$27+'01-DRAM-Model'!$B$146)*(1+'01-DRAM-Model'!$D$27+'01-DRAM-Model'!$B$147)*(((1-'01-DRAM-Model'!$G$27)+'01-DRAM-Model'!$G$27/D87)/((1-'01-DRAM-Model'!$G$26)+'01-DRAM-Model'!$G$26/C87))-1</f>
        <v>0.228233628318584</v>
      </c>
      <c r="G87" s="236">
        <f>(E87-$E$85)*100</f>
        <v>-1.2352898597181</v>
      </c>
      <c r="H87" s="151" t="s">
        <v>1145</v>
      </c>
      <c r="I87" s="151"/>
      <c r="J87" s="151"/>
      <c r="K87" s="151"/>
      <c r="L87" s="151"/>
    </row>
    <row r="88" ht="21" customHeight="1" spans="1:12">
      <c r="A88" t="s" s="216">
        <v>1146</v>
      </c>
      <c r="B88" s="231">
        <f>$B$18</f>
        <v>2.8</v>
      </c>
      <c r="C88" s="231">
        <f>$B$19</f>
        <v>3</v>
      </c>
      <c r="D88" s="231">
        <f>$B$20</f>
        <v>3.3</v>
      </c>
      <c r="E88" s="220">
        <f>(1+'01-DRAM-Model'!$C$26+'01-DRAM-Model'!$B$146)*(1+'01-DRAM-Model'!$D$26+'01-DRAM-Model'!$B$147)*(((1-'01-DRAM-Model'!$G$26)+'01-DRAM-Model'!$G$26/C88)/((1-'01-DRAM-Model'!$G$25)+'01-DRAM-Model'!$G$25/B88))-1</f>
        <v>0.220072079478387</v>
      </c>
      <c r="F88" s="220">
        <f>(1+'01-DRAM-Model'!$C$27+'01-DRAM-Model'!$B$146)*(1+'01-DRAM-Model'!$D$27+'01-DRAM-Model'!$B$147)*(((1-'01-DRAM-Model'!$G$27)+'01-DRAM-Model'!$G$27/D88)/((1-'01-DRAM-Model'!$G$26)+'01-DRAM-Model'!$G$26/C88))-1</f>
        <v>0.216483990345938</v>
      </c>
      <c r="G88" s="236">
        <f>(E88-$E$85)*100</f>
        <v>-1.83842480284953</v>
      </c>
      <c r="H88" s="151" t="s">
        <v>1147</v>
      </c>
      <c r="I88" s="151"/>
      <c r="J88" s="151"/>
      <c r="K88" s="151"/>
      <c r="L88" s="151"/>
    </row>
    <row r="89" ht="21" customHeight="1" spans="1:12">
      <c r="A89" t="s" s="216">
        <v>1148</v>
      </c>
      <c r="B89" s="231">
        <f>$B$18</f>
        <v>2.8</v>
      </c>
      <c r="C89" s="231">
        <f>$B$18+$B$11</f>
        <v>3.3</v>
      </c>
      <c r="D89" s="231">
        <f>$B$18+$B$12</f>
        <v>3.6</v>
      </c>
      <c r="E89" s="58">
        <f>(1+'01-DRAM-Model'!$C$26+'01-DRAM-Model'!$B$146)*(1+'01-DRAM-Model'!$D$26+'01-DRAM-Model'!$B$147)*(((1-'01-DRAM-Model'!$G$26)+'01-DRAM-Model'!$G$26/C89)/((1-'01-DRAM-Model'!$G$25)+'01-DRAM-Model'!$G$25/B89))-1</f>
        <v>0.209208660188821</v>
      </c>
      <c r="F89" s="58">
        <f>(1+'01-DRAM-Model'!$C$27+'01-DRAM-Model'!$B$146)*(1+'01-DRAM-Model'!$D$27+'01-DRAM-Model'!$B$147)*(((1-'01-DRAM-Model'!$G$27)+'01-DRAM-Model'!$G$27/D89)/((1-'01-DRAM-Model'!$G$26)+'01-DRAM-Model'!$G$26/C89))-1</f>
        <v>0.217533440833087</v>
      </c>
      <c r="G89" s="236">
        <f>(E89-$E$85)*100</f>
        <v>-2.92476673180606</v>
      </c>
      <c r="H89" s="151" t="s">
        <v>1149</v>
      </c>
      <c r="I89" s="151"/>
      <c r="J89" s="151"/>
      <c r="K89" s="151"/>
      <c r="L89" s="151"/>
    </row>
    <row r="90" ht="21" customHeight="1" spans="1:12">
      <c r="A90" t="s" s="216">
        <v>1150</v>
      </c>
      <c r="B90" s="225">
        <v>2.8</v>
      </c>
      <c r="C90" s="225">
        <v>3.4</v>
      </c>
      <c r="D90" s="225">
        <v>4</v>
      </c>
      <c r="E90" s="58">
        <f>(1+'01-DRAM-Model'!$C$26+'01-DRAM-Model'!$B$146)*(1+'01-DRAM-Model'!$D$26+'01-DRAM-Model'!$B$147)*(((1-'01-DRAM-Model'!$G$26)+'01-DRAM-Model'!$G$26/C90)/((1-'01-DRAM-Model'!$G$25)+'01-DRAM-Model'!$G$25/B90))-1</f>
        <v>0.206013536868361</v>
      </c>
      <c r="F90" s="58">
        <f>(1+'01-DRAM-Model'!$C$27+'01-DRAM-Model'!$B$146)*(1+'01-DRAM-Model'!$D$27+'01-DRAM-Model'!$B$147)*(((1-'01-DRAM-Model'!$G$27)+'01-DRAM-Model'!$G$27/D90)/((1-'01-DRAM-Model'!$G$26)+'01-DRAM-Model'!$G$26/C90))-1</f>
        <v>0.209863030544565</v>
      </c>
      <c r="G90" s="236">
        <f>(E90-$E$85)*100</f>
        <v>-3.2442790638521</v>
      </c>
      <c r="H90" s="151" t="s">
        <v>1151</v>
      </c>
      <c r="I90" s="151"/>
      <c r="J90" s="151"/>
      <c r="K90" s="151"/>
      <c r="L90" s="151"/>
    </row>
    <row r="91" ht="27" customHeight="1" spans="1:12">
      <c r="A91" s="208" t="s">
        <v>1152</v>
      </c>
      <c r="B91" s="208"/>
      <c r="C91" s="208"/>
      <c r="D91" s="208"/>
      <c r="E91" s="208"/>
      <c r="F91" s="208"/>
      <c r="G91" s="208"/>
      <c r="H91" s="208"/>
      <c r="I91" s="208"/>
      <c r="J91" s="208"/>
      <c r="K91" s="208"/>
      <c r="L91" s="208"/>
    </row>
    <row r="93" ht="27" customHeight="1" spans="1:12">
      <c r="A93" t="s" s="204">
        <v>1153</v>
      </c>
      <c r="B93" t="s" s="204">
        <v>1106</v>
      </c>
      <c r="C93" s="205" t="s">
        <v>992</v>
      </c>
      <c r="D93" s="205"/>
      <c r="E93" s="205"/>
      <c r="F93" s="205"/>
      <c r="G93" s="205"/>
      <c r="H93" s="205"/>
      <c r="I93" s="205"/>
      <c r="J93" s="205"/>
      <c r="K93" s="205"/>
      <c r="L93" s="205"/>
    </row>
    <row r="94" ht="30" customHeight="1" spans="1:12">
      <c r="A94" t="s" s="217">
        <v>1154</v>
      </c>
      <c r="B94" s="22">
        <f>'03-Demand-BottomUp'!$B$6</f>
        <v>0.09</v>
      </c>
      <c r="C94" s="151" t="s">
        <v>1155</v>
      </c>
      <c r="D94" s="151"/>
      <c r="E94" s="151"/>
      <c r="F94" s="151"/>
      <c r="G94" s="151"/>
      <c r="H94" s="151"/>
      <c r="I94" s="151"/>
      <c r="J94" s="151"/>
      <c r="K94" s="151"/>
      <c r="L94" s="151"/>
    </row>
    <row r="95" ht="30" customHeight="1" spans="1:12">
      <c r="A95" t="s" s="217">
        <v>1156</v>
      </c>
      <c r="B95" s="22">
        <f>'03-Demand-BottomUp'!$C$6</f>
        <v>0.6</v>
      </c>
      <c r="C95" s="151" t="s">
        <v>1157</v>
      </c>
      <c r="D95" s="151"/>
      <c r="E95" s="151"/>
      <c r="F95" s="151"/>
      <c r="G95" s="151"/>
      <c r="H95" s="151"/>
      <c r="I95" s="151"/>
      <c r="J95" s="151"/>
      <c r="K95" s="151"/>
      <c r="L95" s="151"/>
    </row>
    <row r="96" ht="30" customHeight="1" spans="1:12">
      <c r="A96" t="s" s="217">
        <v>1158</v>
      </c>
      <c r="B96" s="58">
        <f>B94*(1+B95)</f>
        <v>0.144</v>
      </c>
      <c r="C96" s="151"/>
      <c r="D96" s="151"/>
      <c r="E96" s="151"/>
      <c r="F96" s="151"/>
      <c r="G96" s="151"/>
      <c r="H96" s="151"/>
      <c r="I96" s="151"/>
      <c r="J96" s="151"/>
      <c r="K96" s="151"/>
      <c r="L96" s="151"/>
    </row>
    <row r="97" ht="30" customHeight="1" spans="1:12">
      <c r="A97" t="s" s="217">
        <v>1159</v>
      </c>
      <c r="B97" s="100">
        <v>1</v>
      </c>
      <c r="C97" s="151" t="s">
        <v>1160</v>
      </c>
      <c r="D97" s="151"/>
      <c r="E97" s="151"/>
      <c r="F97" s="151"/>
      <c r="G97" s="151"/>
      <c r="H97" s="151"/>
      <c r="I97" s="151"/>
      <c r="J97" s="151"/>
      <c r="K97" s="151"/>
      <c r="L97" s="151"/>
    </row>
    <row r="98" ht="30" customHeight="1" spans="1:12">
      <c r="A98" t="s" s="217">
        <v>1161</v>
      </c>
      <c r="B98" s="58">
        <f>1-8/12</f>
        <v>0.333333333333333</v>
      </c>
      <c r="C98" s="151" t="s">
        <v>1162</v>
      </c>
      <c r="D98" s="151"/>
      <c r="E98" s="151"/>
      <c r="F98" s="151"/>
      <c r="G98" s="151"/>
      <c r="H98" s="151"/>
      <c r="I98" s="151"/>
      <c r="J98" s="151"/>
      <c r="K98" s="151"/>
      <c r="L98" s="151"/>
    </row>
    <row r="99" ht="30" customHeight="1" spans="1:12">
      <c r="A99" t="s" s="217">
        <v>1163</v>
      </c>
      <c r="B99" s="100">
        <v>0.5</v>
      </c>
      <c r="C99" s="151" t="s">
        <v>1164</v>
      </c>
      <c r="D99" s="151"/>
      <c r="E99" s="151"/>
      <c r="F99" s="151"/>
      <c r="G99" s="151"/>
      <c r="H99" s="151"/>
      <c r="I99" s="151"/>
      <c r="J99" s="151"/>
      <c r="K99" s="151"/>
      <c r="L99" s="151"/>
    </row>
    <row r="100" ht="30" customHeight="1" spans="1:12">
      <c r="A100" t="s" s="217">
        <v>1165</v>
      </c>
      <c r="B100" s="220">
        <f>-B96*B97*B98*B99</f>
        <v>-0.024</v>
      </c>
      <c r="C100" s="151" t="s">
        <v>1166</v>
      </c>
      <c r="D100" s="151"/>
      <c r="E100" s="151"/>
      <c r="F100" s="151"/>
      <c r="G100" s="151"/>
      <c r="H100" s="151"/>
      <c r="I100" s="151"/>
      <c r="J100" s="151"/>
      <c r="K100" s="151"/>
      <c r="L100" s="151"/>
    </row>
    <row r="101" ht="30" customHeight="1" spans="1:12">
      <c r="A101" t="s" s="217">
        <v>1167</v>
      </c>
      <c r="B101" s="22">
        <f>'06-Inventory-Burn-v4'!$B$11</f>
        <v>-0.025</v>
      </c>
      <c r="C101" s="151" t="s">
        <v>1168</v>
      </c>
      <c r="D101" s="151"/>
      <c r="E101" s="151"/>
      <c r="F101" s="151"/>
      <c r="G101" s="151"/>
      <c r="H101" s="151"/>
      <c r="I101" s="151"/>
      <c r="J101" s="151"/>
      <c r="K101" s="151"/>
      <c r="L101" s="151"/>
    </row>
    <row r="102" ht="30" customHeight="1" spans="1:12">
      <c r="A102" t="s" s="217">
        <v>1169</v>
      </c>
      <c r="B102" s="58">
        <f>-B96*0.5*B98*B99</f>
        <v>-0.012</v>
      </c>
      <c r="C102" s="151" t="s">
        <v>1170</v>
      </c>
      <c r="D102" s="151"/>
      <c r="E102" s="151"/>
      <c r="F102" s="151"/>
      <c r="G102" s="151"/>
      <c r="H102" s="151"/>
      <c r="I102" s="151"/>
      <c r="J102" s="151"/>
      <c r="K102" s="151"/>
      <c r="L102" s="151"/>
    </row>
    <row r="103" ht="33" customHeight="1" spans="1:12">
      <c r="A103" s="208" t="s">
        <v>1171</v>
      </c>
      <c r="B103" s="208"/>
      <c r="C103" s="208"/>
      <c r="D103" s="208"/>
      <c r="E103" s="208"/>
      <c r="F103" s="208"/>
      <c r="G103" s="208"/>
      <c r="H103" s="208"/>
      <c r="I103" s="208"/>
      <c r="J103" s="208"/>
      <c r="K103" s="208"/>
      <c r="L103" s="208"/>
    </row>
    <row r="105" ht="24" customHeight="1" spans="1:12">
      <c r="A105" s="203" t="s">
        <v>1172</v>
      </c>
      <c r="B105" s="203"/>
      <c r="C105" s="203"/>
      <c r="D105" s="203"/>
      <c r="E105" s="203"/>
      <c r="F105" s="203"/>
      <c r="G105" s="203"/>
      <c r="H105" s="203"/>
      <c r="I105" s="203"/>
      <c r="J105" s="203"/>
      <c r="K105" s="203"/>
      <c r="L105" s="203"/>
    </row>
    <row r="106" ht="31.5" customHeight="1" spans="1:12">
      <c r="A106" t="s" s="204">
        <v>1173</v>
      </c>
      <c r="B106" t="s" s="204">
        <v>1174</v>
      </c>
      <c r="C106" t="s" s="204">
        <v>1175</v>
      </c>
      <c r="D106" t="s" s="204">
        <v>1176</v>
      </c>
      <c r="E106" s="205" t="s">
        <v>992</v>
      </c>
      <c r="F106" s="205"/>
      <c r="G106" s="205"/>
      <c r="H106" s="205"/>
      <c r="I106" s="205"/>
      <c r="J106" s="205"/>
      <c r="K106" s="205"/>
      <c r="L106" s="205"/>
    </row>
    <row r="107" ht="18" customHeight="1" spans="1:12">
      <c r="A107" t="s" s="216">
        <v>1177</v>
      </c>
      <c r="B107" s="100">
        <v>0.2</v>
      </c>
      <c r="C107" s="22">
        <f>'01-DRAM-Model'!$K$27</f>
        <v>0.24</v>
      </c>
      <c r="D107" s="236">
        <f>(C107-B107)*100</f>
        <v>4</v>
      </c>
      <c r="E107" s="151" t="s">
        <v>1178</v>
      </c>
      <c r="F107" s="151"/>
      <c r="G107" s="151"/>
      <c r="H107" s="151"/>
      <c r="I107" s="151"/>
      <c r="J107" s="151"/>
      <c r="K107" s="151"/>
      <c r="L107" s="151"/>
    </row>
    <row r="108" ht="18" customHeight="1" spans="1:12">
      <c r="A108" t="s" s="216">
        <v>1179</v>
      </c>
      <c r="B108" s="100">
        <v>0.14</v>
      </c>
      <c r="C108" s="22">
        <f>'01-DRAM-Model'!$K$32</f>
        <v>0.18</v>
      </c>
      <c r="D108" s="236">
        <f>(C108-B108)*100</f>
        <v>4</v>
      </c>
      <c r="E108" s="151"/>
      <c r="F108" s="151"/>
      <c r="G108" s="151"/>
      <c r="H108" s="151"/>
      <c r="I108" s="151"/>
      <c r="J108" s="151"/>
      <c r="K108" s="151"/>
      <c r="L108" s="151"/>
    </row>
    <row r="109" ht="18" customHeight="1" spans="1:12">
      <c r="A109" t="s" s="216">
        <v>1180</v>
      </c>
      <c r="B109" s="100">
        <v>0.13</v>
      </c>
      <c r="C109" s="22">
        <f>'01-DRAM-Model'!$K$36</f>
        <v>0.24</v>
      </c>
      <c r="D109" s="236">
        <f>(C109-B109)*100</f>
        <v>11</v>
      </c>
      <c r="E109" s="151"/>
      <c r="F109" s="151"/>
      <c r="G109" s="151"/>
      <c r="H109" s="151"/>
      <c r="I109" s="151"/>
      <c r="J109" s="151"/>
      <c r="K109" s="151"/>
      <c r="L109" s="151"/>
    </row>
    <row r="110" ht="18" customHeight="1" spans="1:12">
      <c r="A110" t="s" s="216">
        <v>1181</v>
      </c>
      <c r="B110" s="100">
        <v>0.06</v>
      </c>
      <c r="C110" s="22">
        <f>'01-DRAM-Model'!$K$37</f>
        <v>0.16</v>
      </c>
      <c r="D110" s="236">
        <f>(C110-B110)*100</f>
        <v>10</v>
      </c>
      <c r="E110" s="151"/>
      <c r="F110" s="151"/>
      <c r="G110" s="151"/>
      <c r="H110" s="151"/>
      <c r="I110" s="151"/>
      <c r="J110" s="151"/>
      <c r="K110" s="151"/>
      <c r="L110" s="151"/>
    </row>
    <row r="111" ht="18" customHeight="1" spans="1:12">
      <c r="A111" t="s" s="216">
        <v>1182</v>
      </c>
      <c r="B111" s="100">
        <v>0.03</v>
      </c>
      <c r="C111" s="22">
        <f>'01-DRAM-Model'!$K$41</f>
        <v>0.18</v>
      </c>
      <c r="D111" s="236">
        <f>(C111-B111)*100</f>
        <v>15</v>
      </c>
      <c r="E111" s="151"/>
      <c r="F111" s="151"/>
      <c r="G111" s="151"/>
      <c r="H111" s="151"/>
      <c r="I111" s="151"/>
      <c r="J111" s="151"/>
      <c r="K111" s="151"/>
      <c r="L111" s="151"/>
    </row>
    <row r="112" ht="18" customHeight="1" spans="1:12">
      <c r="A112" t="s" s="216">
        <v>1183</v>
      </c>
      <c r="B112" s="100">
        <v>0.18</v>
      </c>
      <c r="C112" s="22">
        <f>'02-NAND-Model'!$F$13</f>
        <v>0.24</v>
      </c>
      <c r="D112" s="236">
        <f>(C112-B112)*100</f>
        <v>6</v>
      </c>
      <c r="E112" s="151"/>
      <c r="F112" s="151"/>
      <c r="G112" s="151"/>
      <c r="H112" s="151"/>
      <c r="I112" s="151"/>
      <c r="J112" s="151"/>
      <c r="K112" s="151"/>
      <c r="L112" s="151"/>
    </row>
    <row r="113" ht="18" customHeight="1" spans="1:12">
      <c r="A113" t="s" s="216">
        <v>1184</v>
      </c>
      <c r="B113" s="100">
        <v>0.12</v>
      </c>
      <c r="C113" s="22">
        <f>'02-NAND-Model'!$F$18</f>
        <v>0.2</v>
      </c>
      <c r="D113" s="236">
        <f>(C113-B113)*100</f>
        <v>8</v>
      </c>
      <c r="E113" s="151"/>
      <c r="F113" s="151"/>
      <c r="G113" s="151"/>
      <c r="H113" s="151"/>
      <c r="I113" s="151"/>
      <c r="J113" s="151"/>
      <c r="K113" s="151"/>
      <c r="L113" s="151"/>
    </row>
    <row r="114" ht="18" customHeight="1" spans="1:12">
      <c r="A114" t="s" s="216">
        <v>1185</v>
      </c>
      <c r="B114" s="100">
        <v>0.05</v>
      </c>
      <c r="C114" s="22">
        <f>'02-NAND-Model'!$F$23</f>
        <v>0.16</v>
      </c>
      <c r="D114" s="236">
        <f>(C114-B114)*100</f>
        <v>11</v>
      </c>
      <c r="E114" s="151"/>
      <c r="F114" s="151"/>
      <c r="G114" s="151"/>
      <c r="H114" s="151"/>
      <c r="I114" s="151"/>
      <c r="J114" s="151"/>
      <c r="K114" s="151"/>
      <c r="L114" s="151"/>
    </row>
    <row r="115" ht="18" customHeight="1" spans="1:12">
      <c r="A115" t="s" s="216">
        <v>1186</v>
      </c>
      <c r="B115" s="100">
        <v>0.22</v>
      </c>
      <c r="C115" s="22">
        <f>'02-NAND-Model'!$F$9</f>
        <v>0.28</v>
      </c>
      <c r="D115" s="236">
        <f>(C115-B115)*100</f>
        <v>6</v>
      </c>
      <c r="E115" s="151"/>
      <c r="F115" s="151"/>
      <c r="G115" s="151"/>
      <c r="H115" s="151"/>
      <c r="I115" s="151"/>
      <c r="J115" s="151"/>
      <c r="K115" s="151"/>
      <c r="L115" s="151"/>
    </row>
    <row r="116" ht="18" customHeight="1" spans="1:12">
      <c r="A116" t="s" s="216">
        <v>1187</v>
      </c>
      <c r="B116" s="100">
        <v>0.14</v>
      </c>
      <c r="C116" s="22">
        <f>'02-NAND-Model'!$F$14</f>
        <v>0.22</v>
      </c>
      <c r="D116" s="236">
        <f>(C116-B116)*100</f>
        <v>8</v>
      </c>
      <c r="E116" s="151"/>
      <c r="F116" s="151"/>
      <c r="G116" s="151"/>
      <c r="H116" s="151"/>
      <c r="I116" s="151"/>
      <c r="J116" s="151"/>
      <c r="K116" s="151"/>
      <c r="L116" s="151"/>
    </row>
    <row r="117" ht="18" customHeight="1" spans="1:12">
      <c r="A117" t="s" s="216">
        <v>1188</v>
      </c>
      <c r="B117" s="100">
        <v>0.08</v>
      </c>
      <c r="C117" s="22">
        <f>'02-NAND-Model'!$F$19</f>
        <v>0.16</v>
      </c>
      <c r="D117" s="236">
        <f>(C117-B117)*100</f>
        <v>8</v>
      </c>
      <c r="E117" s="151"/>
      <c r="F117" s="151"/>
      <c r="G117" s="151"/>
      <c r="H117" s="151"/>
      <c r="I117" s="151"/>
      <c r="J117" s="151"/>
      <c r="K117" s="151"/>
      <c r="L117" s="151"/>
    </row>
    <row r="118" ht="18" customHeight="1" spans="1:12">
      <c r="A118" t="s" s="216">
        <v>1189</v>
      </c>
      <c r="B118" s="100">
        <v>0</v>
      </c>
      <c r="C118" s="22">
        <f>'02-NAND-Model'!$F$24</f>
        <v>0.12</v>
      </c>
      <c r="D118" s="236">
        <f>(C118-B118)*100</f>
        <v>12</v>
      </c>
      <c r="E118" s="151"/>
      <c r="F118" s="151"/>
      <c r="G118" s="151"/>
      <c r="H118" s="151"/>
      <c r="I118" s="151"/>
      <c r="J118" s="151"/>
      <c r="K118" s="151"/>
      <c r="L118" s="151"/>
    </row>
    <row r="119" ht="30" customHeight="1" spans="1:12">
      <c r="A119" t="s" s="216">
        <v>1190</v>
      </c>
      <c r="B119" t="s" s="175">
        <v>1191</v>
      </c>
      <c r="C119" s="230" t="str">
        <f>TEXT('01-DRAM-Model'!$B$151*100,"0")&amp;" / "&amp;TEXT('01-DRAM-Model'!$B$152*100,"0")&amp;" / "&amp;TEXT('01-DRAM-Model'!$B$153*100,"0")&amp;" / "&amp;TEXT('01-DRAM-Model'!$B$154*100,"0")&amp;" / "&amp;TEXT('01-DRAM-Model'!$B$155*100,"0")&amp;"%"</f>
        <v>15 / 38 / 25 / 17 / 5%</v>
      </c>
      <c r="D119" s="28"/>
      <c r="E119" s="151" t="s">
        <v>1192</v>
      </c>
      <c r="F119" s="151"/>
      <c r="G119" s="151"/>
      <c r="H119" s="151"/>
      <c r="I119" s="151"/>
      <c r="J119" s="151"/>
      <c r="K119" s="151"/>
      <c r="L119" s="151"/>
    </row>
    <row r="120" ht="30" customHeight="1" spans="1:12">
      <c r="A120" t="s" s="216">
        <v>1193</v>
      </c>
      <c r="B120" t="s" s="175">
        <v>1194</v>
      </c>
      <c r="C120" s="230" t="str">
        <f>TEXT('02-NAND-Model'!$B$83*100,"0")&amp;" / "&amp;TEXT('02-NAND-Model'!$B$84*100,"0")&amp;" / "&amp;TEXT('02-NAND-Model'!$B$85*100,"0")&amp;" / "&amp;TEXT('02-NAND-Model'!$B$86*100,"0")&amp;"%"</f>
        <v>24 / 44 / 27 / 5%</v>
      </c>
      <c r="D120" s="28"/>
      <c r="E120" s="151" t="s">
        <v>1195</v>
      </c>
      <c r="F120" s="151"/>
      <c r="G120" s="151"/>
      <c r="H120" s="151"/>
      <c r="I120" s="151"/>
      <c r="J120" s="151"/>
      <c r="K120" s="151"/>
      <c r="L120" s="151"/>
    </row>
    <row r="121" ht="54" customHeight="1" spans="1:12">
      <c r="A121" s="352" t="s">
        <v>1887</v>
      </c>
      <c r="B121" s="352"/>
      <c r="C121" s="352"/>
      <c r="D121" s="352"/>
      <c r="E121" s="352"/>
      <c r="F121" s="352"/>
      <c r="G121" s="352"/>
      <c r="H121" s="352"/>
      <c r="I121" s="352"/>
      <c r="J121" s="352"/>
      <c r="K121" s="352"/>
      <c r="L121" s="352"/>
    </row>
    <row r="123" ht="24" customHeight="1" spans="1:12">
      <c r="A123" s="355" t="s">
        <v>1888</v>
      </c>
      <c r="B123" s="355"/>
      <c r="C123" s="355"/>
      <c r="D123" s="355"/>
      <c r="E123" s="355"/>
      <c r="F123" s="355"/>
      <c r="G123" s="355"/>
      <c r="H123" s="355"/>
      <c r="I123" s="355"/>
      <c r="J123" s="355"/>
      <c r="K123" s="355"/>
      <c r="L123" s="355"/>
    </row>
    <row r="124" ht="31.5" customHeight="1" spans="1:12">
      <c r="A124" t="s" s="204">
        <v>1198</v>
      </c>
      <c r="B124" t="s" s="204">
        <v>1199</v>
      </c>
      <c r="C124" s="354" t="s">
        <v>1889</v>
      </c>
      <c r="D124" t="s" s="204">
        <v>1176</v>
      </c>
      <c r="E124" s="205" t="s">
        <v>1201</v>
      </c>
      <c r="F124" s="205"/>
      <c r="G124" s="205"/>
      <c r="H124" s="205"/>
      <c r="I124" s="205"/>
      <c r="J124" s="205"/>
      <c r="K124" s="205"/>
      <c r="L124" s="205"/>
    </row>
    <row r="125" ht="30" customHeight="1" spans="1:12">
      <c r="A125" t="s" s="217">
        <v>1202</v>
      </c>
      <c r="B125" s="46">
        <v>-0.0959006208803923</v>
      </c>
      <c r="C125" s="220">
        <f>'06-Inventory-Burn-v4'!$E$23</f>
        <v>-0.0539536584381055</v>
      </c>
      <c r="D125" s="236">
        <f>(C125-B125)*100</f>
        <v>4.19469624422868</v>
      </c>
      <c r="E125" s="151" t="str">
        <f>"Effective release "&amp;SUBSTITUTE(TEXT($B$17,"0.0%"),"-","−")&amp;" instead of 4.9% (coverage × φ), plus the 5% tail weight."</f>
        <v>Effective release 1.6% instead of 4.9% (coverage × φ), plus the 5% tail weight.</v>
      </c>
      <c r="F125" s="151"/>
      <c r="G125" s="151"/>
      <c r="H125" s="151"/>
      <c r="I125" s="151"/>
      <c r="J125" s="151"/>
      <c r="K125" s="151"/>
      <c r="L125" s="151"/>
    </row>
    <row r="126" ht="30" customHeight="1" spans="1:12">
      <c r="A126" t="s" s="217">
        <v>1203</v>
      </c>
      <c r="B126" s="46">
        <v>-0.06162802499963572</v>
      </c>
      <c r="C126" s="220">
        <f>'06-Inventory-Burn-v4'!$G$23</f>
        <v>-0.0372256495811009</v>
      </c>
      <c r="D126" s="236">
        <f>(C126-B126)*100</f>
        <v>2.44023754185349</v>
      </c>
      <c r="E126" s="151" t="str">
        <f>"Components on sheet 06 block [D]: HBM path "&amp;SUBSTITUTE(TEXT('06-Inventory-Burn-v4'!$D$42,"+0.0;-0.0;0.0"),"-","−")&amp;"pp"&amp;", inventory "&amp;SUBSTITUTE(TEXT('06-Inventory-Burn-v4'!$D$43,"+0.0;-0.0;0.0"),"-","−")&amp;"pp"&amp;", de-spec "&amp;SUBSTITUTE(TEXT('06-Inventory-Burn-v4'!$D$44,"+0.0;-0.0;0.0"),"-","−")&amp;"pp"&amp;"; the rest is the tail weight."</f>
        <v>Components on sheet 06 block [D]: HBM path −0.8pp, inventory −1.6pp, de-spec +2.5pp; the rest is the tail weight.</v>
      </c>
      <c r="F126" s="151"/>
      <c r="G126" s="151"/>
      <c r="H126" s="151"/>
      <c r="I126" s="151"/>
      <c r="J126" s="151"/>
      <c r="K126" s="151"/>
      <c r="L126" s="151"/>
    </row>
    <row r="127" ht="30" customHeight="1" spans="1:12">
      <c r="A127" t="s" s="217">
        <v>1204</v>
      </c>
      <c r="B127" s="46">
        <v>-0.1098126766991028</v>
      </c>
      <c r="C127" s="220">
        <f>'06-Inventory-Burn-v4'!$G$24</f>
        <v>-0.100743305136998</v>
      </c>
      <c r="D127" s="236">
        <f>(C127-B127)*100</f>
        <v>0.906937156210477</v>
      </c>
      <c r="E127" s="151" t="s">
        <v>1205</v>
      </c>
      <c r="F127" s="151"/>
      <c r="G127" s="151"/>
      <c r="H127" s="151"/>
      <c r="I127" s="151"/>
      <c r="J127" s="151"/>
      <c r="K127" s="151"/>
      <c r="L127" s="151"/>
    </row>
    <row r="128" ht="30" customHeight="1" spans="1:12">
      <c r="A128" t="s" s="217">
        <v>1206</v>
      </c>
      <c r="B128" s="241">
        <v>0.83</v>
      </c>
      <c r="C128" s="224">
        <f>'06-Inventory-Burn-v4'!$E$25</f>
        <v>0.53</v>
      </c>
      <c r="D128" s="236">
        <f>(C128-B128)*100</f>
        <v>-30</v>
      </c>
      <c r="E128" s="151" t="s">
        <v>1207</v>
      </c>
      <c r="F128" s="151"/>
      <c r="G128" s="151"/>
      <c r="H128" s="151"/>
      <c r="I128" s="151"/>
      <c r="J128" s="151"/>
      <c r="K128" s="151"/>
      <c r="L128" s="151"/>
    </row>
    <row r="129" ht="30" customHeight="1" spans="1:12">
      <c r="A129" t="s" s="217">
        <v>1208</v>
      </c>
      <c r="B129" s="241">
        <v>0.56</v>
      </c>
      <c r="C129" s="224">
        <f>'06-Inventory-Burn-v4'!$G$25</f>
        <v>0.53</v>
      </c>
      <c r="D129" s="236">
        <f>(C129-B129)*100</f>
        <v>-3</v>
      </c>
      <c r="E129" s="151" t="s">
        <v>1209</v>
      </c>
      <c r="F129" s="151"/>
      <c r="G129" s="151"/>
      <c r="H129" s="151"/>
      <c r="I129" s="151"/>
      <c r="J129" s="151"/>
      <c r="K129" s="151"/>
      <c r="L129" s="151"/>
    </row>
    <row r="130" ht="30" customHeight="1" spans="1:12">
      <c r="A130" t="s" s="217">
        <v>1210</v>
      </c>
      <c r="B130" s="241">
        <v>1</v>
      </c>
      <c r="C130" s="224">
        <f>$H$31</f>
        <v>0.95</v>
      </c>
      <c r="D130" s="236">
        <f>(C130-B130)*100</f>
        <v>-5</v>
      </c>
      <c r="E130" s="151" t="s">
        <v>1211</v>
      </c>
      <c r="F130" s="151"/>
      <c r="G130" s="151"/>
      <c r="H130" s="151"/>
      <c r="I130" s="151"/>
      <c r="J130" s="151"/>
      <c r="K130" s="151"/>
      <c r="L130" s="151"/>
    </row>
    <row r="131" ht="30" customHeight="1" spans="1:12">
      <c r="A131" t="s" s="217">
        <v>1212</v>
      </c>
      <c r="B131" s="241">
        <v>0.56</v>
      </c>
      <c r="C131" s="224">
        <f>$I$31</f>
        <v>0.53</v>
      </c>
      <c r="D131" s="236">
        <f>(C131-B131)*100</f>
        <v>-3</v>
      </c>
      <c r="E131" s="151" t="s">
        <v>1213</v>
      </c>
      <c r="F131" s="151"/>
      <c r="G131" s="151"/>
      <c r="H131" s="151"/>
      <c r="I131" s="151"/>
      <c r="J131" s="151"/>
      <c r="K131" s="151"/>
      <c r="L131" s="151"/>
    </row>
    <row r="132" ht="30" customHeight="1" spans="1:12">
      <c r="A132" t="s" s="217">
        <v>1214</v>
      </c>
      <c r="B132" s="46">
        <v>-0.179362063829107</v>
      </c>
      <c r="C132" s="220">
        <f>'06-Inventory-Burn-v4'!$G$35</f>
        <v>-0.145805313057055</v>
      </c>
      <c r="D132" s="236">
        <f>(C132-B132)*100</f>
        <v>3.35567507720516</v>
      </c>
      <c r="E132" s="151" t="s">
        <v>1215</v>
      </c>
      <c r="F132" s="151"/>
      <c r="G132" s="151"/>
      <c r="H132" s="151"/>
      <c r="I132" s="151"/>
      <c r="J132" s="151"/>
      <c r="K132" s="151"/>
      <c r="L132" s="151"/>
    </row>
    <row r="133" ht="30" customHeight="1" spans="1:12">
      <c r="A133" t="s" s="217">
        <v>1216</v>
      </c>
      <c r="B133" s="46">
        <v>-0.10652912863708698</v>
      </c>
      <c r="C133" s="220">
        <f>'06-Inventory-Burn-v4'!$H$35</f>
        <v>-0.0791666393226184</v>
      </c>
      <c r="D133" s="236">
        <f>(C133-B133)*100</f>
        <v>2.73624893144686</v>
      </c>
      <c r="E133" s="151" t="s">
        <v>1217</v>
      </c>
      <c r="F133" s="151"/>
      <c r="G133" s="151"/>
      <c r="H133" s="151"/>
      <c r="I133" s="151"/>
      <c r="J133" s="151"/>
      <c r="K133" s="151"/>
      <c r="L133" s="151"/>
    </row>
    <row r="134" ht="30" customHeight="1" spans="1:12">
      <c r="A134" t="s" s="217">
        <v>1218</v>
      </c>
      <c r="B134" s="46">
        <v>-0.20641031604741922</v>
      </c>
      <c r="C134" s="220">
        <f>'06-Inventory-Burn-v4'!$H$36</f>
        <v>-0.222717427990463</v>
      </c>
      <c r="D134" s="236">
        <f>(C134-B134)*100</f>
        <v>-1.6307111943044</v>
      </c>
      <c r="E134" s="151" t="s">
        <v>1219</v>
      </c>
      <c r="F134" s="151"/>
      <c r="G134" s="151"/>
      <c r="H134" s="151"/>
      <c r="I134" s="151"/>
      <c r="J134" s="151"/>
      <c r="K134" s="151"/>
      <c r="L134" s="151"/>
    </row>
    <row r="135" ht="30" customHeight="1" spans="1:12">
      <c r="A135" t="s" s="217">
        <v>1220</v>
      </c>
      <c r="B135" t="s" s="15">
        <v>1221</v>
      </c>
      <c r="C135" s="220">
        <f>$H$43</f>
        <v>-0.151022100173209</v>
      </c>
      <c r="D135" t="s" s="15">
        <v>1221</v>
      </c>
      <c r="E135" s="151" t="s">
        <v>1222</v>
      </c>
      <c r="F135" s="151"/>
      <c r="G135" s="151"/>
      <c r="H135" s="151"/>
      <c r="I135" s="151"/>
      <c r="J135" s="151"/>
      <c r="K135" s="151"/>
      <c r="L135" s="151"/>
    </row>
    <row r="136" ht="30" customHeight="1" spans="1:12">
      <c r="A136" t="s" s="217">
        <v>1223</v>
      </c>
      <c r="B136" t="s" s="15">
        <v>1221</v>
      </c>
      <c r="C136" s="220">
        <f>$I$43</f>
        <v>-0.173785581362554</v>
      </c>
      <c r="D136" t="s" s="15">
        <v>1221</v>
      </c>
      <c r="E136" s="151" t="s">
        <v>1224</v>
      </c>
      <c r="F136" s="151"/>
      <c r="G136" s="151"/>
      <c r="H136" s="151"/>
      <c r="I136" s="151"/>
      <c r="J136" s="151"/>
      <c r="K136" s="151"/>
      <c r="L136" s="151"/>
    </row>
    <row r="137" ht="30" customHeight="1" spans="1:12">
      <c r="A137" t="s" s="217">
        <v>1225</v>
      </c>
      <c r="B137" s="46">
        <v>0.18461040022397412</v>
      </c>
      <c r="C137" s="220">
        <f>'06-Inventory-Burn-v4'!$J$19</f>
        <v>0.220072079478387</v>
      </c>
      <c r="D137" s="236">
        <f>(C137-B137)*100</f>
        <v>3.54616792544125</v>
      </c>
      <c r="E137" s="151" t="s">
        <v>1226</v>
      </c>
      <c r="F137" s="151"/>
      <c r="G137" s="151"/>
      <c r="H137" s="151"/>
      <c r="I137" s="151"/>
      <c r="J137" s="151"/>
      <c r="K137" s="151"/>
      <c r="L137" s="151"/>
    </row>
    <row r="138" ht="30" customHeight="1" spans="1:12">
      <c r="A138" t="s" s="217">
        <v>1227</v>
      </c>
      <c r="B138" s="46">
        <v>-0.04942307692307692</v>
      </c>
      <c r="C138" s="220">
        <f>-$B$17</f>
        <v>-0.0158153846153846</v>
      </c>
      <c r="D138" s="236">
        <f>(C138-B138)*100</f>
        <v>3.36076923076923</v>
      </c>
      <c r="E138" s="151" t="s">
        <v>1228</v>
      </c>
      <c r="F138" s="151"/>
      <c r="G138" s="151"/>
      <c r="H138" s="151"/>
      <c r="I138" s="151"/>
      <c r="J138" s="151"/>
      <c r="K138" s="151"/>
      <c r="L138" s="151"/>
    </row>
    <row r="139" ht="33" customHeight="1" spans="1:12">
      <c r="A139" s="353" t="str">
        <f>"HBM wafer penalty used for 2027 / 2028: v4.0 2.60× / 2.60×; v4.1 "&amp;TEXT($B$19,"0.00")&amp;"×"&amp;" / "&amp;TEXT($B$20,"0.00")&amp;"×"&amp;". v4.0 column: values as sent on 2026-09-19 (typed, not linked). Direction unchanged: short in 2027 on every basis that measures a level; the growth gap widens in the base case through 2027 and, on the v4.2 inputs, still in 2028 (sheet 11 [E] separates v4.1 from v4.2)."</f>
        <v>HBM wafer penalty used for 2027 / 2028: v4.0 2.60× / 2.60×; v4.1 3.00× / 3.30×. v4.0 column: values as sent on 2026-09-19 (typed, not linked). Direction unchanged: short in 2027 on every basis that measures a level; the growth gap widens in the base case through 2027 and, on the v4.2 inputs, still in 2028 (sheet 11 [E] separates v4.1 from v4.2).</v>
      </c>
      <c r="B139" s="353"/>
      <c r="C139" s="353"/>
      <c r="D139" s="353"/>
      <c r="E139" s="353"/>
      <c r="F139" s="353"/>
      <c r="G139" s="353"/>
      <c r="H139" s="353"/>
      <c r="I139" s="353"/>
      <c r="J139" s="353"/>
      <c r="K139" s="353"/>
      <c r="L139" s="353"/>
    </row>
    <row r="140" ht="30" customHeight="1" spans="1:12">
      <c r="A140" s="356" t="s">
        <v>1890</v>
      </c>
      <c r="B140" s="356"/>
      <c r="C140" s="356"/>
      <c r="D140" s="356"/>
      <c r="E140" s="356"/>
      <c r="F140" s="356"/>
      <c r="G140" s="356"/>
      <c r="H140" s="356"/>
      <c r="I140" s="356"/>
      <c r="J140" s="356"/>
      <c r="K140" s="356"/>
      <c r="L140" s="356"/>
    </row>
  </sheetData>
  <mergeCells count="131">
    <mergeCell ref="A1:L1"/>
    <mergeCell ref="A2:L2"/>
    <mergeCell ref="A4:L4"/>
    <mergeCell ref="A6:L6"/>
    <mergeCell ref="A7:L7"/>
    <mergeCell ref="C8:G8"/>
    <mergeCell ref="J8:L8"/>
    <mergeCell ref="C9:G9"/>
    <mergeCell ref="J9:L9"/>
    <mergeCell ref="C10:G10"/>
    <mergeCell ref="J10:L10"/>
    <mergeCell ref="C11:G11"/>
    <mergeCell ref="J11:L11"/>
    <mergeCell ref="C12:G12"/>
    <mergeCell ref="J12:L12"/>
    <mergeCell ref="C13:G13"/>
    <mergeCell ref="J13:L13"/>
    <mergeCell ref="C14:G14"/>
    <mergeCell ref="J14:L14"/>
    <mergeCell ref="C15:G15"/>
    <mergeCell ref="J15:L15"/>
    <mergeCell ref="C16:G16"/>
    <mergeCell ref="J16:L16"/>
    <mergeCell ref="C17:L17"/>
    <mergeCell ref="C18:L18"/>
    <mergeCell ref="C19:L19"/>
    <mergeCell ref="C20:L20"/>
    <mergeCell ref="A22:L22"/>
    <mergeCell ref="A23:L23"/>
    <mergeCell ref="A32:L32"/>
    <mergeCell ref="A34:L34"/>
    <mergeCell ref="A35:L35"/>
    <mergeCell ref="A47:L47"/>
    <mergeCell ref="A49:L49"/>
    <mergeCell ref="F50:H50"/>
    <mergeCell ref="I50:L50"/>
    <mergeCell ref="F51:H51"/>
    <mergeCell ref="I51:L51"/>
    <mergeCell ref="F52:H52"/>
    <mergeCell ref="I52:L52"/>
    <mergeCell ref="F53:H53"/>
    <mergeCell ref="I53:L53"/>
    <mergeCell ref="F54:H54"/>
    <mergeCell ref="I54:L54"/>
    <mergeCell ref="F55:H55"/>
    <mergeCell ref="I55:L55"/>
    <mergeCell ref="F56:H56"/>
    <mergeCell ref="I56:L56"/>
    <mergeCell ref="F57:H57"/>
    <mergeCell ref="I57:L57"/>
    <mergeCell ref="F58:H58"/>
    <mergeCell ref="I58:L58"/>
    <mergeCell ref="F59:H59"/>
    <mergeCell ref="I59:L59"/>
    <mergeCell ref="F60:H60"/>
    <mergeCell ref="I60:L60"/>
    <mergeCell ref="A61:L61"/>
    <mergeCell ref="A63:L63"/>
    <mergeCell ref="C64:L64"/>
    <mergeCell ref="C65:L65"/>
    <mergeCell ref="C66:L66"/>
    <mergeCell ref="C67:L67"/>
    <mergeCell ref="C68:L68"/>
    <mergeCell ref="C69:L69"/>
    <mergeCell ref="C70:L70"/>
    <mergeCell ref="C71:L71"/>
    <mergeCell ref="C72:L72"/>
    <mergeCell ref="C73:L73"/>
    <mergeCell ref="A74:L74"/>
    <mergeCell ref="G76:L76"/>
    <mergeCell ref="G77:L77"/>
    <mergeCell ref="G78:L78"/>
    <mergeCell ref="G79:L79"/>
    <mergeCell ref="A80:L80"/>
    <mergeCell ref="A82:L82"/>
    <mergeCell ref="A83:L83"/>
    <mergeCell ref="H84:L84"/>
    <mergeCell ref="H85:L85"/>
    <mergeCell ref="H86:L86"/>
    <mergeCell ref="H87:L87"/>
    <mergeCell ref="H88:L88"/>
    <mergeCell ref="H89:L89"/>
    <mergeCell ref="H90:L90"/>
    <mergeCell ref="A91:L91"/>
    <mergeCell ref="C93:L93"/>
    <mergeCell ref="C94:L94"/>
    <mergeCell ref="C95:L95"/>
    <mergeCell ref="C96:L96"/>
    <mergeCell ref="C97:L97"/>
    <mergeCell ref="C98:L98"/>
    <mergeCell ref="C99:L99"/>
    <mergeCell ref="C100:L100"/>
    <mergeCell ref="C101:L101"/>
    <mergeCell ref="C102:L102"/>
    <mergeCell ref="A103:L103"/>
    <mergeCell ref="A105:L105"/>
    <mergeCell ref="E106:L106"/>
    <mergeCell ref="E107:L107"/>
    <mergeCell ref="E108:L108"/>
    <mergeCell ref="E109:L109"/>
    <mergeCell ref="E110:L110"/>
    <mergeCell ref="E111:L111"/>
    <mergeCell ref="E112:L112"/>
    <mergeCell ref="E113:L113"/>
    <mergeCell ref="E114:L114"/>
    <mergeCell ref="E115:L115"/>
    <mergeCell ref="E116:L116"/>
    <mergeCell ref="E117:L117"/>
    <mergeCell ref="E118:L118"/>
    <mergeCell ref="E119:L119"/>
    <mergeCell ref="E120:L120"/>
    <mergeCell ref="A121:L121"/>
    <mergeCell ref="A123:L123"/>
    <mergeCell ref="E124:L124"/>
    <mergeCell ref="E125:L125"/>
    <mergeCell ref="E126:L126"/>
    <mergeCell ref="E127:L127"/>
    <mergeCell ref="E128:L128"/>
    <mergeCell ref="E129:L129"/>
    <mergeCell ref="E130:L130"/>
    <mergeCell ref="E131:L131"/>
    <mergeCell ref="E132:L132"/>
    <mergeCell ref="E133:L133"/>
    <mergeCell ref="E134:L134"/>
    <mergeCell ref="E135:L135"/>
    <mergeCell ref="E136:L136"/>
    <mergeCell ref="E137:L137"/>
    <mergeCell ref="E138:L138"/>
    <mergeCell ref="A139:L139"/>
    <mergeCell ref="A62:L62"/>
    <mergeCell ref="A140:L140"/>
  </mergeCells>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5121" r:id="rId3" name="Scroll Bar 1">
              <controlPr defaultSize="0" print="0" autoLine="0" autoPict="0" altText="">
                <anchor moveWithCells="1">
                  <from>
                    <xdr:col>2</xdr:col>
                    <xdr:colOff>19050</xdr:colOff>
                    <xdr:row>8</xdr:row>
                    <xdr:rowOff>23813</xdr:rowOff>
                  </from>
                  <to>
                    <xdr:col>7</xdr:col>
                    <xdr:colOff>0</xdr:colOff>
                    <xdr:row>9</xdr:row>
                    <xdr:rowOff>0</xdr:rowOff>
                  </to>
                </anchor>
              </controlPr>
            </control>
          </mc:Choice>
        </mc:AlternateContent>
        <mc:AlternateContent xmlns:mc="http://schemas.openxmlformats.org/markup-compatibility/2006">
          <mc:Choice Requires="x14">
            <control shapeId="5122" r:id="rId4" name="Scroll Bar 2">
              <controlPr defaultSize="0" print="0" autoLine="0" autoPict="0" altText="">
                <anchor moveWithCells="1">
                  <from>
                    <xdr:col>2</xdr:col>
                    <xdr:colOff>19050</xdr:colOff>
                    <xdr:row>9</xdr:row>
                    <xdr:rowOff>23813</xdr:rowOff>
                  </from>
                  <to>
                    <xdr:col>7</xdr:col>
                    <xdr:colOff>0</xdr:colOff>
                    <xdr:row>10</xdr:row>
                    <xdr:rowOff>0</xdr:rowOff>
                  </to>
                </anchor>
              </controlPr>
            </control>
          </mc:Choice>
        </mc:AlternateContent>
        <mc:AlternateContent xmlns:mc="http://schemas.openxmlformats.org/markup-compatibility/2006">
          <mc:Choice Requires="x14">
            <control shapeId="5123" r:id="rId5" name="Scroll Bar 3">
              <controlPr defaultSize="0" print="0" autoLine="0" autoPict="0" altText="">
                <anchor moveWithCells="1">
                  <from>
                    <xdr:col>2</xdr:col>
                    <xdr:colOff>19050</xdr:colOff>
                    <xdr:row>10</xdr:row>
                    <xdr:rowOff>23813</xdr:rowOff>
                  </from>
                  <to>
                    <xdr:col>7</xdr:col>
                    <xdr:colOff>0</xdr:colOff>
                    <xdr:row>11</xdr:row>
                    <xdr:rowOff>0</xdr:rowOff>
                  </to>
                </anchor>
              </controlPr>
            </control>
          </mc:Choice>
        </mc:AlternateContent>
        <mc:AlternateContent xmlns:mc="http://schemas.openxmlformats.org/markup-compatibility/2006">
          <mc:Choice Requires="x14">
            <control shapeId="5124" r:id="rId6" name="Scroll Bar 4">
              <controlPr defaultSize="0" print="0" autoLine="0" autoPict="0" altText="">
                <anchor moveWithCells="1">
                  <from>
                    <xdr:col>2</xdr:col>
                    <xdr:colOff>19050</xdr:colOff>
                    <xdr:row>11</xdr:row>
                    <xdr:rowOff>23813</xdr:rowOff>
                  </from>
                  <to>
                    <xdr:col>7</xdr:col>
                    <xdr:colOff>0</xdr:colOff>
                    <xdr:row>12</xdr:row>
                    <xdr:rowOff>0</xdr:rowOff>
                  </to>
                </anchor>
              </controlPr>
            </control>
          </mc:Choice>
        </mc:AlternateContent>
        <mc:AlternateContent xmlns:mc="http://schemas.openxmlformats.org/markup-compatibility/2006">
          <mc:Choice Requires="x14">
            <control shapeId="5125" r:id="rId7" name="Scroll Bar 5">
              <controlPr defaultSize="0" print="0" autoLine="0" autoPict="0" altText="">
                <anchor moveWithCells="1">
                  <from>
                    <xdr:col>2</xdr:col>
                    <xdr:colOff>19050</xdr:colOff>
                    <xdr:row>12</xdr:row>
                    <xdr:rowOff>23813</xdr:rowOff>
                  </from>
                  <to>
                    <xdr:col>7</xdr:col>
                    <xdr:colOff>0</xdr:colOff>
                    <xdr:row>13</xdr:row>
                    <xdr:rowOff>0</xdr:rowOff>
                  </to>
                </anchor>
              </controlPr>
            </control>
          </mc:Choice>
        </mc:AlternateContent>
        <mc:AlternateContent xmlns:mc="http://schemas.openxmlformats.org/markup-compatibility/2006">
          <mc:Choice Requires="x14">
            <control shapeId="5126" r:id="rId8" name="Scroll Bar 6">
              <controlPr defaultSize="0" print="0" autoLine="0" autoPict="0" altText="">
                <anchor moveWithCells="1">
                  <from>
                    <xdr:col>2</xdr:col>
                    <xdr:colOff>19050</xdr:colOff>
                    <xdr:row>13</xdr:row>
                    <xdr:rowOff>23813</xdr:rowOff>
                  </from>
                  <to>
                    <xdr:col>7</xdr:col>
                    <xdr:colOff>0</xdr:colOff>
                    <xdr:row>14</xdr:row>
                    <xdr:rowOff>0</xdr:rowOff>
                  </to>
                </anchor>
              </controlPr>
            </control>
          </mc:Choice>
        </mc:AlternateContent>
        <mc:AlternateContent xmlns:mc="http://schemas.openxmlformats.org/markup-compatibility/2006">
          <mc:Choice Requires="x14">
            <control shapeId="5127" r:id="rId9" name="Scroll Bar 7">
              <controlPr defaultSize="0" print="0" autoLine="0" autoPict="0" altText="">
                <anchor moveWithCells="1">
                  <from>
                    <xdr:col>2</xdr:col>
                    <xdr:colOff>19050</xdr:colOff>
                    <xdr:row>14</xdr:row>
                    <xdr:rowOff>23813</xdr:rowOff>
                  </from>
                  <to>
                    <xdr:col>7</xdr:col>
                    <xdr:colOff>0</xdr:colOff>
                    <xdr:row>15</xdr:row>
                    <xdr:rowOff>0</xdr:rowOff>
                  </to>
                </anchor>
              </controlPr>
            </control>
          </mc:Choice>
        </mc:AlternateContent>
        <mc:AlternateContent xmlns:mc="http://schemas.openxmlformats.org/markup-compatibility/2006">
          <mc:Choice Requires="x14">
            <control shapeId="5128" r:id="rId10" name="Scroll Bar 8">
              <controlPr defaultSize="0" print="0" autoLine="0" autoPict="0" altText="">
                <anchor moveWithCells="1">
                  <from>
                    <xdr:col>2</xdr:col>
                    <xdr:colOff>19050</xdr:colOff>
                    <xdr:row>15</xdr:row>
                    <xdr:rowOff>23813</xdr:rowOff>
                  </from>
                  <to>
                    <xdr:col>7</xdr:col>
                    <xdr:colOff>0</xdr:colOff>
                    <xdr:row>16</xdr:row>
                    <xdr:rowOff>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5B4A8B"/>
  </sheetPr>
  <dimension ref="A1:F69"/>
  <sheetViews>
    <sheetView showGridLines="0" zoomScaleNormal="100" workbookViewId="0">
      <selection sqref="A1"/>
    </sheetView>
  </sheetViews>
  <sheetFormatPr defaultColWidth="8.6640625" defaultRowHeight="14.25" x14ac:dyDescent="0.45"/>
  <cols>
    <col min="1" max="1" width="6" customWidth="1"/>
    <col min="2" max="2" width="10" customWidth="1"/>
    <col min="3" max="3" width="30" customWidth="1"/>
    <col min="4" max="4" width="58" customWidth="1"/>
    <col min="5" max="5" width="58" customWidth="1"/>
    <col min="6" max="6" width="12" customWidth="1"/>
  </cols>
  <sheetData>
    <row r="1" ht="37.5" customHeight="1" spans="1:6">
      <c r="A1" s="357" t="s">
        <v>1891</v>
      </c>
      <c r="B1" s="357"/>
      <c r="C1" s="357"/>
      <c r="D1" s="357"/>
      <c r="E1" s="357"/>
      <c r="F1" s="357"/>
    </row>
    <row r="2" ht="45" customHeight="1" spans="1:6">
      <c r="A2" s="327" t="s">
        <v>1892</v>
      </c>
      <c r="B2" s="327"/>
      <c r="C2" s="327"/>
      <c r="D2" s="327"/>
      <c r="E2" s="327"/>
      <c r="F2" s="327"/>
    </row>
    <row r="4" ht="27" customHeight="1" spans="1:6">
      <c r="A4" t="s" s="2">
        <v>1379</v>
      </c>
      <c r="B4" t="s" s="2">
        <v>1380</v>
      </c>
      <c r="C4" t="s" s="2">
        <v>1381</v>
      </c>
      <c r="D4" t="s" s="2">
        <v>1382</v>
      </c>
      <c r="E4" t="s" s="2">
        <v>1383</v>
      </c>
      <c r="F4" t="s" s="2">
        <v>1384</v>
      </c>
    </row>
    <row r="5" ht="56" customHeight="1" spans="1:6">
      <c r="A5" s="238">
        <v>1</v>
      </c>
      <c r="B5" t="s" s="175">
        <v>1385</v>
      </c>
      <c r="C5" t="s" s="151">
        <v>1386</v>
      </c>
      <c r="D5" t="s" s="151">
        <v>1387</v>
      </c>
      <c r="E5" t="s" s="151">
        <v>1388</v>
      </c>
      <c r="F5" t="s" s="175">
        <v>1389</v>
      </c>
    </row>
    <row r="6" ht="32" customHeight="1" spans="1:6">
      <c r="A6" s="238">
        <v>2</v>
      </c>
      <c r="B6" t="s" s="175">
        <v>1385</v>
      </c>
      <c r="C6" t="s" s="151">
        <v>1390</v>
      </c>
      <c r="D6" t="s" s="151">
        <v>1391</v>
      </c>
      <c r="E6" t="s" s="151">
        <v>1392</v>
      </c>
      <c r="F6" t="s" s="175">
        <v>1393</v>
      </c>
    </row>
    <row r="7" ht="32" customHeight="1" spans="1:6">
      <c r="A7" s="238">
        <v>3</v>
      </c>
      <c r="B7" t="s" s="175">
        <v>1385</v>
      </c>
      <c r="C7" t="s" s="151">
        <v>1394</v>
      </c>
      <c r="D7" t="s" s="151">
        <v>1395</v>
      </c>
      <c r="E7" t="s" s="151">
        <v>1396</v>
      </c>
      <c r="F7" t="s" s="175">
        <v>1389</v>
      </c>
    </row>
    <row r="8" ht="44" customHeight="1" spans="1:6">
      <c r="A8" s="238">
        <v>4</v>
      </c>
      <c r="B8" t="s" s="175">
        <v>1385</v>
      </c>
      <c r="C8" t="s" s="151">
        <v>1397</v>
      </c>
      <c r="D8" t="s" s="151">
        <v>1398</v>
      </c>
      <c r="E8" t="s" s="151">
        <v>1399</v>
      </c>
      <c r="F8" t="s" s="175">
        <v>1389</v>
      </c>
    </row>
    <row r="9" ht="56" customHeight="1" spans="1:6">
      <c r="A9" s="238">
        <v>5</v>
      </c>
      <c r="B9" t="s" s="175">
        <v>1400</v>
      </c>
      <c r="C9" t="s" s="151">
        <v>1401</v>
      </c>
      <c r="D9" t="s" s="151">
        <v>1402</v>
      </c>
      <c r="E9" t="s" s="151">
        <v>1403</v>
      </c>
      <c r="F9" t="s" s="175">
        <v>1393</v>
      </c>
    </row>
    <row r="10" ht="56" customHeight="1" spans="1:6">
      <c r="A10" s="238">
        <v>6</v>
      </c>
      <c r="B10" t="s" s="175">
        <v>1404</v>
      </c>
      <c r="C10" t="s" s="151">
        <v>1405</v>
      </c>
      <c r="D10" t="s" s="151">
        <v>1406</v>
      </c>
      <c r="E10" t="s" s="151">
        <v>1407</v>
      </c>
      <c r="F10" t="s" s="175">
        <v>1408</v>
      </c>
    </row>
    <row r="11" ht="56" customHeight="1" spans="1:6">
      <c r="A11" s="238">
        <v>7</v>
      </c>
      <c r="B11" t="s" s="175">
        <v>1404</v>
      </c>
      <c r="C11" t="s" s="151">
        <v>1409</v>
      </c>
      <c r="D11" t="s" s="151">
        <v>1410</v>
      </c>
      <c r="E11" t="s" s="151">
        <v>1411</v>
      </c>
      <c r="F11" t="s" s="175">
        <v>1393</v>
      </c>
    </row>
    <row r="12" ht="56" customHeight="1" spans="1:6">
      <c r="A12" s="238">
        <v>8</v>
      </c>
      <c r="B12" t="s" s="175">
        <v>1412</v>
      </c>
      <c r="C12" t="s" s="151">
        <v>1413</v>
      </c>
      <c r="D12" t="s" s="151">
        <v>1414</v>
      </c>
      <c r="E12" t="s" s="151">
        <v>1415</v>
      </c>
      <c r="F12" t="s" s="175">
        <v>1416</v>
      </c>
    </row>
    <row r="13" ht="44" customHeight="1" spans="1:6">
      <c r="A13" s="238">
        <v>9</v>
      </c>
      <c r="B13" t="s" s="175">
        <v>1417</v>
      </c>
      <c r="C13" t="s" s="151">
        <v>1418</v>
      </c>
      <c r="D13" t="s" s="151">
        <v>1419</v>
      </c>
      <c r="E13" t="s" s="151">
        <v>1420</v>
      </c>
      <c r="F13" t="s" s="175">
        <v>1408</v>
      </c>
    </row>
    <row r="14" ht="32" customHeight="1" spans="1:6">
      <c r="A14" s="238">
        <v>10</v>
      </c>
      <c r="B14" t="s" s="175">
        <v>1417</v>
      </c>
      <c r="C14" t="s" s="151">
        <v>1421</v>
      </c>
      <c r="D14" t="s" s="151">
        <v>1422</v>
      </c>
      <c r="E14" t="s" s="151">
        <v>1423</v>
      </c>
      <c r="F14" t="s" s="175">
        <v>1416</v>
      </c>
    </row>
    <row r="15" ht="32" customHeight="1" spans="1:6">
      <c r="A15" s="238">
        <v>11</v>
      </c>
      <c r="B15" t="s" s="175">
        <v>1417</v>
      </c>
      <c r="C15" t="s" s="151">
        <v>1424</v>
      </c>
      <c r="D15" t="s" s="151">
        <v>1425</v>
      </c>
      <c r="E15" t="s" s="151">
        <v>1426</v>
      </c>
      <c r="F15" t="s" s="175">
        <v>1389</v>
      </c>
    </row>
    <row r="16" ht="44" customHeight="1" spans="1:6">
      <c r="A16" s="238">
        <v>12</v>
      </c>
      <c r="B16" t="s" s="175">
        <v>1417</v>
      </c>
      <c r="C16" t="s" s="151">
        <v>1427</v>
      </c>
      <c r="D16" t="s" s="151">
        <v>1428</v>
      </c>
      <c r="E16" t="s" s="151">
        <v>1429</v>
      </c>
      <c r="F16" t="s" s="175">
        <v>1393</v>
      </c>
    </row>
    <row r="17" ht="44" customHeight="1" spans="1:6">
      <c r="A17" s="238">
        <v>13</v>
      </c>
      <c r="B17" t="s" s="175">
        <v>1430</v>
      </c>
      <c r="C17" t="s" s="151">
        <v>1431</v>
      </c>
      <c r="D17" t="s" s="151">
        <v>1432</v>
      </c>
      <c r="E17" t="s" s="151">
        <v>1433</v>
      </c>
      <c r="F17" t="s" s="175">
        <v>1434</v>
      </c>
    </row>
    <row r="18" ht="32" customHeight="1" spans="1:6">
      <c r="A18" s="238">
        <v>14</v>
      </c>
      <c r="B18" t="s" s="175">
        <v>1430</v>
      </c>
      <c r="C18" t="s" s="151">
        <v>1435</v>
      </c>
      <c r="D18" t="s" s="151">
        <v>1436</v>
      </c>
      <c r="E18" t="s" s="151">
        <v>1437</v>
      </c>
      <c r="F18" t="s" s="175">
        <v>1393</v>
      </c>
    </row>
    <row r="19" ht="44" customHeight="1" spans="1:6">
      <c r="A19" s="238">
        <v>15</v>
      </c>
      <c r="B19" t="s" s="175">
        <v>1438</v>
      </c>
      <c r="C19" t="s" s="151">
        <v>1439</v>
      </c>
      <c r="D19" t="s" s="151">
        <v>1440</v>
      </c>
      <c r="E19" t="s" s="151">
        <v>1441</v>
      </c>
      <c r="F19" t="s" s="175">
        <v>1393</v>
      </c>
    </row>
    <row r="20" ht="24" customHeight="1" spans="1:6">
      <c r="A20" s="238">
        <v>16</v>
      </c>
      <c r="B20" t="s" s="175">
        <v>1442</v>
      </c>
      <c r="C20" t="s" s="151">
        <v>1443</v>
      </c>
      <c r="D20" t="s" s="151">
        <v>1444</v>
      </c>
      <c r="E20" t="s" s="151">
        <v>1445</v>
      </c>
      <c r="F20" t="s" s="175">
        <v>1446</v>
      </c>
    </row>
    <row r="21" ht="44" customHeight="1" spans="1:6">
      <c r="A21" s="238">
        <v>17</v>
      </c>
      <c r="B21" t="s" s="175">
        <v>1442</v>
      </c>
      <c r="C21" t="s" s="151">
        <v>1447</v>
      </c>
      <c r="D21" t="s" s="151">
        <v>1448</v>
      </c>
      <c r="E21" t="s" s="151">
        <v>1449</v>
      </c>
      <c r="F21" t="s" s="175">
        <v>1450</v>
      </c>
    </row>
    <row r="22" ht="44" customHeight="1" spans="1:6">
      <c r="A22" s="238">
        <v>18</v>
      </c>
      <c r="B22" t="s" s="175">
        <v>1451</v>
      </c>
      <c r="C22" t="s" s="151">
        <v>1452</v>
      </c>
      <c r="D22" t="s" s="151">
        <v>1453</v>
      </c>
      <c r="E22" t="s" s="151">
        <v>1454</v>
      </c>
      <c r="F22" t="s" s="175">
        <v>1450</v>
      </c>
    </row>
    <row r="23" ht="32" customHeight="1" spans="1:6">
      <c r="A23" s="238">
        <v>19</v>
      </c>
      <c r="B23" t="s" s="175">
        <v>1442</v>
      </c>
      <c r="C23" t="s" s="151">
        <v>1455</v>
      </c>
      <c r="D23" t="s" s="151">
        <v>1456</v>
      </c>
      <c r="E23" t="s" s="151">
        <v>1457</v>
      </c>
      <c r="F23" t="s" s="175">
        <v>1450</v>
      </c>
    </row>
    <row r="24" ht="32" customHeight="1" spans="1:6">
      <c r="A24" s="238">
        <v>20</v>
      </c>
      <c r="B24" t="s" s="175">
        <v>1442</v>
      </c>
      <c r="C24" t="s" s="151">
        <v>1458</v>
      </c>
      <c r="D24" t="s" s="151">
        <v>1459</v>
      </c>
      <c r="E24" t="s" s="151">
        <v>1460</v>
      </c>
      <c r="F24" t="s" s="175">
        <v>1450</v>
      </c>
    </row>
    <row r="25" ht="32" customHeight="1" spans="1:6">
      <c r="A25" s="238">
        <v>21</v>
      </c>
      <c r="B25" t="s" s="175">
        <v>1442</v>
      </c>
      <c r="C25" t="s" s="151">
        <v>1461</v>
      </c>
      <c r="D25" t="s" s="151">
        <v>1462</v>
      </c>
      <c r="E25" t="s" s="151">
        <v>1463</v>
      </c>
      <c r="F25" t="s" s="175">
        <v>1450</v>
      </c>
    </row>
    <row r="26" ht="44" customHeight="1" spans="1:6">
      <c r="A26" s="238">
        <v>22</v>
      </c>
      <c r="B26" t="s" s="175">
        <v>1442</v>
      </c>
      <c r="C26" t="s" s="151">
        <v>1464</v>
      </c>
      <c r="D26" t="s" s="151">
        <v>1465</v>
      </c>
      <c r="E26" t="s" s="151">
        <v>1466</v>
      </c>
      <c r="F26" t="s" s="175">
        <v>1450</v>
      </c>
    </row>
    <row r="27" ht="24" customHeight="1" spans="1:6">
      <c r="A27" s="238">
        <v>23</v>
      </c>
      <c r="B27" t="s" s="175">
        <v>1467</v>
      </c>
      <c r="C27" t="s" s="151">
        <v>1468</v>
      </c>
      <c r="D27" t="s" s="151">
        <v>1469</v>
      </c>
      <c r="E27" t="s" s="151">
        <v>1470</v>
      </c>
      <c r="F27" t="s" s="175">
        <v>1450</v>
      </c>
    </row>
    <row r="28" ht="44" customHeight="1" spans="1:6">
      <c r="A28" s="238">
        <v>24</v>
      </c>
      <c r="B28" t="s" s="175">
        <v>1467</v>
      </c>
      <c r="C28" t="s" s="151">
        <v>1471</v>
      </c>
      <c r="D28" t="s" s="151">
        <v>1472</v>
      </c>
      <c r="E28" t="s" s="151">
        <v>1473</v>
      </c>
      <c r="F28" t="s" s="175">
        <v>1450</v>
      </c>
    </row>
    <row r="29" ht="32" customHeight="1" spans="1:6">
      <c r="A29" s="238">
        <v>25</v>
      </c>
      <c r="B29" t="s" s="175">
        <v>1467</v>
      </c>
      <c r="C29" t="s" s="151">
        <v>1474</v>
      </c>
      <c r="D29" t="s" s="151">
        <v>1475</v>
      </c>
      <c r="E29" t="s" s="151">
        <v>1476</v>
      </c>
      <c r="F29" t="s" s="175">
        <v>1450</v>
      </c>
    </row>
    <row r="30" ht="44" customHeight="1" spans="1:6">
      <c r="A30" s="238">
        <v>26</v>
      </c>
      <c r="B30" t="s" s="175">
        <v>1477</v>
      </c>
      <c r="C30" t="s" s="151">
        <v>1478</v>
      </c>
      <c r="D30" t="s" s="151">
        <v>1479</v>
      </c>
      <c r="E30" t="s" s="151">
        <v>1480</v>
      </c>
      <c r="F30" t="s" s="175">
        <v>1450</v>
      </c>
    </row>
    <row r="31" ht="44" customHeight="1" spans="1:6">
      <c r="A31" s="238">
        <v>27</v>
      </c>
      <c r="B31" t="s" s="175">
        <v>1477</v>
      </c>
      <c r="C31" t="s" s="151">
        <v>1481</v>
      </c>
      <c r="D31" t="s" s="151">
        <v>1482</v>
      </c>
      <c r="E31" t="s" s="151">
        <v>1483</v>
      </c>
      <c r="F31" t="s" s="175">
        <v>1450</v>
      </c>
    </row>
    <row r="32" ht="44" customHeight="1" spans="1:6">
      <c r="A32" s="238">
        <v>28</v>
      </c>
      <c r="B32" t="s" s="175">
        <v>1484</v>
      </c>
      <c r="C32" t="s" s="151">
        <v>1485</v>
      </c>
      <c r="D32" t="s" s="151">
        <v>1486</v>
      </c>
      <c r="E32" t="s" s="151">
        <v>1487</v>
      </c>
      <c r="F32" t="s" s="175">
        <v>1450</v>
      </c>
    </row>
    <row r="33" ht="32" customHeight="1" spans="1:6">
      <c r="A33" s="238">
        <v>29</v>
      </c>
      <c r="B33" t="s" s="175">
        <v>1488</v>
      </c>
      <c r="C33" t="s" s="151">
        <v>1489</v>
      </c>
      <c r="D33" t="s" s="151">
        <v>1490</v>
      </c>
      <c r="E33" t="s" s="151">
        <v>1491</v>
      </c>
      <c r="F33" t="s" s="175">
        <v>1450</v>
      </c>
    </row>
    <row r="34" ht="44" customHeight="1" spans="1:6">
      <c r="A34" s="238">
        <v>30</v>
      </c>
      <c r="B34" t="s" s="175">
        <v>1492</v>
      </c>
      <c r="C34" t="s" s="151">
        <v>1493</v>
      </c>
      <c r="D34" t="s" s="151">
        <v>1494</v>
      </c>
      <c r="E34" t="s" s="151">
        <v>1495</v>
      </c>
      <c r="F34" t="s" s="175">
        <v>1393</v>
      </c>
    </row>
    <row r="35" ht="32" customHeight="1" spans="1:6">
      <c r="A35" s="238">
        <v>31</v>
      </c>
      <c r="B35" t="s" s="175">
        <v>1221</v>
      </c>
      <c r="C35" t="s" s="151">
        <v>1496</v>
      </c>
      <c r="D35" t="s" s="151">
        <v>1497</v>
      </c>
      <c r="E35" t="s" s="151">
        <v>1498</v>
      </c>
      <c r="F35" t="s" s="175">
        <v>1389</v>
      </c>
    </row>
    <row r="36" ht="32" customHeight="1" spans="1:6">
      <c r="A36" s="238">
        <v>32</v>
      </c>
      <c r="B36" t="s" s="175">
        <v>1221</v>
      </c>
      <c r="C36" t="s" s="151">
        <v>1499</v>
      </c>
      <c r="D36" t="s" s="151">
        <v>1500</v>
      </c>
      <c r="E36" t="s" s="151">
        <v>1501</v>
      </c>
      <c r="F36" t="s" s="175">
        <v>1389</v>
      </c>
    </row>
    <row r="37" ht="56" customHeight="1" spans="1:6">
      <c r="A37" s="238">
        <v>33</v>
      </c>
      <c r="B37" t="s" s="175">
        <v>1221</v>
      </c>
      <c r="C37" t="s" s="151">
        <v>1502</v>
      </c>
      <c r="D37" t="s" s="151">
        <v>1503</v>
      </c>
      <c r="E37" t="s" s="151">
        <v>1504</v>
      </c>
      <c r="F37" t="s" s="175">
        <v>1450</v>
      </c>
    </row>
    <row r="38" ht="32" customHeight="1" spans="1:6">
      <c r="A38" s="238">
        <v>34</v>
      </c>
      <c r="B38" t="s" s="175">
        <v>1442</v>
      </c>
      <c r="C38" t="s" s="151">
        <v>1505</v>
      </c>
      <c r="D38" t="s" s="151">
        <v>1506</v>
      </c>
      <c r="E38" t="s" s="151">
        <v>1507</v>
      </c>
      <c r="F38" t="s" s="175">
        <v>1508</v>
      </c>
    </row>
    <row r="39" ht="32" customHeight="1" spans="1:6">
      <c r="A39" s="238">
        <v>35</v>
      </c>
      <c r="B39" t="s" s="175">
        <v>1442</v>
      </c>
      <c r="C39" t="s" s="151">
        <v>1509</v>
      </c>
      <c r="D39" t="s" s="151">
        <v>1510</v>
      </c>
      <c r="E39" t="s" s="151">
        <v>1511</v>
      </c>
      <c r="F39" t="s" s="175">
        <v>1508</v>
      </c>
    </row>
    <row r="40" ht="44" customHeight="1" spans="1:6">
      <c r="A40" s="238">
        <v>36</v>
      </c>
      <c r="B40" t="s" s="175">
        <v>1221</v>
      </c>
      <c r="C40" t="s" s="151">
        <v>1512</v>
      </c>
      <c r="D40" t="s" s="151">
        <v>1513</v>
      </c>
      <c r="E40" t="s" s="151">
        <v>1514</v>
      </c>
      <c r="F40" t="s" s="175">
        <v>1450</v>
      </c>
    </row>
    <row r="41" ht="32" customHeight="1" spans="1:6">
      <c r="A41" s="238">
        <v>37</v>
      </c>
      <c r="B41" t="s" s="175">
        <v>1221</v>
      </c>
      <c r="C41" t="s" s="151">
        <v>1515</v>
      </c>
      <c r="D41" t="s" s="151">
        <v>1516</v>
      </c>
      <c r="E41" t="s" s="151">
        <v>1517</v>
      </c>
      <c r="F41" t="s" s="175">
        <v>1450</v>
      </c>
    </row>
    <row r="42" ht="32" customHeight="1" spans="1:6">
      <c r="A42" s="238">
        <v>38</v>
      </c>
      <c r="B42" t="s" s="175">
        <v>1221</v>
      </c>
      <c r="C42" t="s" s="151">
        <v>1518</v>
      </c>
      <c r="D42" t="s" s="151">
        <v>1519</v>
      </c>
      <c r="E42" t="s" s="151">
        <v>1221</v>
      </c>
      <c r="F42" t="s" s="175">
        <v>1450</v>
      </c>
    </row>
    <row r="43" ht="32" customHeight="1" spans="1:6">
      <c r="A43" s="238">
        <v>39</v>
      </c>
      <c r="B43" t="s" s="175">
        <v>1221</v>
      </c>
      <c r="C43" t="s" s="151">
        <v>1520</v>
      </c>
      <c r="D43" t="s" s="151">
        <v>1521</v>
      </c>
      <c r="E43" t="s" s="151">
        <v>1522</v>
      </c>
      <c r="F43" t="s" s="175">
        <v>1523</v>
      </c>
    </row>
    <row r="44" ht="44" customHeight="1" spans="1:6">
      <c r="A44" s="238">
        <v>40</v>
      </c>
      <c r="B44" t="s" s="175">
        <v>1221</v>
      </c>
      <c r="C44" t="s" s="151">
        <v>1524</v>
      </c>
      <c r="D44" t="s" s="151">
        <v>1525</v>
      </c>
      <c r="E44" t="s" s="151">
        <v>1526</v>
      </c>
      <c r="F44" t="s" s="175">
        <v>1393</v>
      </c>
    </row>
    <row r="45" ht="32" customHeight="1" spans="1:6">
      <c r="A45" s="238">
        <v>41</v>
      </c>
      <c r="B45" t="s" s="175">
        <v>1221</v>
      </c>
      <c r="C45" t="s" s="151">
        <v>1527</v>
      </c>
      <c r="D45" t="s" s="151">
        <v>1528</v>
      </c>
      <c r="E45" t="s" s="151">
        <v>1529</v>
      </c>
      <c r="F45" t="s" s="175">
        <v>1450</v>
      </c>
    </row>
    <row r="46" ht="44" customHeight="1" spans="1:6">
      <c r="A46" s="238">
        <v>42</v>
      </c>
      <c r="B46" t="s" s="175">
        <v>1221</v>
      </c>
      <c r="C46" t="s" s="151">
        <v>1530</v>
      </c>
      <c r="D46" t="s" s="151">
        <v>1531</v>
      </c>
      <c r="E46" t="s" s="151">
        <v>1532</v>
      </c>
      <c r="F46" t="s" s="175">
        <v>1446</v>
      </c>
    </row>
    <row r="47" ht="56" customHeight="1" spans="1:6">
      <c r="A47" s="238">
        <v>43</v>
      </c>
      <c r="B47" t="s" s="175">
        <v>1221</v>
      </c>
      <c r="C47" t="s" s="151">
        <v>1533</v>
      </c>
      <c r="D47" t="s" s="151">
        <v>1534</v>
      </c>
      <c r="E47" t="s" s="151">
        <v>1535</v>
      </c>
      <c r="F47" t="s" s="175">
        <v>1450</v>
      </c>
    </row>
    <row r="48" ht="32" customHeight="1" spans="1:6">
      <c r="A48" s="238">
        <v>44</v>
      </c>
      <c r="B48" t="s" s="175">
        <v>1221</v>
      </c>
      <c r="C48" t="s" s="151">
        <v>1536</v>
      </c>
      <c r="D48" t="s" s="151">
        <v>1537</v>
      </c>
      <c r="E48" t="s" s="151">
        <v>1538</v>
      </c>
      <c r="F48" t="s" s="175">
        <v>1450</v>
      </c>
    </row>
    <row r="49" ht="44" customHeight="1" spans="1:6">
      <c r="A49" s="238">
        <v>45</v>
      </c>
      <c r="B49" t="s" s="175">
        <v>1221</v>
      </c>
      <c r="C49" t="s" s="151">
        <v>1539</v>
      </c>
      <c r="D49" t="s" s="151">
        <v>1540</v>
      </c>
      <c r="E49" t="s" s="151">
        <v>1541</v>
      </c>
      <c r="F49" t="s" s="175">
        <v>1450</v>
      </c>
    </row>
    <row r="50" ht="24" customHeight="1" spans="1:6">
      <c r="A50" s="238">
        <v>46</v>
      </c>
      <c r="B50" t="s" s="175">
        <v>1221</v>
      </c>
      <c r="C50" t="s" s="151">
        <v>1542</v>
      </c>
      <c r="D50" t="s" s="151">
        <v>1543</v>
      </c>
      <c r="E50" t="s" s="151">
        <v>1544</v>
      </c>
      <c r="F50" t="s" s="175">
        <v>1450</v>
      </c>
    </row>
    <row r="51" ht="56" customHeight="1" spans="1:6">
      <c r="A51" s="238">
        <v>47</v>
      </c>
      <c r="B51" t="s" s="175">
        <v>1221</v>
      </c>
      <c r="C51" t="s" s="151">
        <v>1545</v>
      </c>
      <c r="D51" t="s" s="151">
        <v>1546</v>
      </c>
      <c r="E51" t="s" s="151">
        <v>1547</v>
      </c>
      <c r="F51" t="s" s="175">
        <v>1450</v>
      </c>
    </row>
    <row r="52" ht="56" customHeight="1" spans="1:6">
      <c r="A52" s="238">
        <v>48</v>
      </c>
      <c r="B52" t="s" s="175">
        <v>1221</v>
      </c>
      <c r="C52" t="s" s="151">
        <v>1548</v>
      </c>
      <c r="D52" t="s" s="151">
        <v>1549</v>
      </c>
      <c r="E52" t="s" s="151">
        <v>1550</v>
      </c>
      <c r="F52" t="s" s="175">
        <v>1450</v>
      </c>
    </row>
    <row r="53" ht="32" customHeight="1" spans="1:6">
      <c r="A53" s="238">
        <v>49</v>
      </c>
      <c r="B53" t="s" s="175">
        <v>1221</v>
      </c>
      <c r="C53" t="s" s="151">
        <v>1551</v>
      </c>
      <c r="D53" t="s" s="151">
        <v>1552</v>
      </c>
      <c r="E53" t="s" s="151">
        <v>1553</v>
      </c>
      <c r="F53" t="s" s="175">
        <v>1450</v>
      </c>
    </row>
    <row r="54" ht="32" customHeight="1" spans="1:6">
      <c r="A54" s="238">
        <v>50</v>
      </c>
      <c r="B54" t="s" s="175">
        <v>1221</v>
      </c>
      <c r="C54" t="s" s="151">
        <v>1554</v>
      </c>
      <c r="D54" t="s" s="151">
        <v>1555</v>
      </c>
      <c r="E54" t="s" s="151">
        <v>1556</v>
      </c>
      <c r="F54" t="s" s="175">
        <v>1523</v>
      </c>
    </row>
    <row r="56" ht="24" customHeight="1" spans="1:6">
      <c r="A56" s="358" t="s">
        <v>1893</v>
      </c>
      <c r="B56" s="358"/>
      <c r="C56" s="358"/>
      <c r="D56" s="358"/>
      <c r="E56" s="358"/>
      <c r="F56" s="358"/>
    </row>
    <row r="57" ht="64" customHeight="1" spans="1:6">
      <c r="A57" s="359">
        <v>51</v>
      </c>
      <c r="B57" s="319" t="s">
        <v>1894</v>
      </c>
      <c r="C57" s="318" t="s">
        <v>1895</v>
      </c>
      <c r="D57" s="318" t="s">
        <v>1896</v>
      </c>
      <c r="E57" s="318" t="s">
        <v>1897</v>
      </c>
      <c r="F57" s="319" t="s">
        <v>1898</v>
      </c>
    </row>
    <row r="58" ht="64" customHeight="1" spans="1:6">
      <c r="A58" s="359">
        <v>52</v>
      </c>
      <c r="B58" s="319" t="s">
        <v>1899</v>
      </c>
      <c r="C58" s="318" t="s">
        <v>1900</v>
      </c>
      <c r="D58" s="318" t="s">
        <v>1901</v>
      </c>
      <c r="E58" s="318" t="s">
        <v>1902</v>
      </c>
      <c r="F58" s="319" t="s">
        <v>1898</v>
      </c>
    </row>
    <row r="59" ht="64" customHeight="1" spans="1:6">
      <c r="A59" s="359">
        <v>53</v>
      </c>
      <c r="B59" s="319" t="s">
        <v>1903</v>
      </c>
      <c r="C59" s="318" t="s">
        <v>1904</v>
      </c>
      <c r="D59" s="318" t="s">
        <v>1905</v>
      </c>
      <c r="E59" s="318" t="s">
        <v>1906</v>
      </c>
      <c r="F59" s="319" t="s">
        <v>1898</v>
      </c>
    </row>
    <row r="60" ht="64" customHeight="1" spans="1:6">
      <c r="A60" s="359">
        <v>54</v>
      </c>
      <c r="B60" s="319" t="s">
        <v>1907</v>
      </c>
      <c r="C60" s="318" t="s">
        <v>1908</v>
      </c>
      <c r="D60" s="318" t="s">
        <v>1909</v>
      </c>
      <c r="E60" s="318" t="s">
        <v>1910</v>
      </c>
      <c r="F60" s="319" t="s">
        <v>1898</v>
      </c>
    </row>
    <row r="61" ht="64" customHeight="1" spans="1:6">
      <c r="A61" s="359">
        <v>55</v>
      </c>
      <c r="B61" s="319" t="s">
        <v>1911</v>
      </c>
      <c r="C61" s="318" t="s">
        <v>1912</v>
      </c>
      <c r="D61" s="318" t="s">
        <v>1913</v>
      </c>
      <c r="E61" s="318" t="s">
        <v>1914</v>
      </c>
      <c r="F61" s="319" t="s">
        <v>1915</v>
      </c>
    </row>
    <row r="62" ht="64" customHeight="1" spans="1:6">
      <c r="A62" s="359">
        <v>56</v>
      </c>
      <c r="B62" s="319" t="s">
        <v>1916</v>
      </c>
      <c r="C62" s="318" t="s">
        <v>1917</v>
      </c>
      <c r="D62" s="318" t="s">
        <v>1918</v>
      </c>
      <c r="E62" s="318" t="s">
        <v>1919</v>
      </c>
      <c r="F62" s="319" t="s">
        <v>1920</v>
      </c>
    </row>
    <row r="63" ht="64" customHeight="1" spans="1:6">
      <c r="A63" s="359">
        <v>57</v>
      </c>
      <c r="B63" s="319" t="s">
        <v>1601</v>
      </c>
      <c r="C63" s="318" t="s">
        <v>1921</v>
      </c>
      <c r="D63" s="318" t="s">
        <v>1922</v>
      </c>
      <c r="E63" s="318" t="s">
        <v>1923</v>
      </c>
      <c r="F63" s="319" t="s">
        <v>1924</v>
      </c>
    </row>
    <row r="64" ht="64" customHeight="1" spans="1:6">
      <c r="A64" s="359">
        <v>58</v>
      </c>
      <c r="B64" s="319" t="s">
        <v>1925</v>
      </c>
      <c r="C64" s="318" t="s">
        <v>1926</v>
      </c>
      <c r="D64" s="318" t="s">
        <v>1927</v>
      </c>
      <c r="E64" s="318" t="s">
        <v>1928</v>
      </c>
      <c r="F64" s="319" t="s">
        <v>1929</v>
      </c>
    </row>
    <row r="65" ht="64" customHeight="1" spans="1:6">
      <c r="A65" s="359">
        <v>59</v>
      </c>
      <c r="B65" s="319" t="s">
        <v>1930</v>
      </c>
      <c r="C65" s="318" t="s">
        <v>1931</v>
      </c>
      <c r="D65" s="318" t="s">
        <v>1932</v>
      </c>
      <c r="E65" s="318" t="s">
        <v>1933</v>
      </c>
      <c r="F65" s="319" t="s">
        <v>1924</v>
      </c>
    </row>
    <row r="66" ht="64" customHeight="1" spans="1:6">
      <c r="A66" s="359">
        <v>60</v>
      </c>
      <c r="B66" s="319" t="s">
        <v>1934</v>
      </c>
      <c r="C66" s="318" t="s">
        <v>1935</v>
      </c>
      <c r="D66" s="318" t="s">
        <v>1936</v>
      </c>
      <c r="E66" s="318" t="s">
        <v>1937</v>
      </c>
      <c r="F66" s="319" t="s">
        <v>1924</v>
      </c>
    </row>
    <row r="67" ht="64" customHeight="1" spans="1:6">
      <c r="A67" s="359">
        <v>61</v>
      </c>
      <c r="B67" s="319" t="s">
        <v>1938</v>
      </c>
      <c r="C67" s="318" t="s">
        <v>1939</v>
      </c>
      <c r="D67" s="318" t="s">
        <v>1940</v>
      </c>
      <c r="E67" s="318" t="s">
        <v>1941</v>
      </c>
      <c r="F67" s="319" t="s">
        <v>1915</v>
      </c>
    </row>
    <row r="68" ht="64" customHeight="1" spans="1:6">
      <c r="A68" s="359">
        <v>62</v>
      </c>
      <c r="B68" s="319" t="s">
        <v>1601</v>
      </c>
      <c r="C68" s="318" t="s">
        <v>1942</v>
      </c>
      <c r="D68" s="318" t="s">
        <v>1943</v>
      </c>
      <c r="E68" s="318" t="s">
        <v>1944</v>
      </c>
      <c r="F68" s="319" t="s">
        <v>1915</v>
      </c>
    </row>
    <row r="69" ht="64" customHeight="1" spans="1:6">
      <c r="A69" s="359">
        <v>63</v>
      </c>
      <c r="B69" s="319" t="s">
        <v>1601</v>
      </c>
      <c r="C69" s="318" t="s">
        <v>1945</v>
      </c>
      <c r="D69" s="318" t="s">
        <v>1946</v>
      </c>
      <c r="E69" s="318" t="s">
        <v>1601</v>
      </c>
      <c r="F69" s="319" t="s">
        <v>1915</v>
      </c>
    </row>
  </sheetData>
  <mergeCells count="3">
    <mergeCell ref="A1:F1"/>
    <mergeCell ref="A2:F2"/>
    <mergeCell ref="A56:F5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E6655"/>
  </sheetPr>
  <dimension ref="A1:L127"/>
  <sheetViews>
    <sheetView showGridLines="0" zoomScaleNormal="100" workbookViewId="0">
      <selection sqref="A1"/>
    </sheetView>
  </sheetViews>
  <sheetFormatPr defaultColWidth="8.6640625" defaultRowHeight="14.25" x14ac:dyDescent="0.45"/>
  <cols>
    <col min="1" max="1" width="34" customWidth="1"/>
    <col min="2" max="2" width="12.5" customWidth="1"/>
    <col min="3" max="4" width="12" customWidth="1"/>
    <col min="5" max="5" width="12.6640625" customWidth="1"/>
    <col min="6" max="6" width="11.5" customWidth="1"/>
    <col min="7" max="7" width="12.6640625" customWidth="1"/>
    <col min="8" max="9" width="12" customWidth="1"/>
    <col min="10" max="11" width="13" customWidth="1"/>
    <col min="12" max="12" width="40" customWidth="1"/>
  </cols>
  <sheetData>
    <row r="1" ht="37.5" customHeight="1" spans="1:12">
      <c r="A1" s="167" t="s">
        <v>1557</v>
      </c>
      <c r="B1" s="167"/>
      <c r="C1" s="167"/>
      <c r="D1" s="167"/>
      <c r="E1" s="167"/>
      <c r="F1" s="167"/>
      <c r="G1" s="167"/>
      <c r="H1" s="167"/>
      <c r="I1" s="167"/>
      <c r="J1" s="167"/>
      <c r="K1" s="167"/>
      <c r="L1" s="167"/>
    </row>
    <row r="2" ht="30" customHeight="1" spans="1:12">
      <c r="A2" s="301" t="s">
        <v>1558</v>
      </c>
      <c r="B2" s="301"/>
      <c r="C2" s="301"/>
      <c r="D2" s="301"/>
      <c r="E2" s="301"/>
      <c r="F2" s="301"/>
      <c r="G2" s="301"/>
      <c r="H2" s="301"/>
      <c r="I2" s="301"/>
      <c r="J2" s="301"/>
      <c r="K2" s="301"/>
      <c r="L2" s="301"/>
    </row>
    <row r="4" ht="92" customHeight="1" spans="1:12">
      <c r="A4" s="300" t="s">
        <v>1559</v>
      </c>
      <c r="B4" s="300"/>
      <c r="C4" s="300"/>
      <c r="D4" s="300"/>
      <c r="E4" s="300"/>
      <c r="F4" s="300"/>
      <c r="G4" s="300"/>
      <c r="H4" s="300"/>
      <c r="I4" s="300"/>
      <c r="J4" s="300"/>
      <c r="K4" s="300"/>
      <c r="L4" s="300"/>
    </row>
    <row r="6" ht="24" customHeight="1" spans="1:12">
      <c r="A6" s="295" t="s">
        <v>1560</v>
      </c>
      <c r="B6" s="295"/>
      <c r="C6" s="295"/>
      <c r="D6" s="295"/>
      <c r="E6" s="295"/>
      <c r="F6" s="295"/>
      <c r="G6" s="295"/>
      <c r="H6" s="295"/>
      <c r="I6" s="295"/>
      <c r="J6" s="295"/>
      <c r="K6" s="295"/>
      <c r="L6" s="295"/>
    </row>
    <row r="7" ht="42" customHeight="1" spans="1:12">
      <c r="A7" s="182" t="s">
        <v>1561</v>
      </c>
      <c r="B7" s="182"/>
      <c r="C7" s="182"/>
      <c r="D7" s="182"/>
      <c r="E7" s="182"/>
      <c r="F7" s="182"/>
      <c r="G7" s="182"/>
      <c r="H7" s="182"/>
      <c r="I7" s="182"/>
      <c r="J7" s="182"/>
      <c r="K7" s="182"/>
      <c r="L7" s="182"/>
    </row>
    <row r="8" ht="31.5" customHeight="1" spans="1:12">
      <c r="A8" t="s" s="297">
        <v>1562</v>
      </c>
      <c r="B8" t="s" s="297">
        <v>1563</v>
      </c>
      <c r="C8" s="298" t="s">
        <v>1564</v>
      </c>
      <c r="D8" s="298"/>
      <c r="E8" s="298"/>
      <c r="F8" s="298"/>
      <c r="G8" s="298"/>
      <c r="H8" t="s" s="297">
        <v>1565</v>
      </c>
      <c r="I8" t="s" s="297">
        <v>1566</v>
      </c>
      <c r="J8" s="298" t="s">
        <v>1567</v>
      </c>
      <c r="K8" s="298"/>
      <c r="L8" s="298"/>
    </row>
    <row r="9" ht="52" customHeight="1" spans="1:12">
      <c r="A9" t="s" s="299">
        <v>1569</v>
      </c>
      <c r="B9" s="85">
        <f>H9</f>
        <v>1</v>
      </c>
      <c r="C9" s="177"/>
      <c r="D9" s="177"/>
      <c r="E9" s="177"/>
      <c r="F9" s="177"/>
      <c r="G9" s="177"/>
      <c r="H9" s="82">
        <v>1</v>
      </c>
      <c r="I9" t="s" s="83">
        <v>1570</v>
      </c>
      <c r="J9" s="178" t="s">
        <v>1571</v>
      </c>
      <c r="K9" s="178"/>
      <c r="L9" s="178"/>
    </row>
    <row r="10" ht="83.5" customHeight="1" spans="1:12">
      <c r="A10" t="s" s="299">
        <v>1572</v>
      </c>
      <c r="B10" s="86">
        <f>(H10-50)/1000</f>
        <v>0.02</v>
      </c>
      <c r="C10" s="177"/>
      <c r="D10" s="177"/>
      <c r="E10" s="177"/>
      <c r="F10" s="177"/>
      <c r="G10" s="177"/>
      <c r="H10" s="82">
        <v>70</v>
      </c>
      <c r="I10" t="s" s="83">
        <v>1573</v>
      </c>
      <c r="J10" s="178" t="s">
        <v>1574</v>
      </c>
      <c r="K10" s="178"/>
      <c r="L10" s="178"/>
    </row>
    <row r="11" ht="62.5" customHeight="1" spans="1:12">
      <c r="A11" t="s" s="299">
        <v>1575</v>
      </c>
      <c r="B11" s="86">
        <f>(H11-50)/1000</f>
        <v>0.03</v>
      </c>
      <c r="C11" s="177"/>
      <c r="D11" s="177"/>
      <c r="E11" s="177"/>
      <c r="F11" s="177"/>
      <c r="G11" s="177"/>
      <c r="H11" s="82">
        <v>80</v>
      </c>
      <c r="I11" t="s" s="83">
        <v>1576</v>
      </c>
      <c r="J11" s="178" t="s">
        <v>1577</v>
      </c>
      <c r="K11" s="178"/>
      <c r="L11" s="178"/>
    </row>
    <row r="12" ht="83.5" customHeight="1" spans="1:12">
      <c r="A12" t="s" s="299">
        <v>1578</v>
      </c>
      <c r="B12" s="86">
        <f>(H12-100)/1000</f>
        <v>0.06</v>
      </c>
      <c r="C12" s="177"/>
      <c r="D12" s="177"/>
      <c r="E12" s="177"/>
      <c r="F12" s="177"/>
      <c r="G12" s="177"/>
      <c r="H12" s="82">
        <v>160</v>
      </c>
      <c r="I12" t="s" s="83">
        <v>1579</v>
      </c>
      <c r="J12" s="178" t="s">
        <v>1580</v>
      </c>
      <c r="K12" s="178"/>
      <c r="L12" s="178"/>
    </row>
    <row r="13" ht="83.5" customHeight="1" spans="1:12">
      <c r="A13" t="s" s="299">
        <v>1581</v>
      </c>
      <c r="B13" s="86">
        <f>(H13-100)/1000</f>
        <v>-0.04</v>
      </c>
      <c r="C13" s="177"/>
      <c r="D13" s="177"/>
      <c r="E13" s="177"/>
      <c r="F13" s="177"/>
      <c r="G13" s="177"/>
      <c r="H13" s="82">
        <v>60</v>
      </c>
      <c r="I13" t="s" s="83">
        <v>1582</v>
      </c>
      <c r="J13" s="178" t="s">
        <v>1583</v>
      </c>
      <c r="K13" s="178"/>
      <c r="L13" s="178"/>
    </row>
    <row r="14" ht="62.5" customHeight="1" spans="1:12">
      <c r="A14" t="s" s="299">
        <v>1584</v>
      </c>
      <c r="B14" s="86">
        <f>(H14-50)/1000</f>
        <v>-0.02</v>
      </c>
      <c r="C14" s="177"/>
      <c r="D14" s="177"/>
      <c r="E14" s="177"/>
      <c r="F14" s="177"/>
      <c r="G14" s="177"/>
      <c r="H14" s="82">
        <v>30</v>
      </c>
      <c r="I14" t="s" s="83">
        <v>1576</v>
      </c>
      <c r="J14" s="178" t="s">
        <v>1585</v>
      </c>
      <c r="K14" s="178"/>
      <c r="L14" s="178"/>
    </row>
    <row r="15" ht="52" customHeight="1" spans="1:12">
      <c r="A15" t="s" s="299">
        <v>1586</v>
      </c>
      <c r="B15" s="86">
        <f>(H15-50)/1000</f>
        <v>0.04</v>
      </c>
      <c r="C15" s="177"/>
      <c r="D15" s="177"/>
      <c r="E15" s="177"/>
      <c r="F15" s="177"/>
      <c r="G15" s="177"/>
      <c r="H15" s="82">
        <v>90</v>
      </c>
      <c r="I15" t="s" s="83">
        <v>1573</v>
      </c>
      <c r="J15" s="178" t="s">
        <v>1587</v>
      </c>
      <c r="K15" s="178"/>
      <c r="L15" s="178"/>
    </row>
    <row r="16" ht="24" customHeight="1" spans="1:12">
      <c r="A16" s="296" t="s">
        <v>1568</v>
      </c>
      <c r="B16" s="296"/>
      <c r="C16" s="296"/>
      <c r="D16" s="296"/>
      <c r="E16" s="296"/>
      <c r="F16" s="296"/>
      <c r="G16" s="296"/>
      <c r="H16" s="296"/>
      <c r="I16" s="296"/>
      <c r="J16" s="296"/>
      <c r="K16" s="296"/>
      <c r="L16" s="296"/>
    </row>
    <row r="17" ht="73.0" customHeight="1" spans="1:12">
      <c r="A17" t="s" s="299">
        <v>1588</v>
      </c>
      <c r="B17" s="85">
        <f>H17</f>
        <v>0</v>
      </c>
      <c r="C17" s="177"/>
      <c r="D17" s="177"/>
      <c r="E17" s="177"/>
      <c r="F17" s="177"/>
      <c r="G17" s="177"/>
      <c r="H17" s="82">
        <v>0</v>
      </c>
      <c r="I17" t="s" s="83">
        <v>1570</v>
      </c>
      <c r="J17" s="178" t="s">
        <v>1589</v>
      </c>
      <c r="K17" s="178"/>
      <c r="L17" s="178"/>
    </row>
    <row r="18" ht="73.0" customHeight="1" spans="1:12">
      <c r="A18" t="s" s="299">
        <v>1590</v>
      </c>
      <c r="B18" s="85">
        <f>H18</f>
        <v>0</v>
      </c>
      <c r="C18" s="177"/>
      <c r="D18" s="177"/>
      <c r="E18" s="177"/>
      <c r="F18" s="177"/>
      <c r="G18" s="177"/>
      <c r="H18" s="82">
        <v>0</v>
      </c>
      <c r="I18" t="s" s="83">
        <v>1570</v>
      </c>
      <c r="J18" s="178" t="s">
        <v>1591</v>
      </c>
      <c r="K18" s="178"/>
      <c r="L18" s="178"/>
    </row>
    <row r="19" ht="52" customHeight="1" spans="1:12">
      <c r="A19" t="s" s="299">
        <v>1592</v>
      </c>
      <c r="B19" s="85">
        <f>H19</f>
        <v>0</v>
      </c>
      <c r="C19" s="177"/>
      <c r="D19" s="177"/>
      <c r="E19" s="177"/>
      <c r="F19" s="177"/>
      <c r="G19" s="177"/>
      <c r="H19" s="82">
        <v>0</v>
      </c>
      <c r="I19" t="s" s="83">
        <v>1570</v>
      </c>
      <c r="J19" s="178" t="s">
        <v>1593</v>
      </c>
      <c r="K19" s="178"/>
      <c r="L19" s="178"/>
    </row>
    <row r="20" ht="73.0" customHeight="1" spans="1:12">
      <c r="A20" t="s" s="299">
        <v>1594</v>
      </c>
      <c r="B20" s="86">
        <f>H20/1000</f>
        <v>0</v>
      </c>
      <c r="C20" s="177"/>
      <c r="D20" s="177"/>
      <c r="E20" s="177"/>
      <c r="F20" s="177"/>
      <c r="G20" s="177"/>
      <c r="H20" s="82">
        <v>0</v>
      </c>
      <c r="I20" t="s" s="83">
        <v>1595</v>
      </c>
      <c r="J20" s="178" t="s">
        <v>1596</v>
      </c>
      <c r="K20" s="178"/>
      <c r="L20" s="178"/>
    </row>
    <row r="21" ht="52" customHeight="1" spans="1:12">
      <c r="A21" t="s" s="299">
        <v>1597</v>
      </c>
      <c r="B21" s="86">
        <f>(H21-50)/1000</f>
        <v>0</v>
      </c>
      <c r="C21" s="177"/>
      <c r="D21" s="177"/>
      <c r="E21" s="177"/>
      <c r="F21" s="177"/>
      <c r="G21" s="177"/>
      <c r="H21" s="82">
        <v>50</v>
      </c>
      <c r="I21" t="s" s="83">
        <v>1576</v>
      </c>
      <c r="J21" s="178" t="s">
        <v>1598</v>
      </c>
      <c r="K21" s="178"/>
      <c r="L21" s="178"/>
    </row>
    <row r="22" ht="60" customHeight="1" spans="1:12">
      <c r="A22" t="s" s="299">
        <v>1599</v>
      </c>
      <c r="B22" s="302">
        <f>'09-v4.1-Corrections'!B10</f>
        <v>0.64</v>
      </c>
      <c r="C22" s="319" t="s">
        <v>1600</v>
      </c>
      <c r="D22" s="319"/>
      <c r="E22" s="319"/>
      <c r="F22" s="319"/>
      <c r="G22" s="319"/>
      <c r="H22" t="s" s="15">
        <v>1601</v>
      </c>
      <c r="I22" t="s" s="83">
        <v>1602</v>
      </c>
      <c r="J22" s="178" t="s">
        <v>1603</v>
      </c>
      <c r="K22" s="178"/>
      <c r="L22" s="178"/>
    </row>
    <row r="23" ht="40" customHeight="1" spans="1:12">
      <c r="A23" t="s" s="299">
        <v>1604</v>
      </c>
      <c r="B23" s="314">
        <v>0.06</v>
      </c>
      <c r="C23" s="319" t="s">
        <v>1605</v>
      </c>
      <c r="D23" s="319"/>
      <c r="E23" s="319"/>
      <c r="F23" s="319"/>
      <c r="G23" s="319"/>
      <c r="H23" t="s" s="15">
        <v>1601</v>
      </c>
      <c r="I23" t="s" s="83">
        <v>1606</v>
      </c>
      <c r="J23" s="178" t="s">
        <v>1607</v>
      </c>
      <c r="K23" s="178"/>
      <c r="L23" s="178"/>
    </row>
    <row r="25" ht="24" customHeight="1" spans="1:12">
      <c r="A25" s="295" t="s">
        <v>1608</v>
      </c>
      <c r="B25" s="295"/>
      <c r="C25" s="295"/>
      <c r="D25" s="295"/>
      <c r="E25" s="295"/>
      <c r="F25" s="295"/>
      <c r="G25" s="295"/>
      <c r="H25" s="295"/>
      <c r="I25" s="295"/>
      <c r="J25" s="295"/>
      <c r="K25" s="295"/>
      <c r="L25" s="295"/>
    </row>
    <row r="26" ht="58" customHeight="1" spans="1:12">
      <c r="A26" s="300" t="s">
        <v>1609</v>
      </c>
      <c r="B26" s="300"/>
      <c r="C26" s="300"/>
      <c r="D26" s="300"/>
      <c r="E26" s="300"/>
      <c r="F26" s="300"/>
      <c r="G26" s="300"/>
      <c r="H26" s="300"/>
      <c r="I26" s="300"/>
      <c r="J26" s="300"/>
      <c r="K26" s="300"/>
      <c r="L26" s="300"/>
    </row>
    <row r="27" ht="45" customHeight="1" spans="1:12">
      <c r="A27" t="s" s="297">
        <v>1610</v>
      </c>
      <c r="B27" t="s" s="297">
        <v>1611</v>
      </c>
      <c r="C27" t="s" s="297">
        <v>1612</v>
      </c>
      <c r="D27" t="s" s="297">
        <v>1613</v>
      </c>
      <c r="E27" t="s" s="297">
        <v>1614</v>
      </c>
      <c r="F27" t="s" s="297">
        <v>1615</v>
      </c>
      <c r="G27" t="s" s="297">
        <v>1616</v>
      </c>
      <c r="H27" t="s" s="297">
        <v>1617</v>
      </c>
      <c r="I27" t="s" s="297">
        <v>1618</v>
      </c>
      <c r="J27" t="s" s="297">
        <v>1619</v>
      </c>
      <c r="K27" t="s" s="297">
        <v>1620</v>
      </c>
      <c r="L27" t="s" s="297">
        <v>1621</v>
      </c>
    </row>
    <row r="28" ht="18" customHeight="1" spans="1:12">
      <c r="A28" t="s" s="304">
        <v>1622</v>
      </c>
      <c r="B28" s="28">
        <v>21</v>
      </c>
      <c r="C28" s="100">
        <v>0.09</v>
      </c>
      <c r="D28" s="312">
        <f>C28+$B$9*$B$10</f>
        <v>0.11</v>
      </c>
      <c r="E28" s="100">
        <v>0.12</v>
      </c>
      <c r="F28" s="312">
        <f>E28+$B$9*$B$11</f>
        <v>0.15</v>
      </c>
      <c r="G28" s="100">
        <v>0.34</v>
      </c>
      <c r="H28" s="312">
        <f>G28+$B$18*$B$23</f>
        <v>0.34</v>
      </c>
      <c r="I28" s="100">
        <v>0.32</v>
      </c>
      <c r="J28" s="312">
        <f>I28+$B$9*$B$12</f>
        <v>0.38</v>
      </c>
      <c r="K28" s="22">
        <f>'06-Inventory-Burn-v4'!J18</f>
        <v>0.17759706697695</v>
      </c>
      <c r="L28" s="22">
        <f>'06-Inventory-Burn-v4'!G18</f>
        <v>-0.203218317638434</v>
      </c>
    </row>
    <row r="29" ht="18" customHeight="1" spans="1:12">
      <c r="A29" t="s" s="304">
        <v>1623</v>
      </c>
      <c r="B29" s="28">
        <v>26</v>
      </c>
      <c r="C29" s="100">
        <v>0.1</v>
      </c>
      <c r="D29" s="312">
        <f>C29+$B$9*$B$10</f>
        <v>0.12</v>
      </c>
      <c r="E29" s="100">
        <v>0.12</v>
      </c>
      <c r="F29" s="312">
        <f>E29+$B$9*$B$11</f>
        <v>0.15</v>
      </c>
      <c r="G29" s="100">
        <v>0.3</v>
      </c>
      <c r="H29" s="312">
        <f>G29+$B$18*$B$23</f>
        <v>0.3</v>
      </c>
      <c r="I29" s="100">
        <v>0.26</v>
      </c>
      <c r="J29" s="312">
        <f>I29+$B$9*$B$12</f>
        <v>0.32</v>
      </c>
      <c r="K29" s="22">
        <f>'06-Inventory-Burn-v4'!J19</f>
        <v>0.220072079478387</v>
      </c>
      <c r="L29" s="22">
        <f>'06-Inventory-Burn-v4'!G19</f>
        <v>-0.100743305136998</v>
      </c>
    </row>
    <row r="30" ht="18" customHeight="1" spans="1:12">
      <c r="A30" t="s" s="304">
        <v>1624</v>
      </c>
      <c r="B30" s="28">
        <v>31</v>
      </c>
      <c r="C30" s="100">
        <v>0.12</v>
      </c>
      <c r="D30" s="312">
        <f>C30+$B$9*$B$10</f>
        <v>0.14</v>
      </c>
      <c r="E30" s="100">
        <v>0.14</v>
      </c>
      <c r="F30" s="312">
        <f>E30+$B$9*$B$11</f>
        <v>0.17</v>
      </c>
      <c r="G30" s="100">
        <v>0.28</v>
      </c>
      <c r="H30" s="312">
        <f>G30+$B$18*$B$23</f>
        <v>0.28</v>
      </c>
      <c r="I30" s="100">
        <v>0.2</v>
      </c>
      <c r="J30" s="312">
        <f>I30+$B$9*$B$12</f>
        <v>0.26</v>
      </c>
      <c r="K30" s="22">
        <f>'06-Inventory-Burn-v4'!J20</f>
        <v>0.279956207266531</v>
      </c>
      <c r="L30" s="22">
        <f>'06-Inventory-Burn-v4'!G20</f>
        <v>0.0191408226511458</v>
      </c>
    </row>
    <row r="31" ht="18" customHeight="1" spans="1:12">
      <c r="A31" t="s" s="304">
        <v>1625</v>
      </c>
      <c r="B31" s="28">
        <v>36</v>
      </c>
      <c r="C31" s="100">
        <v>0.13</v>
      </c>
      <c r="D31" s="312">
        <f>C31+$B$9*$B$10</f>
        <v>0.15</v>
      </c>
      <c r="E31" s="100">
        <v>0.15</v>
      </c>
      <c r="F31" s="312">
        <f>E31+$B$9*$B$11</f>
        <v>0.18</v>
      </c>
      <c r="G31" s="100">
        <v>0.24</v>
      </c>
      <c r="H31" s="312">
        <f>G31+$B$18*$B$23</f>
        <v>0.24</v>
      </c>
      <c r="I31" s="100">
        <v>0.18</v>
      </c>
      <c r="J31" s="312">
        <f>I31+$B$9*$B$12</f>
        <v>0.24</v>
      </c>
      <c r="K31" s="22">
        <f>'06-Inventory-Burn-v4'!J21</f>
        <v>0.335792791728499</v>
      </c>
      <c r="L31" s="22">
        <f>'06-Inventory-Burn-v4'!G21</f>
        <v>0.0949774071131147</v>
      </c>
    </row>
    <row r="32" ht="18" customHeight="1" spans="1:12">
      <c r="A32" t="s" s="304">
        <v>1626</v>
      </c>
      <c r="B32" s="28">
        <v>41</v>
      </c>
      <c r="C32" s="100">
        <v>0.14</v>
      </c>
      <c r="D32" s="312">
        <f>C32+$B$9*$B$10</f>
        <v>0.16</v>
      </c>
      <c r="E32" s="100">
        <v>0.16</v>
      </c>
      <c r="F32" s="312">
        <f>E32+$B$9*$B$11</f>
        <v>0.19</v>
      </c>
      <c r="G32" s="100">
        <v>0.2</v>
      </c>
      <c r="H32" s="312">
        <f>G32+$B$18*$B$23</f>
        <v>0.2</v>
      </c>
      <c r="I32" s="100">
        <v>0.12</v>
      </c>
      <c r="J32" s="312">
        <f>I32+$B$9*$B$12</f>
        <v>0.18</v>
      </c>
      <c r="K32" s="22">
        <f>'06-Inventory-Burn-v4'!J22</f>
        <v>0.392979167509536</v>
      </c>
      <c r="L32" s="22">
        <f>'06-Inventory-Burn-v4'!G22</f>
        <v>0.212163782894151</v>
      </c>
    </row>
    <row r="33" ht="18" customHeight="1" spans="1:12">
      <c r="A33" t="s" s="304">
        <v>1627</v>
      </c>
      <c r="B33" s="28">
        <v>22</v>
      </c>
      <c r="C33" s="100">
        <v>0.12</v>
      </c>
      <c r="D33" s="312">
        <f>C33+$B$9*$B$13-$B$19*MAX(0,C33-$C$34)</f>
        <v>0.08</v>
      </c>
      <c r="E33" t="s" s="15">
        <v>1601</v>
      </c>
      <c r="F33" t="s" s="15">
        <v>1601</v>
      </c>
      <c r="G33" s="100">
        <v>0.4</v>
      </c>
      <c r="H33" s="312">
        <f>G33+$B$18*$B$23</f>
        <v>0.4</v>
      </c>
      <c r="I33" t="s" s="15">
        <v>1601</v>
      </c>
      <c r="J33" t="s" s="15">
        <v>1601</v>
      </c>
      <c r="K33" s="22">
        <f>'06-Inventory-Burn-v4'!I30</f>
        <v>0.127353995775824</v>
      </c>
      <c r="L33" s="22">
        <f>'06-Inventory-Burn-v4'!E30</f>
        <v>-0.162646004224176</v>
      </c>
    </row>
    <row r="34" ht="18" customHeight="1" spans="1:12">
      <c r="A34" t="s" s="304">
        <v>1628</v>
      </c>
      <c r="B34" s="28">
        <v>27</v>
      </c>
      <c r="C34" s="100">
        <v>0.16</v>
      </c>
      <c r="D34" s="312">
        <f>C34+$B$9*$B$13-$B$19*MAX(0,C34-$C$34)</f>
        <v>0.12</v>
      </c>
      <c r="E34" t="s" s="15">
        <v>1601</v>
      </c>
      <c r="F34" t="s" s="15">
        <v>1601</v>
      </c>
      <c r="G34" s="100">
        <v>0.32</v>
      </c>
      <c r="H34" s="312">
        <f>G34+$B$18*$B$23</f>
        <v>0.32</v>
      </c>
      <c r="I34" t="s" s="15">
        <v>1601</v>
      </c>
      <c r="J34" t="s" s="15">
        <v>1601</v>
      </c>
      <c r="K34" s="22">
        <f>'06-Inventory-Burn-v4'!I31</f>
        <v>0.216483990345938</v>
      </c>
      <c r="L34" s="22">
        <f>'06-Inventory-Burn-v4'!E31</f>
        <v>-0.0335160096540623</v>
      </c>
    </row>
    <row r="35" ht="18" customHeight="1" spans="1:12">
      <c r="A35" t="s" s="304">
        <v>1629</v>
      </c>
      <c r="B35" s="28">
        <v>32</v>
      </c>
      <c r="C35" s="100">
        <v>0.2</v>
      </c>
      <c r="D35" s="312">
        <f>C35+$B$9*$B$13-$B$19*MAX(0,C35-$C$34)</f>
        <v>0.16</v>
      </c>
      <c r="E35" t="s" s="15">
        <v>1601</v>
      </c>
      <c r="F35" t="s" s="15">
        <v>1601</v>
      </c>
      <c r="G35" s="100">
        <v>0.26</v>
      </c>
      <c r="H35" s="312">
        <f>G35+$B$18*$B$23</f>
        <v>0.26</v>
      </c>
      <c r="I35" t="s" s="15">
        <v>1601</v>
      </c>
      <c r="J35" t="s" s="15">
        <v>1601</v>
      </c>
      <c r="K35" s="22">
        <f>'06-Inventory-Burn-v4'!I32</f>
        <v>0.318834083110832</v>
      </c>
      <c r="L35" s="22">
        <f>'06-Inventory-Burn-v4'!E32</f>
        <v>0.128834083110832</v>
      </c>
    </row>
    <row r="36" ht="18" customHeight="1" spans="1:12">
      <c r="A36" t="s" s="304">
        <v>1630</v>
      </c>
      <c r="B36" s="28">
        <v>37</v>
      </c>
      <c r="C36" s="100">
        <v>0.24</v>
      </c>
      <c r="D36" s="312">
        <f>C36+$B$9*$B$13-$B$19*MAX(0,C36-$C$34)</f>
        <v>0.2</v>
      </c>
      <c r="E36" t="s" s="15">
        <v>1601</v>
      </c>
      <c r="F36" t="s" s="15">
        <v>1601</v>
      </c>
      <c r="G36" s="100">
        <v>0.2</v>
      </c>
      <c r="H36" s="312">
        <f>G36+$B$18*$B$23</f>
        <v>0.2</v>
      </c>
      <c r="I36" t="s" s="15">
        <v>1601</v>
      </c>
      <c r="J36" t="s" s="15">
        <v>1601</v>
      </c>
      <c r="K36" s="22">
        <f>'06-Inventory-Burn-v4'!I33</f>
        <v>0.4076869319228</v>
      </c>
      <c r="L36" s="22">
        <f>'06-Inventory-Burn-v4'!E33</f>
        <v>0.2376869319228</v>
      </c>
    </row>
    <row r="37" ht="18" customHeight="1" spans="1:12">
      <c r="A37" t="s" s="304">
        <v>1631</v>
      </c>
      <c r="B37" s="28">
        <v>42</v>
      </c>
      <c r="C37" s="100">
        <v>0.26</v>
      </c>
      <c r="D37" s="312">
        <f>C37+$B$9*$B$13-$B$19*MAX(0,C37-$C$34)</f>
        <v>0.22</v>
      </c>
      <c r="E37" t="s" s="15">
        <v>1601</v>
      </c>
      <c r="F37" t="s" s="15">
        <v>1601</v>
      </c>
      <c r="G37" s="100">
        <v>0.15</v>
      </c>
      <c r="H37" s="312">
        <f>G37+$B$18*$B$23</f>
        <v>0.15</v>
      </c>
      <c r="I37" t="s" s="15">
        <v>1601</v>
      </c>
      <c r="J37" t="s" s="15">
        <v>1601</v>
      </c>
      <c r="K37" s="22">
        <f>'06-Inventory-Burn-v4'!I34</f>
        <v>0.453321202596236</v>
      </c>
      <c r="L37" s="22">
        <f>'06-Inventory-Burn-v4'!E34</f>
        <v>0.523321202596236</v>
      </c>
    </row>
    <row r="39" ht="45" customHeight="1" spans="1:12">
      <c r="A39" t="s" s="297">
        <v>1632</v>
      </c>
      <c r="B39" t="s" s="297">
        <v>1633</v>
      </c>
      <c r="C39" t="s" s="297">
        <v>1612</v>
      </c>
      <c r="D39" t="s" s="297">
        <v>1613</v>
      </c>
      <c r="E39" t="s" s="297">
        <v>1634</v>
      </c>
      <c r="F39" t="s" s="297">
        <v>1635</v>
      </c>
      <c r="G39" t="s" s="297">
        <v>1636</v>
      </c>
      <c r="H39" t="s" s="297">
        <v>1637</v>
      </c>
      <c r="I39" t="s" s="297">
        <v>1618</v>
      </c>
      <c r="J39" t="s" s="297">
        <v>1619</v>
      </c>
      <c r="K39" t="s" s="297">
        <v>1638</v>
      </c>
      <c r="L39" t="s" s="297">
        <v>1639</v>
      </c>
    </row>
    <row r="40" ht="18" customHeight="1" spans="1:12">
      <c r="A40" t="s" s="304">
        <v>1640</v>
      </c>
      <c r="B40" s="28">
        <v>8</v>
      </c>
      <c r="C40" t="s" s="15">
        <v>1601</v>
      </c>
      <c r="D40" t="s" s="15">
        <v>1601</v>
      </c>
      <c r="E40" s="100">
        <v>0.16</v>
      </c>
      <c r="F40" s="312">
        <f>E40+$B$9*$B$14</f>
        <v>0.14</v>
      </c>
      <c r="G40" t="s" s="15">
        <v>1601</v>
      </c>
      <c r="H40" t="s" s="15">
        <v>1601</v>
      </c>
      <c r="I40" s="100">
        <v>0.24</v>
      </c>
      <c r="J40" s="312">
        <f>I40+$B$9*$B$15</f>
        <v>0.28</v>
      </c>
      <c r="K40" s="22">
        <f>'02-NAND-Model'!G8</f>
        <v>0.197456</v>
      </c>
      <c r="L40" s="22">
        <f>'02-NAND-Model'!H8</f>
        <v>-0.102544</v>
      </c>
    </row>
    <row r="41" ht="18" customHeight="1" spans="1:12">
      <c r="A41" t="s" s="304">
        <v>1641</v>
      </c>
      <c r="B41" s="28">
        <v>13</v>
      </c>
      <c r="C41" t="s" s="15">
        <v>1601</v>
      </c>
      <c r="D41" t="s" s="15">
        <v>1601</v>
      </c>
      <c r="E41" s="100">
        <v>0.18</v>
      </c>
      <c r="F41" s="312">
        <f>E41+$B$9*$B$14</f>
        <v>0.16</v>
      </c>
      <c r="G41" t="s" s="15">
        <v>1601</v>
      </c>
      <c r="H41" t="s" s="15">
        <v>1601</v>
      </c>
      <c r="I41" s="100">
        <v>0.2</v>
      </c>
      <c r="J41" s="312">
        <f>I41+$B$9*$B$15</f>
        <v>0.24</v>
      </c>
      <c r="K41" s="22">
        <f>'02-NAND-Model'!G13</f>
        <v>0.25454</v>
      </c>
      <c r="L41" s="22">
        <f>'02-NAND-Model'!H13</f>
        <v>-0.00546000000000002</v>
      </c>
    </row>
    <row r="42" ht="18" customHeight="1" spans="1:12">
      <c r="A42" t="s" s="304">
        <v>1642</v>
      </c>
      <c r="B42" s="28">
        <v>18</v>
      </c>
      <c r="C42" t="s" s="15">
        <v>1601</v>
      </c>
      <c r="D42" t="s" s="15">
        <v>1601</v>
      </c>
      <c r="E42" s="100">
        <v>0.21</v>
      </c>
      <c r="F42" s="312">
        <f>E42+$B$9*$B$14</f>
        <v>0.19</v>
      </c>
      <c r="G42" t="s" s="15">
        <v>1601</v>
      </c>
      <c r="H42" t="s" s="15">
        <v>1601</v>
      </c>
      <c r="I42" s="100">
        <v>0.16</v>
      </c>
      <c r="J42" s="312">
        <f>I42+$B$9*$B$15</f>
        <v>0.2</v>
      </c>
      <c r="K42" s="22">
        <f>'02-NAND-Model'!G18</f>
        <v>0.336965</v>
      </c>
      <c r="L42" s="22">
        <f>'02-NAND-Model'!H18</f>
        <v>0.116965</v>
      </c>
    </row>
    <row r="43" ht="18" customHeight="1" spans="1:12">
      <c r="A43" t="s" s="304">
        <v>1643</v>
      </c>
      <c r="B43" s="28">
        <v>23</v>
      </c>
      <c r="C43" t="s" s="15">
        <v>1601</v>
      </c>
      <c r="D43" t="s" s="15">
        <v>1601</v>
      </c>
      <c r="E43" s="100">
        <v>0.24</v>
      </c>
      <c r="F43" s="312">
        <f>E43+$B$9*$B$14</f>
        <v>0.22</v>
      </c>
      <c r="G43" t="s" s="15">
        <v>1601</v>
      </c>
      <c r="H43" t="s" s="15">
        <v>1601</v>
      </c>
      <c r="I43" s="100">
        <v>0.12</v>
      </c>
      <c r="J43" s="312">
        <f>I43+$B$9*$B$15</f>
        <v>0.16</v>
      </c>
      <c r="K43" s="22">
        <f>'02-NAND-Model'!G23</f>
        <v>0.409832</v>
      </c>
      <c r="L43" s="22">
        <f>'02-NAND-Model'!H23</f>
        <v>0.229832</v>
      </c>
    </row>
    <row r="44" ht="18" customHeight="1" spans="1:12">
      <c r="A44" t="s" s="304">
        <v>1644</v>
      </c>
      <c r="B44" s="28">
        <v>9</v>
      </c>
      <c r="C44" s="100">
        <v>0.05</v>
      </c>
      <c r="D44" s="312">
        <f>C44+$B$21</f>
        <v>0.05</v>
      </c>
      <c r="E44" s="100">
        <v>0.15</v>
      </c>
      <c r="F44" s="312">
        <f>E44+$B$9*$B$14</f>
        <v>0.13</v>
      </c>
      <c r="G44" t="s" s="15">
        <v>1601</v>
      </c>
      <c r="H44" t="s" s="15">
        <v>1601</v>
      </c>
      <c r="I44" s="100">
        <v>0.24</v>
      </c>
      <c r="J44" s="312">
        <f>I44+$B$9*$B$15</f>
        <v>0.28</v>
      </c>
      <c r="K44" s="22">
        <f>'02-NAND-Model'!G9</f>
        <v>0.222208</v>
      </c>
      <c r="L44" s="22">
        <f>'02-NAND-Model'!H9</f>
        <v>-0.077792</v>
      </c>
    </row>
    <row r="45" ht="18" customHeight="1" spans="1:12">
      <c r="A45" t="s" s="304">
        <v>1645</v>
      </c>
      <c r="B45" s="28">
        <v>14</v>
      </c>
      <c r="C45" s="100">
        <v>0.08</v>
      </c>
      <c r="D45" s="312">
        <f>C45+$B$21</f>
        <v>0.08</v>
      </c>
      <c r="E45" s="100">
        <v>0.17</v>
      </c>
      <c r="F45" s="312">
        <f>E45+$B$9*$B$14</f>
        <v>0.15</v>
      </c>
      <c r="G45" t="s" s="15">
        <v>1601</v>
      </c>
      <c r="H45" t="s" s="15">
        <v>1601</v>
      </c>
      <c r="I45" s="100">
        <v>0.18</v>
      </c>
      <c r="J45" s="312">
        <f>I45+$B$9*$B$15</f>
        <v>0.22</v>
      </c>
      <c r="K45" s="22">
        <f>'02-NAND-Model'!G14</f>
        <v>0.292025</v>
      </c>
      <c r="L45" s="22">
        <f>'02-NAND-Model'!H14</f>
        <v>0.052025</v>
      </c>
    </row>
    <row r="46" ht="18" customHeight="1" spans="1:12">
      <c r="A46" t="s" s="304">
        <v>1646</v>
      </c>
      <c r="B46" s="28">
        <v>19</v>
      </c>
      <c r="C46" s="100">
        <v>0.12</v>
      </c>
      <c r="D46" s="312">
        <f>C46+$B$21</f>
        <v>0.12</v>
      </c>
      <c r="E46" s="100">
        <v>0.2</v>
      </c>
      <c r="F46" s="312">
        <f>E46+$B$9*$B$14</f>
        <v>0.18</v>
      </c>
      <c r="G46" t="s" s="15">
        <v>1601</v>
      </c>
      <c r="H46" t="s" s="15">
        <v>1601</v>
      </c>
      <c r="I46" s="100">
        <v>0.12</v>
      </c>
      <c r="J46" s="312">
        <f>I46+$B$9*$B$15</f>
        <v>0.16</v>
      </c>
      <c r="K46" s="22">
        <f>'02-NAND-Model'!G19</f>
        <v>0.388388</v>
      </c>
      <c r="L46" s="22">
        <f>'02-NAND-Model'!H19</f>
        <v>0.208388</v>
      </c>
    </row>
    <row r="47" ht="18" customHeight="1" spans="1:12">
      <c r="A47" t="s" s="304">
        <v>1647</v>
      </c>
      <c r="B47" s="28">
        <v>24</v>
      </c>
      <c r="C47" s="100">
        <v>0.16</v>
      </c>
      <c r="D47" s="312">
        <f>C47+$B$21</f>
        <v>0.16</v>
      </c>
      <c r="E47" s="100">
        <v>0.22</v>
      </c>
      <c r="F47" s="312">
        <f>E47+$B$9*$B$14</f>
        <v>0.2</v>
      </c>
      <c r="G47" t="s" s="15">
        <v>1601</v>
      </c>
      <c r="H47" t="s" s="15">
        <v>1601</v>
      </c>
      <c r="I47" s="100">
        <v>0.08</v>
      </c>
      <c r="J47" s="312">
        <f>I47+$B$9*$B$15</f>
        <v>0.12</v>
      </c>
      <c r="K47" s="22">
        <f>'02-NAND-Model'!G24</f>
        <v>0.4766</v>
      </c>
      <c r="L47" s="22">
        <f>'02-NAND-Model'!H24</f>
        <v>0.3366</v>
      </c>
    </row>
    <row r="48" ht="30" customHeight="1" spans="1:12">
      <c r="A48" t="s" s="304">
        <v>1648</v>
      </c>
      <c r="B48" t="s" s="175">
        <v>1649</v>
      </c>
      <c r="C48" t="s" s="15">
        <v>1601</v>
      </c>
      <c r="D48" t="s" s="15">
        <v>1601</v>
      </c>
      <c r="E48" t="s" s="15">
        <v>1601</v>
      </c>
      <c r="F48" t="s" s="15">
        <v>1601</v>
      </c>
      <c r="G48" t="s" s="15">
        <v>1601</v>
      </c>
      <c r="H48" t="s" s="15">
        <v>1601</v>
      </c>
      <c r="I48" s="100">
        <v>0.3</v>
      </c>
      <c r="J48" s="312">
        <f>I48+$B$20</f>
        <v>0.3</v>
      </c>
      <c r="K48" s="22">
        <f>'03-Demand-BottomUp'!E11</f>
        <v>0.2352</v>
      </c>
      <c r="L48" s="151" t="str">
        <f>"Sheet 03 weighted unconstrained demand (left) against "&amp;SUBSTITUTE(TEXT('03-Demand-BottomUp'!B16,"0.0%"),"-","−")&amp;" in use"</f>
        <v>Sheet 03 weighted unconstrained demand (left) against 33.0% in use</v>
      </c>
    </row>
    <row r="50" ht="24" customHeight="1" spans="1:12">
      <c r="A50" s="295" t="s">
        <v>1650</v>
      </c>
      <c r="B50" s="295"/>
      <c r="C50" s="295"/>
      <c r="D50" s="295"/>
      <c r="E50" s="295"/>
      <c r="F50" s="295"/>
      <c r="G50" s="295"/>
      <c r="H50" s="295"/>
      <c r="I50" s="295"/>
      <c r="J50" s="295"/>
      <c r="K50" s="295"/>
      <c r="L50" s="295"/>
    </row>
    <row r="51" ht="45" customHeight="1" spans="1:12">
      <c r="A51" t="s" s="297">
        <v>1651</v>
      </c>
      <c r="B51" t="s" s="297">
        <v>1652</v>
      </c>
      <c r="C51" t="s" s="297">
        <v>1653</v>
      </c>
      <c r="D51" t="s" s="297">
        <v>1654</v>
      </c>
      <c r="E51" t="s" s="297">
        <v>1655</v>
      </c>
      <c r="F51" t="s" s="297">
        <v>1656</v>
      </c>
      <c r="G51" s="298" t="s">
        <v>1657</v>
      </c>
      <c r="H51" s="298"/>
      <c r="I51" s="298"/>
      <c r="J51" s="298"/>
      <c r="K51" s="298"/>
      <c r="L51" s="298"/>
    </row>
    <row r="52" ht="40" customHeight="1" spans="1:12">
      <c r="A52" t="s" s="304">
        <v>1658</v>
      </c>
      <c r="B52" s="22">
        <f>(1+'01-DRAM-Model'!J25)*(1+'09-v4.1-Corrections'!B17)-1</f>
        <v>0.203730088091204</v>
      </c>
      <c r="C52" s="100">
        <v>0.24</v>
      </c>
      <c r="D52" s="100">
        <v>0.26</v>
      </c>
      <c r="E52" s="310">
        <f>(B52-AVERAGE(C52:D52))*100</f>
        <v>-4.62699119087964</v>
      </c>
      <c r="F52" s="190" t="str">
        <f>IF(AND(B52&gt;=C52-0.00001,B52&lt;=D52+0.00001),"inside",IF(B52&lt;C52-0.015,"below",IF(B52&gt;D52+0.015,"above","close")))</f>
        <v>below</v>
      </c>
      <c r="G52" s="151" t="s">
        <v>1659</v>
      </c>
      <c r="H52" s="151"/>
      <c r="I52" s="151"/>
      <c r="J52" s="151"/>
      <c r="K52" s="151"/>
      <c r="L52" s="151"/>
    </row>
    <row r="53" ht="40" customHeight="1" spans="1:12">
      <c r="A53" t="s" s="304">
        <v>1660</v>
      </c>
      <c r="B53" s="22">
        <f>'06-Inventory-Burn-v4'!J19</f>
        <v>0.220072079478387</v>
      </c>
      <c r="C53" s="100">
        <v>0.21</v>
      </c>
      <c r="D53" s="100">
        <v>0.23</v>
      </c>
      <c r="E53" s="310">
        <f>(B53-AVERAGE(C53:D53))*100</f>
        <v>0.0072079478386583</v>
      </c>
      <c r="F53" s="190" t="str">
        <f>IF(AND(B53&gt;=C53-0.00001,B53&lt;=D53+0.00001),"inside",IF(B53&lt;C53-0.015,"below",IF(B53&gt;D53+0.015,"above","close")))</f>
        <v>inside</v>
      </c>
      <c r="G53" s="151" t="s">
        <v>1661</v>
      </c>
      <c r="H53" s="151"/>
      <c r="I53" s="151"/>
      <c r="J53" s="151"/>
      <c r="K53" s="151"/>
      <c r="L53" s="151"/>
    </row>
    <row r="54" ht="40" customHeight="1" spans="1:12">
      <c r="A54" t="s" s="304">
        <v>1662</v>
      </c>
      <c r="B54" s="22">
        <f>'06-Inventory-Burn-v4'!K19</f>
        <v>0.204256694863002</v>
      </c>
      <c r="C54" s="100">
        <v>0.21</v>
      </c>
      <c r="D54" s="100">
        <v>0.23</v>
      </c>
      <c r="E54" s="310">
        <f>(B54-AVERAGE(C54:D54))*100</f>
        <v>-1.5743305136998</v>
      </c>
      <c r="F54" s="190" t="str">
        <f>IF(AND(B54&gt;=C54-0.00001,B54&lt;=D54+0.00001),"inside",IF(B54&lt;C54-0.015,"below",IF(B54&gt;D54+0.015,"above","close")))</f>
        <v>close</v>
      </c>
      <c r="G54" s="151" t="s">
        <v>1663</v>
      </c>
      <c r="H54" s="151"/>
      <c r="I54" s="151"/>
      <c r="J54" s="151"/>
      <c r="K54" s="151"/>
      <c r="L54" s="151"/>
    </row>
    <row r="55" ht="40" customHeight="1" spans="1:12">
      <c r="A55" t="s" s="304">
        <v>1664</v>
      </c>
      <c r="B55" s="22">
        <f>'06-Inventory-Burn-v4'!I31</f>
        <v>0.216483990345938</v>
      </c>
      <c r="C55" s="100">
        <v>0.21</v>
      </c>
      <c r="D55" s="100">
        <v>0.23</v>
      </c>
      <c r="E55" s="310">
        <f>(B55-AVERAGE(C55:D55))*100</f>
        <v>-0.351600965406232</v>
      </c>
      <c r="F55" s="190" t="str">
        <f>IF(AND(B55&gt;=C55-0.00001,B55&lt;=D55+0.00001),"inside",IF(B55&lt;C55-0.015,"below",IF(B55&gt;D55+0.015,"above","close")))</f>
        <v>inside</v>
      </c>
      <c r="G55" s="151" t="s">
        <v>1665</v>
      </c>
      <c r="H55" s="151"/>
      <c r="I55" s="151"/>
      <c r="J55" s="151"/>
      <c r="K55" s="151"/>
      <c r="L55" s="151"/>
    </row>
    <row r="56" ht="40" customHeight="1" spans="1:12">
      <c r="A56" t="s" s="304">
        <v>1666</v>
      </c>
      <c r="B56" s="22">
        <f>'02-NAND-Model'!G12</f>
        <v>0.172655</v>
      </c>
      <c r="C56" s="100">
        <v>0.21</v>
      </c>
      <c r="D56" s="100">
        <v>0.23</v>
      </c>
      <c r="E56" s="310">
        <f>(B56-AVERAGE(C56:D56))*100</f>
        <v>-4.73450000000002</v>
      </c>
      <c r="F56" s="190" t="str">
        <f>IF(AND(B56&gt;=C56-0.00001,B56&lt;=D56+0.00001),"inside",IF(B56&lt;C56-0.015,"below",IF(B56&gt;D56+0.015,"above","close")))</f>
        <v>below</v>
      </c>
      <c r="G56" s="151" t="s">
        <v>1667</v>
      </c>
      <c r="H56" s="151"/>
      <c r="I56" s="151"/>
      <c r="J56" s="151"/>
      <c r="K56" s="151"/>
      <c r="L56" s="151"/>
    </row>
    <row r="57" ht="40" customHeight="1" spans="1:12">
      <c r="A57" t="s" s="304">
        <v>1668</v>
      </c>
      <c r="B57" s="22">
        <f>'02-NAND-Model'!G13</f>
        <v>0.25454</v>
      </c>
      <c r="C57" s="100">
        <v>0.24</v>
      </c>
      <c r="D57" s="100">
        <v>0.26</v>
      </c>
      <c r="E57" s="310">
        <f>(B57-AVERAGE(C57:D57))*100</f>
        <v>0.453999999999999</v>
      </c>
      <c r="F57" s="190" t="str">
        <f>IF(AND(B57&gt;=C57-0.00001,B57&lt;=D57+0.00001),"inside",IF(B57&lt;C57-0.015,"below",IF(B57&gt;D57+0.015,"above","close")))</f>
        <v>inside</v>
      </c>
      <c r="G57" s="151" t="s">
        <v>1669</v>
      </c>
      <c r="H57" s="151"/>
      <c r="I57" s="151"/>
      <c r="J57" s="151"/>
      <c r="K57" s="151"/>
      <c r="L57" s="151"/>
    </row>
    <row r="58" ht="40" customHeight="1" spans="1:12">
      <c r="A58" t="s" s="304">
        <v>1670</v>
      </c>
      <c r="B58" s="22">
        <f>'02-NAND-Model'!G14</f>
        <v>0.292025</v>
      </c>
      <c r="C58" s="100">
        <v>0.24</v>
      </c>
      <c r="D58" s="100">
        <v>0.26</v>
      </c>
      <c r="E58" s="310">
        <f>(B58-AVERAGE(C58:D58))*100</f>
        <v>4.2025</v>
      </c>
      <c r="F58" s="190" t="str">
        <f>IF(AND(B58&gt;=C58-0.00001,B58&lt;=D58+0.00001),"inside",IF(B58&lt;C58-0.015,"below",IF(B58&gt;D58+0.015,"above","close")))</f>
        <v>above</v>
      </c>
      <c r="G58" s="151" t="s">
        <v>1671</v>
      </c>
      <c r="H58" s="151"/>
      <c r="I58" s="151"/>
      <c r="J58" s="151"/>
      <c r="K58" s="151"/>
      <c r="L58" s="151"/>
    </row>
    <row r="59" ht="40" customHeight="1" spans="1:12">
      <c r="A59" t="s" s="304">
        <v>1672</v>
      </c>
      <c r="B59" s="22">
        <f>'01-DRAM-Model'!G25</f>
        <v>0.18238</v>
      </c>
      <c r="C59" s="100">
        <v>0.2</v>
      </c>
      <c r="D59" s="100">
        <v>0.2</v>
      </c>
      <c r="E59" s="310">
        <f>(B59-AVERAGE(C59:D59))*100</f>
        <v>-1.762</v>
      </c>
      <c r="F59" s="190" t="str">
        <f>IF(AND(B59&gt;=C59-0.00001,B59&lt;=D59+0.00001),"inside",IF(B59&lt;C59-0.015,"below",IF(B59&gt;D59+0.015,"above","close")))</f>
        <v>below</v>
      </c>
      <c r="G59" s="151" t="s">
        <v>1673</v>
      </c>
      <c r="H59" s="151"/>
      <c r="I59" s="151"/>
      <c r="J59" s="151"/>
      <c r="K59" s="151"/>
      <c r="L59" s="151"/>
    </row>
    <row r="60" ht="40" customHeight="1" spans="1:12">
      <c r="A60" t="s" s="304">
        <v>1674</v>
      </c>
      <c r="B60" s="22">
        <f>'01-DRAM-Model'!G26</f>
        <v>0.2457</v>
      </c>
      <c r="C60" s="100">
        <v>0.29</v>
      </c>
      <c r="D60" s="100">
        <v>0.3</v>
      </c>
      <c r="E60" s="310">
        <f>(B60-AVERAGE(C60:D60))*100</f>
        <v>-4.93</v>
      </c>
      <c r="F60" s="190" t="str">
        <f>IF(AND(B60&gt;=C60-0.00001,B60&lt;=D60+0.00001),"inside",IF(B60&lt;C60-0.015,"below",IF(B60&gt;D60+0.015,"above","close")))</f>
        <v>below</v>
      </c>
      <c r="G60" s="151" t="s">
        <v>1675</v>
      </c>
      <c r="H60" s="151"/>
      <c r="I60" s="151"/>
      <c r="J60" s="151"/>
      <c r="K60" s="151"/>
      <c r="L60" s="151"/>
    </row>
    <row r="61" ht="40" customHeight="1" spans="1:12">
      <c r="A61" t="s" s="304">
        <v>1676</v>
      </c>
      <c r="B61" s="22">
        <f>'09-v4.1-Corrections'!H38</f>
        <v>-0.151022100173209</v>
      </c>
      <c r="C61" s="22">
        <f>'09-v4.1-Corrections'!G38</f>
        <v>-0.08</v>
      </c>
      <c r="D61" t="s" s="15">
        <v>1601</v>
      </c>
      <c r="E61" s="310">
        <f>(B61-C61)*100</f>
        <v>-7.10221001732092</v>
      </c>
      <c r="F61" s="190" t="str">
        <f>IF(B61&lt;C61,"tighter ✔","looser ✘")</f>
        <v>tighter ✔</v>
      </c>
      <c r="G61" s="151" t="s">
        <v>1677</v>
      </c>
      <c r="H61" s="151"/>
      <c r="I61" s="151"/>
      <c r="J61" s="151"/>
      <c r="K61" s="151"/>
      <c r="L61" s="151"/>
    </row>
    <row r="62" ht="40" customHeight="1" spans="1:12">
      <c r="A62" t="s" s="304">
        <v>1678</v>
      </c>
      <c r="B62" s="22">
        <f>'09-v4.1-Corrections'!I38</f>
        <v>-0.173785581362554</v>
      </c>
      <c r="C62" s="22">
        <f>'09-v4.1-Corrections'!G38</f>
        <v>-0.08</v>
      </c>
      <c r="D62" t="s" s="15">
        <v>1601</v>
      </c>
      <c r="E62" s="310">
        <f>(B62-C62)*100</f>
        <v>-9.37855813625535</v>
      </c>
      <c r="F62" s="190" t="str">
        <f>IF(B62&lt;C62,"tighter ✔","looser ✘")</f>
        <v>tighter ✔</v>
      </c>
      <c r="G62" s="151" t="s">
        <v>1679</v>
      </c>
      <c r="H62" s="151"/>
      <c r="I62" s="151"/>
      <c r="J62" s="151"/>
      <c r="K62" s="151"/>
      <c r="L62" s="151"/>
    </row>
    <row r="63" ht="40" customHeight="1" spans="1:12">
      <c r="A63" t="s" s="304">
        <v>1680</v>
      </c>
      <c r="B63" s="22">
        <f>'02-NAND-Model'!H13</f>
        <v>-0.00546000000000002</v>
      </c>
      <c r="C63" s="100">
        <v>0</v>
      </c>
      <c r="D63" t="s" s="15">
        <v>1601</v>
      </c>
      <c r="E63" s="310">
        <f>(B63-C63)*100</f>
        <v>-0.546000000000002</v>
      </c>
      <c r="F63" s="190" t="str">
        <f>IF(B63&lt;=C63,"constrained ✔","loosening ✘")</f>
        <v>constrained ✔</v>
      </c>
      <c r="G63" s="151" t="s">
        <v>1681</v>
      </c>
      <c r="H63" s="151"/>
      <c r="I63" s="151"/>
      <c r="J63" s="151"/>
      <c r="K63" s="151"/>
      <c r="L63" s="151"/>
    </row>
    <row r="64" ht="40" customHeight="1" spans="1:12">
      <c r="A64" t="s" s="304">
        <v>1682</v>
      </c>
      <c r="B64" s="22">
        <f>'02-NAND-Model'!H14</f>
        <v>0.052025</v>
      </c>
      <c r="C64" s="100">
        <v>0</v>
      </c>
      <c r="D64" t="s" s="15">
        <v>1601</v>
      </c>
      <c r="E64" s="310">
        <f>(B64-C64)*100</f>
        <v>5.2025</v>
      </c>
      <c r="F64" s="190" t="str">
        <f>IF(B64&lt;=C64,"constrained ✔","loosening ✘")</f>
        <v>loosening ✘</v>
      </c>
      <c r="G64" s="151" t="s">
        <v>1683</v>
      </c>
      <c r="H64" s="151"/>
      <c r="I64" s="151"/>
      <c r="J64" s="151"/>
      <c r="K64" s="151"/>
      <c r="L64" s="151"/>
    </row>
    <row r="65" ht="44" customHeight="1" spans="1:12">
      <c r="A65" s="300" t="s">
        <v>1684</v>
      </c>
      <c r="B65" s="300"/>
      <c r="C65" s="300"/>
      <c r="D65" s="300"/>
      <c r="E65" s="300"/>
      <c r="F65" s="300"/>
      <c r="G65" s="300"/>
      <c r="H65" s="300"/>
      <c r="I65" s="300"/>
      <c r="J65" s="300"/>
      <c r="K65" s="300"/>
      <c r="L65" s="300"/>
    </row>
    <row r="67" ht="24" customHeight="1" spans="1:12">
      <c r="A67" s="295" t="s">
        <v>1685</v>
      </c>
      <c r="B67" s="295"/>
      <c r="C67" s="295"/>
      <c r="D67" s="295"/>
      <c r="E67" s="295"/>
      <c r="F67" s="295"/>
      <c r="G67" s="295"/>
      <c r="H67" s="295"/>
      <c r="I67" s="295"/>
      <c r="J67" s="295"/>
      <c r="K67" s="295"/>
      <c r="L67" s="295"/>
    </row>
    <row r="68" ht="31.5" customHeight="1" spans="1:12">
      <c r="A68" t="s" s="297">
        <v>1686</v>
      </c>
      <c r="B68" s="298" t="s">
        <v>1687</v>
      </c>
      <c r="C68" s="298"/>
      <c r="D68" s="298" t="s">
        <v>1688</v>
      </c>
      <c r="E68" s="298"/>
      <c r="F68" s="298"/>
      <c r="G68" t="s" s="297">
        <v>1689</v>
      </c>
      <c r="H68" s="298" t="s">
        <v>1690</v>
      </c>
      <c r="I68" s="298"/>
      <c r="J68" s="298"/>
      <c r="K68" s="298"/>
      <c r="L68" s="298"/>
    </row>
    <row r="69" ht="78" customHeight="1" spans="1:12">
      <c r="A69" t="s" s="305">
        <v>1691</v>
      </c>
      <c r="B69" s="151" t="s">
        <v>1692</v>
      </c>
      <c r="C69" s="151"/>
      <c r="D69" s="151" t="s">
        <v>1693</v>
      </c>
      <c r="E69" s="151"/>
      <c r="F69" s="151"/>
      <c r="G69" t="s" s="319">
        <v>1694</v>
      </c>
      <c r="H69" s="151" t="s">
        <v>1695</v>
      </c>
      <c r="I69" s="151"/>
      <c r="J69" s="151"/>
      <c r="K69" s="151"/>
      <c r="L69" s="151"/>
    </row>
    <row r="70" ht="78" customHeight="1" spans="1:12">
      <c r="A70" t="s" s="305">
        <v>1696</v>
      </c>
      <c r="B70" s="151" t="s">
        <v>1697</v>
      </c>
      <c r="C70" s="151"/>
      <c r="D70" s="151" t="s">
        <v>1698</v>
      </c>
      <c r="E70" s="151"/>
      <c r="F70" s="151"/>
      <c r="G70" t="s" s="319">
        <v>1699</v>
      </c>
      <c r="H70" s="151" t="s">
        <v>1700</v>
      </c>
      <c r="I70" s="151"/>
      <c r="J70" s="151"/>
      <c r="K70" s="151"/>
      <c r="L70" s="151"/>
    </row>
    <row r="71" ht="78" customHeight="1" spans="1:12">
      <c r="A71" t="s" s="305">
        <v>1701</v>
      </c>
      <c r="B71" s="151" t="s">
        <v>1702</v>
      </c>
      <c r="C71" s="151"/>
      <c r="D71" s="151" t="s">
        <v>1703</v>
      </c>
      <c r="E71" s="151"/>
      <c r="F71" s="151"/>
      <c r="G71" t="s" s="319">
        <v>1704</v>
      </c>
      <c r="H71" s="151" t="s">
        <v>1705</v>
      </c>
      <c r="I71" s="151"/>
      <c r="J71" s="151"/>
      <c r="K71" s="151"/>
      <c r="L71" s="151"/>
    </row>
    <row r="72" ht="78" customHeight="1" spans="1:12">
      <c r="A72" t="s" s="305">
        <v>1706</v>
      </c>
      <c r="B72" s="151" t="s">
        <v>1707</v>
      </c>
      <c r="C72" s="151"/>
      <c r="D72" s="151" t="s">
        <v>1708</v>
      </c>
      <c r="E72" s="151"/>
      <c r="F72" s="151"/>
      <c r="G72" t="s" s="319">
        <v>1709</v>
      </c>
      <c r="H72" s="151" t="s">
        <v>1710</v>
      </c>
      <c r="I72" s="151"/>
      <c r="J72" s="151"/>
      <c r="K72" s="151"/>
      <c r="L72" s="151"/>
    </row>
    <row r="73" ht="78" customHeight="1" spans="1:12">
      <c r="A73" t="s" s="305">
        <v>1711</v>
      </c>
      <c r="B73" s="151" t="s">
        <v>1712</v>
      </c>
      <c r="C73" s="151"/>
      <c r="D73" s="151" t="s">
        <v>1713</v>
      </c>
      <c r="E73" s="151"/>
      <c r="F73" s="151"/>
      <c r="G73" t="s" s="319">
        <v>1714</v>
      </c>
      <c r="H73" s="151" t="s">
        <v>1715</v>
      </c>
      <c r="I73" s="151"/>
      <c r="J73" s="151"/>
      <c r="K73" s="151"/>
      <c r="L73" s="151"/>
    </row>
    <row r="74" ht="78" customHeight="1" spans="1:12">
      <c r="A74" t="s" s="305">
        <v>1716</v>
      </c>
      <c r="B74" s="151" t="s">
        <v>1717</v>
      </c>
      <c r="C74" s="151"/>
      <c r="D74" s="151" t="s">
        <v>1718</v>
      </c>
      <c r="E74" s="151"/>
      <c r="F74" s="151"/>
      <c r="G74" t="s" s="319">
        <v>1719</v>
      </c>
      <c r="H74" s="151" t="s">
        <v>1720</v>
      </c>
      <c r="I74" s="151"/>
      <c r="J74" s="151"/>
      <c r="K74" s="151"/>
      <c r="L74" s="151"/>
    </row>
    <row r="75" ht="44" customHeight="1" spans="1:12">
      <c r="A75" s="300" t="s">
        <v>1721</v>
      </c>
      <c r="B75" s="300"/>
      <c r="C75" s="300"/>
      <c r="D75" s="300"/>
      <c r="E75" s="300"/>
      <c r="F75" s="300"/>
      <c r="G75" s="300"/>
      <c r="H75" s="300"/>
      <c r="I75" s="300"/>
      <c r="J75" s="300"/>
      <c r="K75" s="300"/>
      <c r="L75" s="300"/>
    </row>
    <row r="77" ht="24" customHeight="1" spans="1:12">
      <c r="A77" s="295" t="s">
        <v>1722</v>
      </c>
      <c r="B77" s="295"/>
      <c r="C77" s="295"/>
      <c r="D77" s="295"/>
      <c r="E77" s="295"/>
      <c r="F77" s="295"/>
      <c r="G77" s="295"/>
      <c r="H77" s="295"/>
      <c r="I77" s="295"/>
      <c r="J77" s="295"/>
      <c r="K77" s="295"/>
      <c r="L77" s="295"/>
    </row>
    <row r="78" ht="31.5" customHeight="1" spans="1:12">
      <c r="A78" t="s" s="297">
        <v>1723</v>
      </c>
      <c r="B78" t="s" s="297">
        <v>1724</v>
      </c>
      <c r="C78" t="s" s="297">
        <v>1725</v>
      </c>
      <c r="D78" t="s" s="297">
        <v>1726</v>
      </c>
      <c r="E78" s="298" t="s">
        <v>1727</v>
      </c>
      <c r="F78" s="298"/>
      <c r="G78" s="298"/>
      <c r="H78" s="298"/>
      <c r="I78" s="298"/>
      <c r="J78" s="298"/>
      <c r="K78" s="298"/>
      <c r="L78" s="298"/>
    </row>
    <row r="79" ht="30" customHeight="1" spans="1:12">
      <c r="A79" t="s" s="304">
        <v>1728</v>
      </c>
      <c r="B79" s="100">
        <v>0.167025</v>
      </c>
      <c r="C79" s="312">
        <f>'06-Inventory-Burn-v4'!J19</f>
        <v>0.220072079478387</v>
      </c>
      <c r="D79" s="310">
        <f>(C79-B79)*100</f>
        <v>5.30470794783866</v>
      </c>
      <c r="E79" s="151" t="str">
        <f>"Inside Micron’s low-20s and within "&amp;SUBSTITUTE(TEXT(ABS('06-Inventory-Burn-v4'!J19-0.24)*100,"0.0"),"-","−")&amp;"pp of TrendForce’s 24%."</f>
        <v>Inside Micron’s low-20s and within 2.0pp of TrendForce’s 24%.</v>
      </c>
      <c r="F79" s="151"/>
      <c r="G79" s="151"/>
      <c r="H79" s="151"/>
      <c r="I79" s="151"/>
      <c r="J79" s="151"/>
      <c r="K79" s="151"/>
      <c r="L79" s="151"/>
    </row>
    <row r="80" ht="30" customHeight="1" spans="1:12">
      <c r="A80" t="s" s="304">
        <v>1729</v>
      </c>
      <c r="B80" s="100">
        <v>0.15121</v>
      </c>
      <c r="C80" s="312">
        <f>'06-Inventory-Burn-v4'!K19</f>
        <v>0.204256694863002</v>
      </c>
      <c r="D80" s="310">
        <f>(C80-B80)*100</f>
        <v>5.3046694863002</v>
      </c>
      <c r="E80" s="151" t="s">
        <v>1730</v>
      </c>
      <c r="F80" s="151"/>
      <c r="G80" s="151"/>
      <c r="H80" s="151"/>
      <c r="I80" s="151"/>
      <c r="J80" s="151"/>
      <c r="K80" s="151"/>
      <c r="L80" s="151"/>
    </row>
    <row r="81" ht="30" customHeight="1" spans="1:12">
      <c r="A81" t="s" s="304">
        <v>1731</v>
      </c>
      <c r="B81" s="100">
        <v>0.245</v>
      </c>
      <c r="C81" s="312">
        <f>'06-Inventory-Burn-v4'!I19</f>
        <v>0.305</v>
      </c>
      <c r="D81" s="310">
        <f>(C81-B81)*100</f>
        <v>6</v>
      </c>
      <c r="E81" s="151" t="s">
        <v>1732</v>
      </c>
      <c r="F81" s="151"/>
      <c r="G81" s="151"/>
      <c r="H81" s="151"/>
      <c r="I81" s="151"/>
      <c r="J81" s="151"/>
      <c r="K81" s="151"/>
      <c r="L81" s="151"/>
    </row>
    <row r="82" ht="30" customHeight="1" spans="1:12">
      <c r="A82" t="s" s="304">
        <v>1733</v>
      </c>
      <c r="B82" s="100">
        <v>-0.09379</v>
      </c>
      <c r="C82" s="312">
        <f>'06-Inventory-Burn-v4'!G19</f>
        <v>-0.100743305136998</v>
      </c>
      <c r="D82" s="310">
        <f>(C82-B82)*100</f>
        <v>-0.695330513699803</v>
      </c>
      <c r="E82" s="151" t="s">
        <v>1734</v>
      </c>
      <c r="F82" s="151"/>
      <c r="G82" s="151"/>
      <c r="H82" s="151"/>
      <c r="I82" s="151"/>
      <c r="J82" s="151"/>
      <c r="K82" s="151"/>
      <c r="L82" s="151"/>
    </row>
    <row r="83" ht="30" customHeight="1" spans="1:12">
      <c r="A83" t="s" s="304">
        <v>1735</v>
      </c>
      <c r="B83" s="100">
        <v>-0.031314</v>
      </c>
      <c r="C83" s="312">
        <f>'06-Inventory-Burn-v4'!G23</f>
        <v>-0.0372256495811009</v>
      </c>
      <c r="D83" s="310">
        <f>(C83-B83)*100</f>
        <v>-0.591164958110085</v>
      </c>
      <c r="E83" s="151" t="s">
        <v>1736</v>
      </c>
      <c r="F83" s="151"/>
      <c r="G83" s="151"/>
      <c r="H83" s="151"/>
      <c r="I83" s="151"/>
      <c r="J83" s="151"/>
      <c r="K83" s="151"/>
      <c r="L83" s="151"/>
    </row>
    <row r="84" ht="30" customHeight="1" spans="1:12">
      <c r="A84" t="s" s="304">
        <v>1737</v>
      </c>
      <c r="B84" s="315">
        <v>0.53</v>
      </c>
      <c r="C84" s="313">
        <f>'06-Inventory-Burn-v4'!G25</f>
        <v>0.53</v>
      </c>
      <c r="D84" s="310">
        <f>(C84-B84)*100</f>
        <v>0</v>
      </c>
      <c r="E84" s="151" t="s">
        <v>1738</v>
      </c>
      <c r="F84" s="151"/>
      <c r="G84" s="151"/>
      <c r="H84" s="151"/>
      <c r="I84" s="151"/>
      <c r="J84" s="151"/>
      <c r="K84" s="151"/>
      <c r="L84" s="151"/>
    </row>
    <row r="85" ht="30" customHeight="1" spans="1:12">
      <c r="A85" t="s" s="304">
        <v>1739</v>
      </c>
      <c r="B85" s="100">
        <v>-0.149307</v>
      </c>
      <c r="C85" s="312">
        <f>'09-v4.1-Corrections'!H38</f>
        <v>-0.151022100173209</v>
      </c>
      <c r="D85" s="310">
        <f>(C85-B85)*100</f>
        <v>-0.171510017320917</v>
      </c>
      <c r="E85" s="151" t="s">
        <v>1740</v>
      </c>
      <c r="F85" s="151"/>
      <c r="G85" s="151"/>
      <c r="H85" s="151"/>
      <c r="I85" s="151"/>
      <c r="J85" s="151"/>
      <c r="K85" s="151"/>
      <c r="L85" s="151"/>
    </row>
    <row r="86" ht="30" customHeight="1" spans="1:12">
      <c r="A86" t="s" s="304">
        <v>1741</v>
      </c>
      <c r="B86" s="100">
        <v>-0.142549</v>
      </c>
      <c r="C86" s="312">
        <f>'09-v4.1-Corrections'!I38</f>
        <v>-0.173785581362554</v>
      </c>
      <c r="D86" s="310">
        <f>(C86-B86)*100</f>
        <v>-3.12365813625535</v>
      </c>
      <c r="E86" s="151" t="str">
        <f>IF('09-v4.1-Corrections'!I38&lt;'09-v4.1-Corrections'!H38,"Deeper than 2027 in the base case: the shortage does not ease in 2028.","Shallower than 2027: the base case starts to ease in 2028.")</f>
        <v>Deeper than 2027 in the base case: the shortage does not ease in 2028.</v>
      </c>
      <c r="F86" s="151"/>
      <c r="G86" s="151"/>
      <c r="H86" s="151"/>
      <c r="I86" s="151"/>
      <c r="J86" s="151"/>
      <c r="K86" s="151"/>
      <c r="L86" s="151"/>
    </row>
    <row r="87" ht="30" customHeight="1" spans="1:12">
      <c r="A87" t="s" s="304">
        <v>1742</v>
      </c>
      <c r="B87" s="315">
        <v>0.95</v>
      </c>
      <c r="C87" s="313">
        <f>'09-v4.1-Corrections'!H31</f>
        <v>0.95</v>
      </c>
      <c r="D87" s="310">
        <f>(C87-B87)*100</f>
        <v>0</v>
      </c>
      <c r="E87" s="151" t="s">
        <v>1743</v>
      </c>
      <c r="F87" s="151"/>
      <c r="G87" s="151"/>
      <c r="H87" s="151"/>
      <c r="I87" s="151"/>
      <c r="J87" s="151"/>
      <c r="K87" s="151"/>
      <c r="L87" s="151"/>
    </row>
    <row r="88" ht="30" customHeight="1" spans="1:12">
      <c r="A88" t="s" s="304">
        <v>1744</v>
      </c>
      <c r="B88" s="315">
        <v>0.53</v>
      </c>
      <c r="C88" s="313">
        <f>'09-v4.1-Corrections'!I31</f>
        <v>0.53</v>
      </c>
      <c r="D88" s="310">
        <f>(C88-B88)*100</f>
        <v>0</v>
      </c>
      <c r="E88" s="151" t="s">
        <v>1745</v>
      </c>
      <c r="F88" s="151"/>
      <c r="G88" s="151"/>
      <c r="H88" s="151"/>
      <c r="I88" s="151"/>
      <c r="J88" s="151"/>
      <c r="K88" s="151"/>
      <c r="L88" s="151"/>
    </row>
    <row r="89" ht="30" customHeight="1" spans="1:12">
      <c r="A89" t="s" s="304">
        <v>1746</v>
      </c>
      <c r="B89" s="100">
        <v>0.25993</v>
      </c>
      <c r="C89" s="312">
        <f>'06-Inventory-Burn-v4'!I31</f>
        <v>0.216483990345938</v>
      </c>
      <c r="D89" s="310">
        <f>(C89-B89)*100</f>
        <v>-4.34460096540623</v>
      </c>
      <c r="E89" s="151" t="s">
        <v>1747</v>
      </c>
      <c r="F89" s="151"/>
      <c r="G89" s="151"/>
      <c r="H89" s="151"/>
      <c r="I89" s="151"/>
      <c r="J89" s="151"/>
      <c r="K89" s="151"/>
      <c r="L89" s="151"/>
    </row>
    <row r="90" ht="30" customHeight="1" spans="1:12">
      <c r="A90" t="s" s="304">
        <v>1748</v>
      </c>
      <c r="B90" s="100">
        <v>0.00993</v>
      </c>
      <c r="C90" s="312">
        <f>'06-Inventory-Burn-v4'!E31</f>
        <v>-0.0335160096540623</v>
      </c>
      <c r="D90" s="310">
        <f>(C90-B90)*100</f>
        <v>-4.34460096540623</v>
      </c>
      <c r="E90" s="151" t="str">
        <f>IF('06-Inventory-Burn-v4'!E31&lt;0,"Still widening in 2028: on Micron’s calendar the turn moves to about 2029, one year beyond the model’s horizon (extending it is a v5.0 item).","Turns positive in 2028.")</f>
        <v>Still widening in 2028: on Micron’s calendar the turn moves to about 2029, one year beyond the model’s horizon (extending it is a v5.0 item).</v>
      </c>
      <c r="F90" s="151"/>
      <c r="G90" s="151"/>
      <c r="H90" s="151"/>
      <c r="I90" s="151"/>
      <c r="J90" s="151"/>
      <c r="K90" s="151"/>
      <c r="L90" s="151"/>
    </row>
    <row r="91" ht="30" customHeight="1" spans="1:12">
      <c r="A91" t="s" s="304">
        <v>1749</v>
      </c>
      <c r="B91" s="100">
        <v>0.10615</v>
      </c>
      <c r="C91" s="312">
        <f>'06-Inventory-Burn-v4'!E35</f>
        <v>0.0616483750322258</v>
      </c>
      <c r="D91" s="310">
        <f>(C91-B91)*100</f>
        <v>-4.45016249677742</v>
      </c>
      <c r="E91" s="151" t="s">
        <v>1750</v>
      </c>
      <c r="F91" s="151"/>
      <c r="G91" s="151"/>
      <c r="H91" s="151"/>
      <c r="I91" s="151"/>
      <c r="J91" s="151"/>
      <c r="K91" s="151"/>
      <c r="L91" s="151"/>
    </row>
    <row r="92" ht="30" customHeight="1" spans="1:12">
      <c r="A92" t="s" s="304">
        <v>1751</v>
      </c>
      <c r="B92" s="100">
        <v>0.05617</v>
      </c>
      <c r="C92" s="312">
        <f>'02-NAND-Model'!H13</f>
        <v>-0.00546000000000002</v>
      </c>
      <c r="D92" s="310">
        <f>(C92-B92)*100</f>
        <v>-6.163</v>
      </c>
      <c r="E92" s="151" t="str">
        <f>IF('02-NAND-Model'!H13&lt;=0,"Supply constrained in 2027, as Micron says: no NAND turn in the base case.","Loosening in 2027.")</f>
        <v>Supply constrained in 2027, as Micron says: no NAND turn in the base case.</v>
      </c>
      <c r="F92" s="151"/>
      <c r="G92" s="151"/>
      <c r="H92" s="151"/>
      <c r="I92" s="151"/>
      <c r="J92" s="151"/>
      <c r="K92" s="151"/>
      <c r="L92" s="151"/>
    </row>
    <row r="93" ht="30" customHeight="1" spans="1:12">
      <c r="A93" t="s" s="304">
        <v>1752</v>
      </c>
      <c r="B93" s="100">
        <v>0.077841</v>
      </c>
      <c r="C93" s="312">
        <f>'02-NAND-Model'!E34</f>
        <v>0.0160591900000001</v>
      </c>
      <c r="D93" s="310">
        <f>(C93-B93)*100</f>
        <v>-6.17818099999999</v>
      </c>
      <c r="E93" s="151" t="s">
        <v>1753</v>
      </c>
      <c r="F93" s="151"/>
      <c r="G93" s="151"/>
      <c r="H93" s="151"/>
      <c r="I93" s="151"/>
      <c r="J93" s="151"/>
      <c r="K93" s="151"/>
      <c r="L93" s="151"/>
    </row>
    <row r="94" ht="30" customHeight="1" spans="1:12">
      <c r="A94" t="s" s="304">
        <v>1754</v>
      </c>
      <c r="B94" s="100">
        <v>0.139978</v>
      </c>
      <c r="C94" s="312">
        <f>'02-NAND-Model'!F34</f>
        <v>0.07731568</v>
      </c>
      <c r="D94" s="310">
        <f>(C94-B94)*100</f>
        <v>-6.266232</v>
      </c>
      <c r="E94" s="151" t="s">
        <v>1755</v>
      </c>
      <c r="F94" s="151"/>
      <c r="G94" s="151"/>
      <c r="H94" s="151"/>
      <c r="I94" s="151"/>
      <c r="J94" s="151"/>
      <c r="K94" s="151"/>
      <c r="L94" s="151"/>
    </row>
    <row r="95" ht="30" customHeight="1" spans="1:12">
      <c r="A95" t="s" s="304">
        <v>1756</v>
      </c>
      <c r="B95" s="100">
        <v>-0.010232</v>
      </c>
      <c r="C95" s="312">
        <f>'02-NAND-Model'!F43</f>
        <v>-0.0580103628752265</v>
      </c>
      <c r="D95" s="310">
        <f>(C95-B95)*100</f>
        <v>-4.77783628752265</v>
      </c>
      <c r="E95" s="151" t="s">
        <v>1757</v>
      </c>
      <c r="F95" s="151"/>
      <c r="G95" s="151"/>
      <c r="H95" s="151"/>
      <c r="I95" s="151"/>
      <c r="J95" s="151"/>
      <c r="K95" s="151"/>
      <c r="L95" s="151"/>
    </row>
    <row r="96" ht="30" customHeight="1" spans="1:12">
      <c r="A96" t="s" s="304">
        <v>1758</v>
      </c>
      <c r="B96" s="100">
        <v>0.118889</v>
      </c>
      <c r="C96" s="312">
        <f>'02-NAND-Model'!G43</f>
        <v>0.012515496894063</v>
      </c>
      <c r="D96" s="310">
        <f>(C96-B96)*100</f>
        <v>-10.6373503105937</v>
      </c>
      <c r="E96" s="151" t="s">
        <v>1759</v>
      </c>
      <c r="F96" s="151"/>
      <c r="G96" s="151"/>
      <c r="H96" s="151"/>
      <c r="I96" s="151"/>
      <c r="J96" s="151"/>
      <c r="K96" s="151"/>
      <c r="L96" s="151"/>
    </row>
    <row r="97" ht="30" customHeight="1" spans="1:12">
      <c r="A97" t="s" s="304">
        <v>1760</v>
      </c>
      <c r="B97" s="306">
        <v>11.042441</v>
      </c>
      <c r="C97" s="310">
        <f>'02-NAND-Model'!D50</f>
        <v>5.4197463822721</v>
      </c>
      <c r="D97" s="310">
        <f>C97-B97</f>
        <v>-5.6226946177279</v>
      </c>
      <c r="E97" s="151" t="s">
        <v>1761</v>
      </c>
      <c r="F97" s="151"/>
      <c r="G97" s="151"/>
      <c r="H97" s="151"/>
      <c r="I97" s="151"/>
      <c r="J97" s="151"/>
      <c r="K97" s="151"/>
      <c r="L97" s="151"/>
    </row>
    <row r="99" ht="24" customHeight="1" spans="1:12">
      <c r="A99" s="295" t="s">
        <v>1762</v>
      </c>
      <c r="B99" s="295"/>
      <c r="C99" s="295"/>
      <c r="D99" s="295"/>
      <c r="E99" s="295"/>
      <c r="F99" s="295"/>
      <c r="G99" s="295"/>
      <c r="H99" s="295"/>
      <c r="I99" s="295"/>
      <c r="J99" s="295"/>
      <c r="K99" s="295"/>
      <c r="L99" s="295"/>
    </row>
    <row r="100" ht="45" customHeight="1" spans="1:12">
      <c r="A100" t="s" s="297">
        <v>1763</v>
      </c>
      <c r="B100" t="s" s="297">
        <v>1764</v>
      </c>
      <c r="C100" t="s" s="297">
        <v>1765</v>
      </c>
      <c r="D100" t="s" s="297">
        <v>1766</v>
      </c>
      <c r="E100" t="s" s="297">
        <v>1767</v>
      </c>
      <c r="F100" t="s" s="297">
        <v>1768</v>
      </c>
      <c r="G100" t="s" s="297">
        <v>1769</v>
      </c>
      <c r="H100" t="s" s="297">
        <v>1770</v>
      </c>
      <c r="I100" s="298" t="s">
        <v>1727</v>
      </c>
      <c r="J100" s="298"/>
      <c r="K100" s="298"/>
      <c r="L100" s="298"/>
    </row>
    <row r="101" ht="30" customHeight="1" spans="1:12">
      <c r="A101" t="s" s="304">
        <v>1771</v>
      </c>
      <c r="B101" s="100">
        <v>-0.100743305136998</v>
      </c>
      <c r="C101" s="100">
        <v>-0.0372256495811009</v>
      </c>
      <c r="D101" s="315">
        <v>0.53</v>
      </c>
      <c r="E101" s="100">
        <v>-0.151022100173209</v>
      </c>
      <c r="F101" s="100">
        <v>-0.173785581362554</v>
      </c>
      <c r="G101" s="315">
        <v>0.95</v>
      </c>
      <c r="H101" s="315">
        <v>0.53</v>
      </c>
      <c r="I101" s="151" t="s">
        <v>1772</v>
      </c>
      <c r="J101" s="151"/>
      <c r="K101" s="151"/>
      <c r="L101" s="151"/>
    </row>
    <row r="102" ht="30" customHeight="1" spans="1:12">
      <c r="A102" t="s" s="304">
        <v>1773</v>
      </c>
      <c r="B102" s="100">
        <v>-0.109639458983152</v>
      </c>
      <c r="C102" s="100">
        <v>-0.0461218034272547</v>
      </c>
      <c r="D102" s="315">
        <v>0.53</v>
      </c>
      <c r="E102" s="100">
        <v>-0.157293718210345</v>
      </c>
      <c r="F102" s="100">
        <v>-0.179889039711145</v>
      </c>
      <c r="G102" s="315">
        <v>0.95</v>
      </c>
      <c r="H102" s="315">
        <v>0.53</v>
      </c>
      <c r="I102" s="151" t="s">
        <v>1774</v>
      </c>
      <c r="J102" s="151"/>
      <c r="K102" s="151"/>
      <c r="L102" s="151"/>
    </row>
    <row r="103" ht="30" customHeight="1" spans="1:12">
      <c r="A103" t="s" s="304">
        <v>1775</v>
      </c>
      <c r="B103" s="100">
        <v>-0.125743305136998</v>
      </c>
      <c r="C103" s="100">
        <v>-0.0622256495811009</v>
      </c>
      <c r="D103" s="315">
        <v>0.78</v>
      </c>
      <c r="E103" s="100">
        <v>-0.166980331372961</v>
      </c>
      <c r="F103" s="100">
        <v>-0.189315927577543</v>
      </c>
      <c r="G103" s="315">
        <v>0.95</v>
      </c>
      <c r="H103" s="315">
        <v>0.53</v>
      </c>
      <c r="I103" s="151" t="s">
        <v>1776</v>
      </c>
      <c r="J103" s="151"/>
      <c r="K103" s="151"/>
      <c r="L103" s="151"/>
    </row>
    <row r="104" ht="30" customHeight="1" spans="1:12">
      <c r="A104" t="s" s="304">
        <v>1777</v>
      </c>
      <c r="B104" s="100">
        <v>-0.134639458983152</v>
      </c>
      <c r="C104" s="100">
        <v>-0.0711218034272547</v>
      </c>
      <c r="D104" s="315">
        <v>0.78</v>
      </c>
      <c r="E104" s="100">
        <v>-0.173134061853007</v>
      </c>
      <c r="F104" s="100">
        <v>-0.195304659265447</v>
      </c>
      <c r="G104" s="315">
        <v>0.95</v>
      </c>
      <c r="H104" s="315">
        <v>0.53</v>
      </c>
      <c r="I104" s="151" t="s">
        <v>1778</v>
      </c>
      <c r="J104" s="151"/>
      <c r="K104" s="151"/>
      <c r="L104" s="151"/>
    </row>
    <row r="105" ht="30" customHeight="1" spans="1:12">
      <c r="A105" t="s" s="304">
        <v>1779</v>
      </c>
      <c r="B105" s="100">
        <v>-0.148542350011085</v>
      </c>
      <c r="C105" s="100">
        <v>-0.0859923653364708</v>
      </c>
      <c r="D105" s="315">
        <v>0.78</v>
      </c>
      <c r="E105" s="100">
        <v>-0.184719511118926</v>
      </c>
      <c r="F105" s="100">
        <v>-0.208623963382733</v>
      </c>
      <c r="G105" s="315">
        <v>0.95</v>
      </c>
      <c r="H105" s="315">
        <v>0.78</v>
      </c>
      <c r="I105" s="151" t="s">
        <v>1780</v>
      </c>
      <c r="J105" s="151"/>
      <c r="K105" s="151"/>
      <c r="L105" s="151"/>
    </row>
    <row r="106" ht="30" customHeight="1" spans="1:12">
      <c r="A106" t="s" s="304">
        <v>1781</v>
      </c>
      <c r="B106" s="100">
        <v>-0.100743305136998</v>
      </c>
      <c r="C106" s="100">
        <v>-0.0372256495811009</v>
      </c>
      <c r="D106" s="315">
        <v>0.53</v>
      </c>
      <c r="E106" s="100">
        <v>-0.151022100173209</v>
      </c>
      <c r="F106" s="100">
        <v>-0.173785581362554</v>
      </c>
      <c r="G106" s="315">
        <v>0.95</v>
      </c>
      <c r="H106" s="315">
        <v>0.78</v>
      </c>
      <c r="I106" s="151" t="s">
        <v>1782</v>
      </c>
      <c r="J106" s="151"/>
      <c r="K106" s="151"/>
      <c r="L106" s="151"/>
    </row>
    <row r="107" ht="30" customHeight="1" spans="1:12">
      <c r="A107" t="s" s="304">
        <v>1783</v>
      </c>
      <c r="B107" s="100">
        <v>-0.100743305136998</v>
      </c>
      <c r="C107" s="100">
        <v>-0.0372256495811009</v>
      </c>
      <c r="D107" s="315">
        <v>0.53</v>
      </c>
      <c r="E107" s="100">
        <v>-0.151022100173209</v>
      </c>
      <c r="F107" s="100">
        <v>-0.173785581362554</v>
      </c>
      <c r="G107" s="315">
        <v>0.95</v>
      </c>
      <c r="H107" s="315">
        <v>0.53</v>
      </c>
      <c r="I107" s="151" t="s">
        <v>1784</v>
      </c>
      <c r="J107" s="151"/>
      <c r="K107" s="151"/>
      <c r="L107" s="151"/>
    </row>
    <row r="108" ht="30" customHeight="1" spans="1:12">
      <c r="A108" t="s" s="304">
        <v>1785</v>
      </c>
      <c r="B108" s="312">
        <f>MAX(0,('03-Demand-BottomUp'!B16-'03-Demand-BottomUp'!B17)/'03-Demand-BottomUp'!B7)</f>
        <v>0.225714285714286</v>
      </c>
      <c r="C108" t="s" s="15">
        <v>1601</v>
      </c>
      <c r="D108" t="s" s="15">
        <v>1601</v>
      </c>
      <c r="E108" t="s" s="15">
        <v>1601</v>
      </c>
      <c r="F108" t="s" s="15">
        <v>1601</v>
      </c>
      <c r="G108" t="s" s="15">
        <v>1601</v>
      </c>
      <c r="H108" t="s" s="15">
        <v>1601</v>
      </c>
      <c r="I108" s="151" t="str">
        <f>"Demand in use "&amp;SUBSTITUTE(TEXT('03-Demand-BottomUp'!B16,"0.0%"),"-","−")&amp;" against the bottom-up "&amp;SUBSTITUTE(TEXT('03-Demand-BottomUp'!B17,"0.0%"),"-","−")&amp;": the RDIMM / server line ("&amp;SUBSTITUTE(TEXT('03-Demand-BottomUp'!B7,"0%"),"-","−")&amp;" of bits) would need this much extra 2027 growth. A large number: the bottom-up needs a new line, not a tweak (v5.0)."</f>
        <v>Demand in use 33.0% against the bottom-up 23.5%: the RDIMM / server line (42% of bits) would need this much extra 2027 growth. A large number: the bottom-up needs a new line, not a tweak (v5.0).</v>
      </c>
      <c r="J108" s="151"/>
      <c r="K108" s="151"/>
      <c r="L108" s="151"/>
    </row>
    <row r="109" ht="44" customHeight="1" spans="1:12">
      <c r="A109" s="300" t="s">
        <v>1786</v>
      </c>
      <c r="B109" s="300"/>
      <c r="C109" s="300"/>
      <c r="D109" s="300"/>
      <c r="E109" s="300"/>
      <c r="F109" s="300"/>
      <c r="G109" s="300"/>
      <c r="H109" s="300"/>
      <c r="I109" s="300"/>
      <c r="J109" s="300"/>
      <c r="K109" s="300"/>
      <c r="L109" s="300"/>
    </row>
    <row r="111" ht="24" customHeight="1" spans="1:12">
      <c r="A111" s="295" t="s">
        <v>1787</v>
      </c>
      <c r="B111" s="295"/>
      <c r="C111" s="295"/>
      <c r="D111" s="295"/>
      <c r="E111" s="295"/>
      <c r="F111" s="295"/>
      <c r="G111" s="295"/>
      <c r="H111" s="295"/>
      <c r="I111" s="295"/>
      <c r="J111" s="295"/>
      <c r="K111" s="295"/>
      <c r="L111" s="295"/>
    </row>
    <row r="112" ht="31.5" customHeight="1" spans="1:12">
      <c r="A112" t="s" s="297">
        <v>1788</v>
      </c>
      <c r="B112" t="s" s="297">
        <v>1789</v>
      </c>
      <c r="C112" t="s" s="297">
        <v>1790</v>
      </c>
      <c r="D112" t="s" s="297">
        <v>1791</v>
      </c>
      <c r="E112" s="298" t="s">
        <v>1792</v>
      </c>
      <c r="F112" s="298"/>
      <c r="G112" s="298"/>
      <c r="H112" s="298"/>
      <c r="I112" s="298"/>
      <c r="J112" s="298"/>
      <c r="K112" s="298"/>
      <c r="L112" s="298"/>
    </row>
    <row r="113" ht="30" customHeight="1" spans="1:12">
      <c r="A113" t="s" s="304">
        <v>1793</v>
      </c>
      <c r="B113" t="s" s="175">
        <v>1794</v>
      </c>
      <c r="C113" t="s" s="175">
        <v>1795</v>
      </c>
      <c r="D113" t="s" s="175">
        <v>1796</v>
      </c>
      <c r="E113" s="151" t="s">
        <v>1797</v>
      </c>
      <c r="F113" s="151"/>
      <c r="G113" s="151"/>
      <c r="H113" s="151"/>
      <c r="I113" s="151"/>
      <c r="J113" s="151"/>
      <c r="K113" s="151"/>
      <c r="L113" s="151"/>
    </row>
    <row r="114" ht="30" customHeight="1" spans="1:12">
      <c r="A114" t="s" s="304">
        <v>1798</v>
      </c>
      <c r="B114" t="s" s="175">
        <v>1799</v>
      </c>
      <c r="C114" t="s" s="175">
        <v>1800</v>
      </c>
      <c r="D114" t="s" s="175">
        <v>1601</v>
      </c>
      <c r="E114" s="151" t="s">
        <v>1801</v>
      </c>
      <c r="F114" s="151"/>
      <c r="G114" s="151"/>
      <c r="H114" s="151"/>
      <c r="I114" s="151"/>
      <c r="J114" s="151"/>
      <c r="K114" s="151"/>
      <c r="L114" s="151"/>
    </row>
    <row r="115" ht="30" customHeight="1" spans="1:12">
      <c r="A115" t="s" s="304">
        <v>1802</v>
      </c>
      <c r="B115" t="s" s="175">
        <v>1601</v>
      </c>
      <c r="C115" t="s" s="175">
        <v>1803</v>
      </c>
      <c r="D115" t="s" s="175">
        <v>1804</v>
      </c>
      <c r="E115" s="151" t="s">
        <v>1805</v>
      </c>
      <c r="F115" s="151"/>
      <c r="G115" s="151"/>
      <c r="H115" s="151"/>
      <c r="I115" s="151"/>
      <c r="J115" s="151"/>
      <c r="K115" s="151"/>
      <c r="L115" s="151"/>
    </row>
    <row r="116" ht="30" customHeight="1" spans="1:12">
      <c r="A116" t="s" s="304">
        <v>1806</v>
      </c>
      <c r="B116" t="s" s="175">
        <v>1807</v>
      </c>
      <c r="C116" t="s" s="175">
        <v>1808</v>
      </c>
      <c r="D116" t="s" s="175">
        <v>1809</v>
      </c>
      <c r="E116" s="151" t="s">
        <v>1810</v>
      </c>
      <c r="F116" s="151"/>
      <c r="G116" s="151"/>
      <c r="H116" s="151"/>
      <c r="I116" s="151"/>
      <c r="J116" s="151"/>
      <c r="K116" s="151"/>
      <c r="L116" s="151"/>
    </row>
    <row r="117" ht="30" customHeight="1" spans="1:12">
      <c r="A117" t="s" s="304">
        <v>1811</v>
      </c>
      <c r="B117" t="s" s="175">
        <v>1601</v>
      </c>
      <c r="C117" t="s" s="175">
        <v>1812</v>
      </c>
      <c r="D117" t="s" s="175">
        <v>1812</v>
      </c>
      <c r="E117" s="151" t="s">
        <v>1813</v>
      </c>
      <c r="F117" s="151"/>
      <c r="G117" s="151"/>
      <c r="H117" s="151"/>
      <c r="I117" s="151"/>
      <c r="J117" s="151"/>
      <c r="K117" s="151"/>
      <c r="L117" s="151"/>
    </row>
    <row r="118" ht="24" customHeight="1" spans="1:12">
      <c r="A118" t="s" s="305">
        <v>1814</v>
      </c>
      <c r="B118" s="312">
        <f>'09-v4.1-Corrections'!G38</f>
        <v>-0.08</v>
      </c>
      <c r="C118" s="312">
        <f>'09-v4.1-Corrections'!H38</f>
        <v>-0.151022100173209</v>
      </c>
      <c r="D118" s="312">
        <f>'09-v4.1-Corrections'!I38</f>
        <v>-0.173785581362554</v>
      </c>
      <c r="E118" s="151" t="s">
        <v>1815</v>
      </c>
      <c r="F118" s="151"/>
      <c r="G118" s="151"/>
      <c r="H118" s="151"/>
      <c r="I118" s="151"/>
      <c r="J118" s="151"/>
      <c r="K118" s="151"/>
      <c r="L118" s="151"/>
    </row>
    <row r="119" ht="44" customHeight="1" spans="1:12">
      <c r="A119" s="300" t="s">
        <v>1816</v>
      </c>
      <c r="B119" s="300"/>
      <c r="C119" s="300"/>
      <c r="D119" s="300"/>
      <c r="E119" s="300"/>
      <c r="F119" s="300"/>
      <c r="G119" s="300"/>
      <c r="H119" s="300"/>
      <c r="I119" s="300"/>
      <c r="J119" s="300"/>
      <c r="K119" s="300"/>
      <c r="L119" s="300"/>
    </row>
    <row r="121" ht="24" customHeight="1" spans="1:12">
      <c r="A121" s="295" t="s">
        <v>1817</v>
      </c>
      <c r="B121" s="295"/>
      <c r="C121" s="295"/>
      <c r="D121" s="295"/>
      <c r="E121" s="295"/>
      <c r="F121" s="295"/>
      <c r="G121" s="295"/>
      <c r="H121" s="295"/>
      <c r="I121" s="295"/>
      <c r="J121" s="295"/>
      <c r="K121" s="295"/>
      <c r="L121" s="295"/>
    </row>
    <row r="122" ht="44" customHeight="1" spans="1:12">
      <c r="A122" s="151" t="s">
        <v>1818</v>
      </c>
      <c r="B122" s="151"/>
      <c r="C122" s="151"/>
      <c r="D122" s="151"/>
      <c r="E122" s="151"/>
      <c r="F122" s="151"/>
      <c r="G122" s="151"/>
      <c r="H122" s="151"/>
      <c r="I122" s="151"/>
      <c r="J122" s="151"/>
      <c r="K122" s="151"/>
      <c r="L122" s="151"/>
    </row>
    <row r="123" ht="44" customHeight="1" spans="1:12">
      <c r="A123" s="151" t="s">
        <v>1819</v>
      </c>
      <c r="B123" s="151"/>
      <c r="C123" s="151"/>
      <c r="D123" s="151"/>
      <c r="E123" s="151"/>
      <c r="F123" s="151"/>
      <c r="G123" s="151"/>
      <c r="H123" s="151"/>
      <c r="I123" s="151"/>
      <c r="J123" s="151"/>
      <c r="K123" s="151"/>
      <c r="L123" s="151"/>
    </row>
    <row r="124" ht="44" customHeight="1" spans="1:12">
      <c r="A124" s="151" t="s">
        <v>1820</v>
      </c>
      <c r="B124" s="151"/>
      <c r="C124" s="151"/>
      <c r="D124" s="151"/>
      <c r="E124" s="151"/>
      <c r="F124" s="151"/>
      <c r="G124" s="151"/>
      <c r="H124" s="151"/>
      <c r="I124" s="151"/>
      <c r="J124" s="151"/>
      <c r="K124" s="151"/>
      <c r="L124" s="151"/>
    </row>
    <row r="125" ht="44" customHeight="1" spans="1:12">
      <c r="A125" s="151" t="s">
        <v>1821</v>
      </c>
      <c r="B125" s="151"/>
      <c r="C125" s="151"/>
      <c r="D125" s="151"/>
      <c r="E125" s="151"/>
      <c r="F125" s="151"/>
      <c r="G125" s="151"/>
      <c r="H125" s="151"/>
      <c r="I125" s="151"/>
      <c r="J125" s="151"/>
      <c r="K125" s="151"/>
      <c r="L125" s="151"/>
    </row>
    <row r="126" ht="44" customHeight="1" spans="1:12">
      <c r="A126" s="151" t="s">
        <v>1822</v>
      </c>
      <c r="B126" s="151"/>
      <c r="C126" s="151"/>
      <c r="D126" s="151"/>
      <c r="E126" s="151"/>
      <c r="F126" s="151"/>
      <c r="G126" s="151"/>
      <c r="H126" s="151"/>
      <c r="I126" s="151"/>
      <c r="J126" s="151"/>
      <c r="K126" s="151"/>
      <c r="L126" s="151"/>
    </row>
    <row r="127" ht="30" customHeight="1" spans="1:12">
      <c r="A127" s="300" t="s">
        <v>1823</v>
      </c>
      <c r="B127" s="300"/>
      <c r="C127" s="300"/>
      <c r="D127" s="300"/>
      <c r="E127" s="300"/>
      <c r="F127" s="300"/>
      <c r="G127" s="300"/>
      <c r="H127" s="300"/>
      <c r="I127" s="300"/>
      <c r="J127" s="300"/>
      <c r="K127" s="300"/>
      <c r="L127" s="300"/>
    </row>
  </sheetData>
  <mergeCells count="125">
    <mergeCell ref="A1:L1"/>
    <mergeCell ref="A2:L2"/>
    <mergeCell ref="A4:L4"/>
    <mergeCell ref="A6:L6"/>
    <mergeCell ref="A7:L7"/>
    <mergeCell ref="C8:G8"/>
    <mergeCell ref="J8:L8"/>
    <mergeCell ref="A16:L16"/>
    <mergeCell ref="C9:G9"/>
    <mergeCell ref="J9:L9"/>
    <mergeCell ref="C10:G10"/>
    <mergeCell ref="J10:L10"/>
    <mergeCell ref="C11:G11"/>
    <mergeCell ref="J11:L11"/>
    <mergeCell ref="C12:G12"/>
    <mergeCell ref="J12:L12"/>
    <mergeCell ref="C13:G13"/>
    <mergeCell ref="J13:L13"/>
    <mergeCell ref="C14:G14"/>
    <mergeCell ref="J14:L14"/>
    <mergeCell ref="C15:G15"/>
    <mergeCell ref="J15:L15"/>
    <mergeCell ref="C17:G17"/>
    <mergeCell ref="J17:L17"/>
    <mergeCell ref="C18:G18"/>
    <mergeCell ref="J18:L18"/>
    <mergeCell ref="C19:G19"/>
    <mergeCell ref="J19:L19"/>
    <mergeCell ref="C20:G20"/>
    <mergeCell ref="J20:L20"/>
    <mergeCell ref="C21:G21"/>
    <mergeCell ref="J21:L21"/>
    <mergeCell ref="C22:G22"/>
    <mergeCell ref="J22:L22"/>
    <mergeCell ref="C23:G23"/>
    <mergeCell ref="J23:L23"/>
    <mergeCell ref="A25:L25"/>
    <mergeCell ref="A26:L26"/>
    <mergeCell ref="A50:L50"/>
    <mergeCell ref="G51:L51"/>
    <mergeCell ref="G52:L52"/>
    <mergeCell ref="G53:L53"/>
    <mergeCell ref="G54:L54"/>
    <mergeCell ref="G55:L55"/>
    <mergeCell ref="G56:L56"/>
    <mergeCell ref="G57:L57"/>
    <mergeCell ref="G58:L58"/>
    <mergeCell ref="G59:L59"/>
    <mergeCell ref="G60:L60"/>
    <mergeCell ref="G61:L61"/>
    <mergeCell ref="G62:L62"/>
    <mergeCell ref="G63:L63"/>
    <mergeCell ref="G64:L64"/>
    <mergeCell ref="A65:L65"/>
    <mergeCell ref="A67:L67"/>
    <mergeCell ref="B68:C68"/>
    <mergeCell ref="D68:F68"/>
    <mergeCell ref="H68:L68"/>
    <mergeCell ref="B69:C69"/>
    <mergeCell ref="D69:F69"/>
    <mergeCell ref="H69:L69"/>
    <mergeCell ref="B70:C70"/>
    <mergeCell ref="D70:F70"/>
    <mergeCell ref="H70:L70"/>
    <mergeCell ref="B71:C71"/>
    <mergeCell ref="D71:F71"/>
    <mergeCell ref="H71:L71"/>
    <mergeCell ref="B72:C72"/>
    <mergeCell ref="D72:F72"/>
    <mergeCell ref="H72:L72"/>
    <mergeCell ref="B73:C73"/>
    <mergeCell ref="D73:F73"/>
    <mergeCell ref="H73:L73"/>
    <mergeCell ref="B74:C74"/>
    <mergeCell ref="D74:F74"/>
    <mergeCell ref="H74:L74"/>
    <mergeCell ref="A75:L75"/>
    <mergeCell ref="A77:L77"/>
    <mergeCell ref="E78:L78"/>
    <mergeCell ref="E79:L79"/>
    <mergeCell ref="E80:L80"/>
    <mergeCell ref="E81:L81"/>
    <mergeCell ref="E82:L82"/>
    <mergeCell ref="E83:L83"/>
    <mergeCell ref="E84:L84"/>
    <mergeCell ref="E85:L85"/>
    <mergeCell ref="E86:L86"/>
    <mergeCell ref="E87:L87"/>
    <mergeCell ref="E88:L88"/>
    <mergeCell ref="E89:L89"/>
    <mergeCell ref="E90:L90"/>
    <mergeCell ref="E91:L91"/>
    <mergeCell ref="E92:L92"/>
    <mergeCell ref="E93:L93"/>
    <mergeCell ref="E94:L94"/>
    <mergeCell ref="E95:L95"/>
    <mergeCell ref="E96:L96"/>
    <mergeCell ref="E97:L97"/>
    <mergeCell ref="A99:L99"/>
    <mergeCell ref="I100:L100"/>
    <mergeCell ref="I101:L101"/>
    <mergeCell ref="I102:L102"/>
    <mergeCell ref="I103:L103"/>
    <mergeCell ref="I104:L104"/>
    <mergeCell ref="I105:L105"/>
    <mergeCell ref="I106:L106"/>
    <mergeCell ref="I107:L107"/>
    <mergeCell ref="I108:L108"/>
    <mergeCell ref="A109:L109"/>
    <mergeCell ref="A111:L111"/>
    <mergeCell ref="E112:L112"/>
    <mergeCell ref="E113:L113"/>
    <mergeCell ref="E114:L114"/>
    <mergeCell ref="E115:L115"/>
    <mergeCell ref="E116:L116"/>
    <mergeCell ref="E117:L117"/>
    <mergeCell ref="E118:L118"/>
    <mergeCell ref="A119:L119"/>
    <mergeCell ref="A121:L121"/>
    <mergeCell ref="A122:L122"/>
    <mergeCell ref="A123:L123"/>
    <mergeCell ref="A124:L124"/>
    <mergeCell ref="A125:L125"/>
    <mergeCell ref="A126:L126"/>
    <mergeCell ref="A127:L127"/>
  </mergeCells>
  <pageMargins left="0.75" right="0.75" top="1" bottom="1" header="0.511811023622047" footer="0.511811023622047"/>
  <pageSetup paperSize="9" orientation="portrait" horizontalDpi="300" verticalDpi="300"/>
  <drawing r:id="rId1"/>
  <legacyDrawing r:id="rId2"/>
  <mc:AlternateContent xmlns:mc="http://schemas.openxmlformats.org/markup-compatibility/2006">
    <mc:Choice Requires="x14">
      <controls>
        <mc:AlternateContent xmlns:mc="http://schemas.openxmlformats.org/markup-compatibility/2006">
          <mc:Choice Requires="x14">
            <control shapeId="6145" r:id="rId3" name="Scroll Bar 1">
              <controlPr defaultSize="0" print="0" autoLine="0" autoPict="0" altText="">
                <anchor moveWithCells="1">
                  <from>
                    <xdr:col>2</xdr:col>
                    <xdr:colOff>19050</xdr:colOff>
                    <xdr:row>8</xdr:row>
                    <xdr:rowOff>23813</xdr:rowOff>
                  </from>
                  <to>
                    <xdr:col>7</xdr:col>
                    <xdr:colOff>0</xdr:colOff>
                    <xdr:row>9</xdr:row>
                    <xdr:rowOff>0</xdr:rowOff>
                  </to>
                </anchor>
              </controlPr>
            </control>
          </mc:Choice>
        </mc:AlternateContent>
        <mc:AlternateContent xmlns:mc="http://schemas.openxmlformats.org/markup-compatibility/2006">
          <mc:Choice Requires="x14">
            <control shapeId="6146" r:id="rId4" name="Scroll Bar 2">
              <controlPr defaultSize="0" print="0" autoLine="0" autoPict="0" altText="">
                <anchor moveWithCells="1">
                  <from>
                    <xdr:col>2</xdr:col>
                    <xdr:colOff>19050</xdr:colOff>
                    <xdr:row>9</xdr:row>
                    <xdr:rowOff>23813</xdr:rowOff>
                  </from>
                  <to>
                    <xdr:col>7</xdr:col>
                    <xdr:colOff>0</xdr:colOff>
                    <xdr:row>10</xdr:row>
                    <xdr:rowOff>0</xdr:rowOff>
                  </to>
                </anchor>
              </controlPr>
            </control>
          </mc:Choice>
        </mc:AlternateContent>
        <mc:AlternateContent xmlns:mc="http://schemas.openxmlformats.org/markup-compatibility/2006">
          <mc:Choice Requires="x14">
            <control shapeId="6147" r:id="rId5" name="Scroll Bar 3">
              <controlPr defaultSize="0" print="0" autoLine="0" autoPict="0" altText="">
                <anchor moveWithCells="1">
                  <from>
                    <xdr:col>2</xdr:col>
                    <xdr:colOff>19050</xdr:colOff>
                    <xdr:row>10</xdr:row>
                    <xdr:rowOff>23813</xdr:rowOff>
                  </from>
                  <to>
                    <xdr:col>7</xdr:col>
                    <xdr:colOff>0</xdr:colOff>
                    <xdr:row>11</xdr:row>
                    <xdr:rowOff>0</xdr:rowOff>
                  </to>
                </anchor>
              </controlPr>
            </control>
          </mc:Choice>
        </mc:AlternateContent>
        <mc:AlternateContent xmlns:mc="http://schemas.openxmlformats.org/markup-compatibility/2006">
          <mc:Choice Requires="x14">
            <control shapeId="6148" r:id="rId6" name="Scroll Bar 4">
              <controlPr defaultSize="0" print="0" autoLine="0" autoPict="0" altText="">
                <anchor moveWithCells="1">
                  <from>
                    <xdr:col>2</xdr:col>
                    <xdr:colOff>19050</xdr:colOff>
                    <xdr:row>11</xdr:row>
                    <xdr:rowOff>23813</xdr:rowOff>
                  </from>
                  <to>
                    <xdr:col>7</xdr:col>
                    <xdr:colOff>0</xdr:colOff>
                    <xdr:row>12</xdr:row>
                    <xdr:rowOff>0</xdr:rowOff>
                  </to>
                </anchor>
              </controlPr>
            </control>
          </mc:Choice>
        </mc:AlternateContent>
        <mc:AlternateContent xmlns:mc="http://schemas.openxmlformats.org/markup-compatibility/2006">
          <mc:Choice Requires="x14">
            <control shapeId="6149" r:id="rId7" name="Scroll Bar 5">
              <controlPr defaultSize="0" print="0" autoLine="0" autoPict="0" altText="">
                <anchor moveWithCells="1">
                  <from>
                    <xdr:col>2</xdr:col>
                    <xdr:colOff>19050</xdr:colOff>
                    <xdr:row>12</xdr:row>
                    <xdr:rowOff>23813</xdr:rowOff>
                  </from>
                  <to>
                    <xdr:col>7</xdr:col>
                    <xdr:colOff>0</xdr:colOff>
                    <xdr:row>13</xdr:row>
                    <xdr:rowOff>0</xdr:rowOff>
                  </to>
                </anchor>
              </controlPr>
            </control>
          </mc:Choice>
        </mc:AlternateContent>
        <mc:AlternateContent xmlns:mc="http://schemas.openxmlformats.org/markup-compatibility/2006">
          <mc:Choice Requires="x14">
            <control shapeId="6150" r:id="rId8" name="Scroll Bar 6">
              <controlPr defaultSize="0" print="0" autoLine="0" autoPict="0" altText="">
                <anchor moveWithCells="1">
                  <from>
                    <xdr:col>2</xdr:col>
                    <xdr:colOff>19050</xdr:colOff>
                    <xdr:row>13</xdr:row>
                    <xdr:rowOff>23813</xdr:rowOff>
                  </from>
                  <to>
                    <xdr:col>7</xdr:col>
                    <xdr:colOff>0</xdr:colOff>
                    <xdr:row>14</xdr:row>
                    <xdr:rowOff>0</xdr:rowOff>
                  </to>
                </anchor>
              </controlPr>
            </control>
          </mc:Choice>
        </mc:AlternateContent>
        <mc:AlternateContent xmlns:mc="http://schemas.openxmlformats.org/markup-compatibility/2006">
          <mc:Choice Requires="x14">
            <control shapeId="6151" r:id="rId9" name="Scroll Bar 7">
              <controlPr defaultSize="0" print="0" autoLine="0" autoPict="0" altText="">
                <anchor moveWithCells="1">
                  <from>
                    <xdr:col>2</xdr:col>
                    <xdr:colOff>19050</xdr:colOff>
                    <xdr:row>14</xdr:row>
                    <xdr:rowOff>23813</xdr:rowOff>
                  </from>
                  <to>
                    <xdr:col>7</xdr:col>
                    <xdr:colOff>0</xdr:colOff>
                    <xdr:row>15</xdr:row>
                    <xdr:rowOff>0</xdr:rowOff>
                  </to>
                </anchor>
              </controlPr>
            </control>
          </mc:Choice>
        </mc:AlternateContent>
        <mc:AlternateContent xmlns:mc="http://schemas.openxmlformats.org/markup-compatibility/2006">
          <mc:Choice Requires="x14">
            <control shapeId="6152" r:id="rId10" name="Scroll Bar 8">
              <controlPr defaultSize="0" print="0" autoLine="0" autoPict="0" altText="">
                <anchor moveWithCells="1">
                  <from>
                    <xdr:col>2</xdr:col>
                    <xdr:colOff>19050</xdr:colOff>
                    <xdr:row>16</xdr:row>
                    <xdr:rowOff>23813</xdr:rowOff>
                  </from>
                  <to>
                    <xdr:col>7</xdr:col>
                    <xdr:colOff>0</xdr:colOff>
                    <xdr:row>17</xdr:row>
                    <xdr:rowOff>0</xdr:rowOff>
                  </to>
                </anchor>
              </controlPr>
            </control>
          </mc:Choice>
        </mc:AlternateContent>
        <mc:AlternateContent xmlns:mc="http://schemas.openxmlformats.org/markup-compatibility/2006">
          <mc:Choice Requires="x14">
            <control shapeId="6153" r:id="rId11" name="Scroll Bar 9">
              <controlPr defaultSize="0" print="0" autoLine="0" autoPict="0" altText="">
                <anchor moveWithCells="1">
                  <from>
                    <xdr:col>2</xdr:col>
                    <xdr:colOff>19050</xdr:colOff>
                    <xdr:row>17</xdr:row>
                    <xdr:rowOff>23813</xdr:rowOff>
                  </from>
                  <to>
                    <xdr:col>7</xdr:col>
                    <xdr:colOff>0</xdr:colOff>
                    <xdr:row>18</xdr:row>
                    <xdr:rowOff>0</xdr:rowOff>
                  </to>
                </anchor>
              </controlPr>
            </control>
          </mc:Choice>
        </mc:AlternateContent>
        <mc:AlternateContent xmlns:mc="http://schemas.openxmlformats.org/markup-compatibility/2006">
          <mc:Choice Requires="x14">
            <control shapeId="6154" r:id="rId12" name="Scroll Bar 10">
              <controlPr defaultSize="0" print="0" autoLine="0" autoPict="0" altText="">
                <anchor moveWithCells="1">
                  <from>
                    <xdr:col>2</xdr:col>
                    <xdr:colOff>19050</xdr:colOff>
                    <xdr:row>18</xdr:row>
                    <xdr:rowOff>23813</xdr:rowOff>
                  </from>
                  <to>
                    <xdr:col>7</xdr:col>
                    <xdr:colOff>0</xdr:colOff>
                    <xdr:row>19</xdr:row>
                    <xdr:rowOff>0</xdr:rowOff>
                  </to>
                </anchor>
              </controlPr>
            </control>
          </mc:Choice>
        </mc:AlternateContent>
        <mc:AlternateContent xmlns:mc="http://schemas.openxmlformats.org/markup-compatibility/2006">
          <mc:Choice Requires="x14">
            <control shapeId="6155" r:id="rId13" name="Scroll Bar 11">
              <controlPr defaultSize="0" print="0" autoLine="0" autoPict="0" altText="">
                <anchor moveWithCells="1">
                  <from>
                    <xdr:col>2</xdr:col>
                    <xdr:colOff>19050</xdr:colOff>
                    <xdr:row>19</xdr:row>
                    <xdr:rowOff>23813</xdr:rowOff>
                  </from>
                  <to>
                    <xdr:col>7</xdr:col>
                    <xdr:colOff>0</xdr:colOff>
                    <xdr:row>20</xdr:row>
                    <xdr:rowOff>0</xdr:rowOff>
                  </to>
                </anchor>
              </controlPr>
            </control>
          </mc:Choice>
        </mc:AlternateContent>
        <mc:AlternateContent xmlns:mc="http://schemas.openxmlformats.org/markup-compatibility/2006">
          <mc:Choice Requires="x14">
            <control shapeId="6156" r:id="rId14" name="Scroll Bar 12">
              <controlPr defaultSize="0" print="0" autoLine="0" autoPict="0" altText="">
                <anchor moveWithCells="1">
                  <from>
                    <xdr:col>2</xdr:col>
                    <xdr:colOff>19050</xdr:colOff>
                    <xdr:row>20</xdr:row>
                    <xdr:rowOff>23813</xdr:rowOff>
                  </from>
                  <to>
                    <xdr:col>7</xdr:col>
                    <xdr:colOff>0</xdr:colOff>
                    <xdr:row>21</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工作表</vt:lpstr>
      </vt:variant>
      <vt:variant>
        <vt:i4>12</vt:i4>
      </vt:variant>
    </vt:vector>
  </HeadingPairs>
  <TitlesOfParts>
    <vt:vector size="12" baseType="lpstr">
      <vt:lpstr>00-Overview</vt:lpstr>
      <vt:lpstr>01-DRAM-Model</vt:lpstr>
      <vt:lpstr>02-NAND-Model</vt:lpstr>
      <vt:lpstr>03-Demand-BottomUp</vt:lpstr>
      <vt:lpstr>04-NVDA-Calibration</vt:lpstr>
      <vt:lpstr>05-Audit-v3</vt:lpstr>
      <vt:lpstr>06-Inventory-Burn-v4</vt:lpstr>
      <vt:lpstr>07-HBM-8High-Math-v4</vt:lpstr>
      <vt:lpstr>08-Tracking-List-v4</vt:lpstr>
      <vt:lpstr>09-v4.1-Corrections</vt:lpstr>
      <vt:lpstr>10-Changelog</vt:lpstr>
      <vt:lpstr>11-v4.2-Recalibration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Arithmetic of the Gap v4.2 - Memory Supply-Demand Model (Recalibrated Edition)</dc:title>
  <dc:subject>DRAM / NAND / HBM supply-demand model, five scenarios x three years, slider-driven</dc:subject>
  <dc:creator>Oscar (Baichuan Zhang)</dc:creator>
  <cp:keywords>DRAM;NAND;HBM;memory;supply-demand;equity research</cp:keywords>
  <dc:description>Computable workbook accompanying The Arithmetic of the Gap v4.2 (1 October 2026). Data cut-off 2026-09-30 (Micron FQ4 FY26). Sheets 00-05 are the v3.0 model; sheets 06-08 add the v4.0 inventory-exhaustion corrections; sheets 09-10 hold the v4.1 corrections and the change log; sheet 11 holds the v4.2 recalibration to Micron's guidance (master switch 0 restores v4.1). Research and study only; not investment advice.</dc:description>
  <cp:lastModifiedBy>baichuan zhang</cp:lastModifiedBy>
  <dcterms:modified xsi:type="dcterms:W3CDTF">2026-10-01T09:00:00Z</dcterms:modified>
</cp:coreProperties>
</file>