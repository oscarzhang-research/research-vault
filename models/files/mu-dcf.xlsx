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9.xml" ContentType="application/vnd.openxmlformats-officedocument.drawingml.chart+xml"/>
  <Override PartName="/xl/charts/chart17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-三表与联动" sheetId="1" state="visible" r:id="rId3"/>
    <sheet name="01-DCF-悲观" sheetId="2" state="visible" r:id="rId4"/>
    <sheet name="02-DCF-基准" sheetId="3" state="visible" r:id="rId5"/>
    <sheet name="03-DCF-乐观" sheetId="4" state="visible" r:id="rId6"/>
  </sheets>
  <calcPr calcId="191029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<sst xmlns="http://schemas.openxmlformats.org/spreadsheetml/2006/main" count="1544" uniqueCount="668">
  <si>
    <r>
      <rPr>
        <b val="true"/>
        <sz val="16"/>
        <color rgb="FFFFFFFF"/>
        <rFont val="Arial"/>
        <family val="0"/>
        <charset val="1"/>
      </rPr>
      <t xml:space="preserve">MU · Micron Technology, Inc. —— </t>
    </r>
    <r>
      <rPr>
        <b val="true"/>
        <sz val="16"/>
        <color rgb="FFFFFFFF"/>
        <rFont val="Noto Sans CJK SC"/>
        <family val="2"/>
      </rPr>
      <t xml:space="preserve">三表与联动</t>
    </r>
  </si>
  <si>
    <r>
      <rPr>
        <i val="true"/>
        <sz val="9"/>
        <color rgb="FF7A7A7A"/>
        <rFont val="Noto Sans CJK SC"/>
        <family val="2"/>
      </rPr>
      <t xml:space="preserve">单位：百万美元  </t>
    </r>
    <r>
      <rPr>
        <i val="true"/>
        <sz val="9"/>
        <color rgb="FF7A7A7A"/>
        <rFont val="Arial"/>
        <family val="0"/>
        <charset val="1"/>
      </rPr>
      <t xml:space="preserve">|  </t>
    </r>
    <r>
      <rPr>
        <i val="true"/>
        <sz val="9"/>
        <color rgb="FF7A7A7A"/>
        <rFont val="Noto Sans CJK SC"/>
        <family val="2"/>
      </rPr>
      <t xml:space="preserve">财年截止约每年 </t>
    </r>
    <r>
      <rPr>
        <i val="true"/>
        <sz val="9"/>
        <color rgb="FF7A7A7A"/>
        <rFont val="Arial"/>
        <family val="0"/>
        <charset val="1"/>
      </rPr>
      <t xml:space="preserve">8 </t>
    </r>
    <r>
      <rPr>
        <i val="true"/>
        <sz val="9"/>
        <color rgb="FF7A7A7A"/>
        <rFont val="Noto Sans CJK SC"/>
        <family val="2"/>
      </rPr>
      <t xml:space="preserve">月底</t>
    </r>
    <r>
      <rPr>
        <i val="true"/>
        <sz val="9"/>
        <color rgb="FF7A7A7A"/>
        <rFont val="Arial"/>
        <family val="0"/>
        <charset val="1"/>
      </rPr>
      <t xml:space="preserve">/9 </t>
    </r>
    <r>
      <rPr>
        <i val="true"/>
        <sz val="9"/>
        <color rgb="FF7A7A7A"/>
        <rFont val="Noto Sans CJK SC"/>
        <family val="2"/>
      </rPr>
      <t xml:space="preserve">月初  </t>
    </r>
    <r>
      <rPr>
        <i val="true"/>
        <sz val="9"/>
        <color rgb="FF7A7A7A"/>
        <rFont val="Arial"/>
        <family val="0"/>
        <charset val="1"/>
      </rPr>
      <t xml:space="preserve">|  </t>
    </r>
    <r>
      <rPr>
        <i val="true"/>
        <sz val="9"/>
        <color rgb="FF7A7A7A"/>
        <rFont val="Noto Sans CJK SC"/>
        <family val="2"/>
      </rPr>
      <t xml:space="preserve">数据源：公司 </t>
    </r>
    <r>
      <rPr>
        <i val="true"/>
        <sz val="9"/>
        <color rgb="FF7A7A7A"/>
        <rFont val="Arial"/>
        <family val="0"/>
        <charset val="1"/>
      </rPr>
      <t xml:space="preserve">FY26 Q1/Q2/Q3 </t>
    </r>
    <r>
      <rPr>
        <i val="true"/>
        <sz val="9"/>
        <color rgb="FF7A7A7A"/>
        <rFont val="Noto Sans CJK SC"/>
        <family val="2"/>
      </rPr>
      <t xml:space="preserve">财报原文 </t>
    </r>
    <r>
      <rPr>
        <i val="true"/>
        <sz val="9"/>
        <color rgb="FF7A7A7A"/>
        <rFont val="Arial"/>
        <family val="0"/>
        <charset val="1"/>
      </rPr>
      <t xml:space="preserve">+ FY26 Q4 </t>
    </r>
    <r>
      <rPr>
        <i val="true"/>
        <sz val="9"/>
        <color rgb="FF7A7A7A"/>
        <rFont val="Noto Sans CJK SC"/>
        <family val="2"/>
      </rPr>
      <t xml:space="preserve">官方指引  </t>
    </r>
    <r>
      <rPr>
        <i val="true"/>
        <sz val="9"/>
        <color rgb="FF7A7A7A"/>
        <rFont val="Arial"/>
        <family val="0"/>
        <charset val="1"/>
      </rPr>
      <t xml:space="preserve">|  Q3 </t>
    </r>
    <r>
      <rPr>
        <i val="true"/>
        <sz val="9"/>
        <color rgb="FF7A7A7A"/>
        <rFont val="Noto Sans CJK SC"/>
        <family val="2"/>
      </rPr>
      <t xml:space="preserve">止于 </t>
    </r>
    <r>
      <rPr>
        <i val="true"/>
        <sz val="9"/>
        <color rgb="FF7A7A7A"/>
        <rFont val="Arial"/>
        <family val="0"/>
        <charset val="1"/>
      </rPr>
      <t xml:space="preserve">2026-05-28</t>
    </r>
  </si>
  <si>
    <r>
      <rPr>
        <b val="true"/>
        <sz val="11"/>
        <color rgb="FFFFFFFF"/>
        <rFont val="Arial"/>
        <family val="0"/>
        <charset val="1"/>
      </rPr>
      <t xml:space="preserve">00  </t>
    </r>
    <r>
      <rPr>
        <b val="true"/>
        <sz val="11"/>
        <color rgb="FFFFFFFF"/>
        <rFont val="Noto Sans CJK SC"/>
        <family val="2"/>
      </rPr>
      <t xml:space="preserve">公司速览与估值锚点</t>
    </r>
  </si>
  <si>
    <t xml:space="preserve">项目</t>
  </si>
  <si>
    <t xml:space="preserve">数值</t>
  </si>
  <si>
    <t xml:space="preserve">口径与说明</t>
  </si>
  <si>
    <r>
      <rPr>
        <b val="true"/>
        <sz val="9"/>
        <color rgb="FF000000"/>
        <rFont val="Noto Sans CJK SC"/>
        <family val="2"/>
      </rPr>
      <t xml:space="preserve">现价（</t>
    </r>
    <r>
      <rPr>
        <b val="true"/>
        <sz val="9"/>
        <color rgb="FF000000"/>
        <rFont val="Arial"/>
        <family val="0"/>
        <charset val="1"/>
      </rPr>
      <t xml:space="preserve">2026-08-24 </t>
    </r>
    <r>
      <rPr>
        <b val="true"/>
        <sz val="9"/>
        <color rgb="FF000000"/>
        <rFont val="Noto Sans CJK SC"/>
        <family val="2"/>
      </rPr>
      <t xml:space="preserve">收盘）</t>
    </r>
  </si>
  <si>
    <r>
      <rPr>
        <sz val="9"/>
        <color rgb="FF404040"/>
        <rFont val="Noto Sans CJK SC"/>
        <family val="2"/>
      </rPr>
      <t xml:space="preserve">当日区间 </t>
    </r>
    <r>
      <rPr>
        <sz val="9"/>
        <color rgb="FF404040"/>
        <rFont val="Arial"/>
        <family val="0"/>
        <charset val="1"/>
      </rPr>
      <t xml:space="preserve">$887.61–$942.52</t>
    </r>
    <r>
      <rPr>
        <sz val="9"/>
        <color rgb="FF404040"/>
        <rFont val="Noto Sans CJK SC"/>
        <family val="2"/>
      </rPr>
      <t xml:space="preserve">。</t>
    </r>
    <r>
      <rPr>
        <sz val="9"/>
        <color rgb="FF404040"/>
        <rFont val="Arial"/>
        <family val="0"/>
        <charset val="1"/>
      </rPr>
      <t xml:space="preserve">52 </t>
    </r>
    <r>
      <rPr>
        <sz val="9"/>
        <color rgb="FF404040"/>
        <rFont val="Noto Sans CJK SC"/>
        <family val="2"/>
      </rPr>
      <t xml:space="preserve">周区间 </t>
    </r>
    <r>
      <rPr>
        <sz val="9"/>
        <color rgb="FF404040"/>
        <rFont val="Arial"/>
        <family val="0"/>
        <charset val="1"/>
      </rPr>
      <t xml:space="preserve">$114.25–$1,255.00</t>
    </r>
    <r>
      <rPr>
        <sz val="9"/>
        <color rgb="FF404040"/>
        <rFont val="Noto Sans CJK SC"/>
        <family val="2"/>
      </rPr>
      <t xml:space="preserve">。★ 本格可改</t>
    </r>
  </si>
  <si>
    <t xml:space="preserve">市值</t>
  </si>
  <si>
    <r>
      <rPr>
        <sz val="9"/>
        <color rgb="FF404040"/>
        <rFont val="Noto Sans CJK SC"/>
        <family val="2"/>
      </rPr>
      <t xml:space="preserve">＝ 现价 </t>
    </r>
    <r>
      <rPr>
        <sz val="9"/>
        <color rgb="FF404040"/>
        <rFont val="Arial"/>
        <family val="0"/>
        <charset val="1"/>
      </rPr>
      <t xml:space="preserve">× </t>
    </r>
    <r>
      <rPr>
        <sz val="9"/>
        <color rgb="FF404040"/>
        <rFont val="Noto Sans CJK SC"/>
        <family val="2"/>
      </rPr>
      <t xml:space="preserve">基本股数，已突破 </t>
    </r>
    <r>
      <rPr>
        <sz val="9"/>
        <color rgb="FF404040"/>
        <rFont val="Arial"/>
        <family val="0"/>
        <charset val="1"/>
      </rPr>
      <t xml:space="preserve">1 </t>
    </r>
    <r>
      <rPr>
        <sz val="9"/>
        <color rgb="FF404040"/>
        <rFont val="Noto Sans CJK SC"/>
        <family val="2"/>
      </rPr>
      <t xml:space="preserve">万亿美元</t>
    </r>
  </si>
  <si>
    <t xml:space="preserve">基本股数（百万股）</t>
  </si>
  <si>
    <r>
      <rPr>
        <sz val="9"/>
        <color rgb="FF404040"/>
        <rFont val="Arial"/>
        <family val="0"/>
        <charset val="1"/>
      </rPr>
      <t xml:space="preserve">FY26 Q3 </t>
    </r>
    <r>
      <rPr>
        <sz val="9"/>
        <color rgb="FF404040"/>
        <rFont val="Noto Sans CJK SC"/>
        <family val="2"/>
      </rPr>
      <t xml:space="preserve">基本加权股数</t>
    </r>
  </si>
  <si>
    <t xml:space="preserve">摊薄股数（百万股）</t>
  </si>
  <si>
    <r>
      <rPr>
        <sz val="9"/>
        <color rgb="FF404040"/>
        <rFont val="Noto Sans CJK SC"/>
        <family val="2"/>
      </rPr>
      <t xml:space="preserve">公司 </t>
    </r>
    <r>
      <rPr>
        <sz val="9"/>
        <color rgb="FF404040"/>
        <rFont val="Arial"/>
        <family val="0"/>
        <charset val="1"/>
      </rPr>
      <t xml:space="preserve">FY26 Q4 </t>
    </r>
    <r>
      <rPr>
        <sz val="9"/>
        <color rgb="FF404040"/>
        <rFont val="Noto Sans CJK SC"/>
        <family val="2"/>
      </rPr>
      <t xml:space="preserve">指引「约 </t>
    </r>
    <r>
      <rPr>
        <sz val="9"/>
        <color rgb="FF404040"/>
        <rFont val="Arial"/>
        <family val="0"/>
        <charset val="1"/>
      </rPr>
      <t xml:space="preserve">11.5 </t>
    </r>
    <r>
      <rPr>
        <sz val="9"/>
        <color rgb="FF404040"/>
        <rFont val="Noto Sans CJK SC"/>
        <family val="2"/>
      </rPr>
      <t xml:space="preserve">亿摊薄股」</t>
    </r>
  </si>
  <si>
    <t xml:space="preserve">现金及可交易投资</t>
  </si>
  <si>
    <r>
      <rPr>
        <sz val="9"/>
        <color rgb="FF404040"/>
        <rFont val="Noto Sans CJK SC"/>
        <family val="2"/>
      </rPr>
      <t xml:space="preserve">现金 </t>
    </r>
    <r>
      <rPr>
        <sz val="9"/>
        <color rgb="FF404040"/>
        <rFont val="Arial"/>
        <family val="0"/>
        <charset val="1"/>
      </rPr>
      <t xml:space="preserve">24,995 + </t>
    </r>
    <r>
      <rPr>
        <sz val="9"/>
        <color rgb="FF404040"/>
        <rFont val="Noto Sans CJK SC"/>
        <family val="2"/>
      </rPr>
      <t xml:space="preserve">短期投资 </t>
    </r>
    <r>
      <rPr>
        <sz val="9"/>
        <color rgb="FF404040"/>
        <rFont val="Arial"/>
        <family val="0"/>
        <charset val="1"/>
      </rPr>
      <t xml:space="preserve">1,027 + </t>
    </r>
    <r>
      <rPr>
        <sz val="9"/>
        <color rgb="FF404040"/>
        <rFont val="Noto Sans CJK SC"/>
        <family val="2"/>
      </rPr>
      <t xml:space="preserve">长期可交易投资 </t>
    </r>
    <r>
      <rPr>
        <sz val="9"/>
        <color rgb="FF404040"/>
        <rFont val="Arial"/>
        <family val="0"/>
        <charset val="1"/>
      </rPr>
      <t xml:space="preserve">4,106 + </t>
    </r>
    <r>
      <rPr>
        <sz val="9"/>
        <color rgb="FF404040"/>
        <rFont val="Noto Sans CJK SC"/>
        <family val="2"/>
      </rPr>
      <t xml:space="preserve">受限现金 </t>
    </r>
    <r>
      <rPr>
        <sz val="9"/>
        <color rgb="FF404040"/>
        <rFont val="Arial"/>
        <family val="0"/>
        <charset val="1"/>
      </rPr>
      <t xml:space="preserve">27</t>
    </r>
  </si>
  <si>
    <t xml:space="preserve">有息负债</t>
  </si>
  <si>
    <r>
      <rPr>
        <sz val="9"/>
        <color rgb="FF404040"/>
        <rFont val="Noto Sans CJK SC"/>
        <family val="2"/>
      </rPr>
      <t xml:space="preserve">一年内到期 </t>
    </r>
    <r>
      <rPr>
        <sz val="9"/>
        <color rgb="FF404040"/>
        <rFont val="Arial"/>
        <family val="0"/>
        <charset val="1"/>
      </rPr>
      <t xml:space="preserve">582 + </t>
    </r>
    <r>
      <rPr>
        <sz val="9"/>
        <color rgb="FF404040"/>
        <rFont val="Noto Sans CJK SC"/>
        <family val="2"/>
      </rPr>
      <t xml:space="preserve">长期 </t>
    </r>
    <r>
      <rPr>
        <sz val="9"/>
        <color rgb="FF404040"/>
        <rFont val="Arial"/>
        <family val="0"/>
        <charset val="1"/>
      </rPr>
      <t xml:space="preserve">5,140</t>
    </r>
    <r>
      <rPr>
        <sz val="9"/>
        <color rgb="FF404040"/>
        <rFont val="Noto Sans CJK SC"/>
        <family val="2"/>
      </rPr>
      <t xml:space="preserve">。已从 </t>
    </r>
    <r>
      <rPr>
        <sz val="9"/>
        <color rgb="FF404040"/>
        <rFont val="Arial"/>
        <family val="0"/>
        <charset val="1"/>
      </rPr>
      <t xml:space="preserve">FY25 </t>
    </r>
    <r>
      <rPr>
        <sz val="9"/>
        <color rgb="FF404040"/>
        <rFont val="Noto Sans CJK SC"/>
        <family val="2"/>
      </rPr>
      <t xml:space="preserve">末的 </t>
    </r>
    <r>
      <rPr>
        <sz val="9"/>
        <color rgb="FF404040"/>
        <rFont val="Arial"/>
        <family val="0"/>
        <charset val="1"/>
      </rPr>
      <t xml:space="preserve">14,577 </t>
    </r>
    <r>
      <rPr>
        <sz val="9"/>
        <color rgb="FF404040"/>
        <rFont val="Noto Sans CJK SC"/>
        <family val="2"/>
      </rPr>
      <t xml:space="preserve">降至 </t>
    </r>
    <r>
      <rPr>
        <sz val="9"/>
        <color rgb="FF404040"/>
        <rFont val="Arial"/>
        <family val="0"/>
        <charset val="1"/>
      </rPr>
      <t xml:space="preserve">5,722</t>
    </r>
  </si>
  <si>
    <t xml:space="preserve">净现金</t>
  </si>
  <si>
    <r>
      <rPr>
        <sz val="9"/>
        <color rgb="FF404040"/>
        <rFont val="Noto Sans CJK SC"/>
        <family val="2"/>
      </rPr>
      <t xml:space="preserve">＝ 现金及投资 − 有息负债。</t>
    </r>
    <r>
      <rPr>
        <sz val="9"/>
        <color rgb="FF404040"/>
        <rFont val="Arial"/>
        <family val="0"/>
        <charset val="1"/>
      </rPr>
      <t xml:space="preserve">MU </t>
    </r>
    <r>
      <rPr>
        <sz val="9"/>
        <color rgb="FF404040"/>
        <rFont val="Noto Sans CJK SC"/>
        <family val="2"/>
      </rPr>
      <t xml:space="preserve">为净现金结构</t>
    </r>
  </si>
  <si>
    <r>
      <rPr>
        <b val="true"/>
        <sz val="9"/>
        <color rgb="FF000000"/>
        <rFont val="Noto Sans CJK SC"/>
        <family val="2"/>
      </rPr>
      <t xml:space="preserve">季度股息（美元</t>
    </r>
    <r>
      <rPr>
        <b val="true"/>
        <sz val="9"/>
        <color rgb="FF000000"/>
        <rFont val="Arial"/>
        <family val="0"/>
        <charset val="1"/>
      </rPr>
      <t xml:space="preserve">/</t>
    </r>
    <r>
      <rPr>
        <b val="true"/>
        <sz val="9"/>
        <color rgb="FF000000"/>
        <rFont val="Noto Sans CJK SC"/>
        <family val="2"/>
      </rPr>
      <t xml:space="preserve">股）</t>
    </r>
  </si>
  <si>
    <r>
      <rPr>
        <sz val="9"/>
        <color rgb="FF404040"/>
        <rFont val="Noto Sans CJK SC"/>
        <family val="2"/>
      </rPr>
      <t xml:space="preserve">年化 </t>
    </r>
    <r>
      <rPr>
        <sz val="9"/>
        <color rgb="FF404040"/>
        <rFont val="Arial"/>
        <family val="0"/>
        <charset val="1"/>
      </rPr>
      <t xml:space="preserve">$0.60</t>
    </r>
    <r>
      <rPr>
        <sz val="9"/>
        <color rgb="FF404040"/>
        <rFont val="Noto Sans CJK SC"/>
        <family val="2"/>
      </rPr>
      <t xml:space="preserve">。</t>
    </r>
    <r>
      <rPr>
        <sz val="9"/>
        <color rgb="FF404040"/>
        <rFont val="Arial"/>
        <family val="0"/>
        <charset val="1"/>
      </rPr>
      <t xml:space="preserve">CHIPS </t>
    </r>
    <r>
      <rPr>
        <sz val="9"/>
        <color rgb="FF404040"/>
        <rFont val="Noto Sans CJK SC"/>
        <family val="2"/>
      </rPr>
      <t xml:space="preserve">协议对回购有限制，</t>
    </r>
    <r>
      <rPr>
        <sz val="9"/>
        <color rgb="FF404040"/>
        <rFont val="Arial"/>
        <family val="0"/>
        <charset val="1"/>
      </rPr>
      <t xml:space="preserve">2026-12-09 </t>
    </r>
    <r>
      <rPr>
        <sz val="9"/>
        <color rgb="FF404040"/>
        <rFont val="Noto Sans CJK SC"/>
        <family val="2"/>
      </rPr>
      <t xml:space="preserve">后放开</t>
    </r>
  </si>
  <si>
    <r>
      <rPr>
        <b val="true"/>
        <sz val="9"/>
        <color rgb="FF000000"/>
        <rFont val="Noto Sans CJK SC"/>
        <family val="2"/>
      </rPr>
      <t xml:space="preserve">无风险利率 </t>
    </r>
    <r>
      <rPr>
        <b val="true"/>
        <sz val="9"/>
        <color rgb="FF000000"/>
        <rFont val="Arial"/>
        <family val="0"/>
        <charset val="1"/>
      </rPr>
      <t xml:space="preserve">Rf</t>
    </r>
  </si>
  <si>
    <r>
      <rPr>
        <sz val="9"/>
        <color rgb="FF404040"/>
        <rFont val="Arial"/>
        <family val="0"/>
        <charset val="1"/>
      </rPr>
      <t xml:space="preserve">10 </t>
    </r>
    <r>
      <rPr>
        <sz val="9"/>
        <color rgb="FF404040"/>
        <rFont val="Noto Sans CJK SC"/>
        <family val="2"/>
      </rPr>
      <t xml:space="preserve">年期美国国债收益率</t>
    </r>
  </si>
  <si>
    <r>
      <rPr>
        <b val="true"/>
        <sz val="9"/>
        <color rgb="FF000000"/>
        <rFont val="Noto Sans CJK SC"/>
        <family val="2"/>
      </rPr>
      <t xml:space="preserve">股权风险溢价 </t>
    </r>
    <r>
      <rPr>
        <b val="true"/>
        <sz val="9"/>
        <color rgb="FF000000"/>
        <rFont val="Arial"/>
        <family val="0"/>
        <charset val="1"/>
      </rPr>
      <t xml:space="preserve">ERP</t>
    </r>
  </si>
  <si>
    <t xml:space="preserve">美国成熟市场长期股权风险溢价</t>
  </si>
  <si>
    <r>
      <rPr>
        <b val="true"/>
        <sz val="11"/>
        <color rgb="FFFFFFFF"/>
        <rFont val="Arial"/>
        <family val="0"/>
        <charset val="1"/>
      </rPr>
      <t xml:space="preserve">01  </t>
    </r>
    <r>
      <rPr>
        <b val="true"/>
        <sz val="11"/>
        <color rgb="FFFFFFFF"/>
        <rFont val="Noto Sans CJK SC"/>
        <family val="2"/>
      </rPr>
      <t xml:space="preserve">三情形估值对比（数字实时链接自后面三张 </t>
    </r>
    <r>
      <rPr>
        <b val="true"/>
        <sz val="11"/>
        <color rgb="FFFFFFFF"/>
        <rFont val="Arial"/>
        <family val="0"/>
        <charset val="1"/>
      </rPr>
      <t xml:space="preserve">DCF </t>
    </r>
    <r>
      <rPr>
        <b val="true"/>
        <sz val="11"/>
        <color rgb="FFFFFFFF"/>
        <rFont val="Noto Sans CJK SC"/>
        <family val="2"/>
      </rPr>
      <t xml:space="preserve">表）</t>
    </r>
  </si>
  <si>
    <t xml:space="preserve">情形</t>
  </si>
  <si>
    <t xml:space="preserve">每股内在价值</t>
  </si>
  <si>
    <t xml:space="preserve">相对现价</t>
  </si>
  <si>
    <r>
      <rPr>
        <b val="true"/>
        <sz val="9"/>
        <color rgb="FF16305B"/>
        <rFont val="Noto Sans CJK SC"/>
        <family val="2"/>
      </rPr>
      <t xml:space="preserve">终值占 </t>
    </r>
    <r>
      <rPr>
        <b val="true"/>
        <sz val="9"/>
        <color rgb="FF16305B"/>
        <rFont val="Arial"/>
        <family val="0"/>
        <charset val="1"/>
      </rPr>
      <t xml:space="preserve">EV</t>
    </r>
  </si>
  <si>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收入</t>
    </r>
  </si>
  <si>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毛利率</t>
    </r>
  </si>
  <si>
    <r>
      <rPr>
        <b val="true"/>
        <sz val="9"/>
        <color rgb="FF16305B"/>
        <rFont val="Arial"/>
        <family val="0"/>
        <charset val="1"/>
      </rPr>
      <t xml:space="preserve">FY32 </t>
    </r>
    <r>
      <rPr>
        <b val="true"/>
        <sz val="9"/>
        <color rgb="FF16305B"/>
        <rFont val="Noto Sans CJK SC"/>
        <family val="2"/>
      </rPr>
      <t xml:space="preserve">毛利率</t>
    </r>
  </si>
  <si>
    <t xml:space="preserve">WACC</t>
  </si>
  <si>
    <r>
      <rPr>
        <b val="true"/>
        <sz val="9"/>
        <color rgb="FF16305B"/>
        <rFont val="Noto Sans CJK SC"/>
        <family val="2"/>
      </rPr>
      <t xml:space="preserve">永续 </t>
    </r>
    <r>
      <rPr>
        <b val="true"/>
        <sz val="9"/>
        <color rgb="FF16305B"/>
        <rFont val="Arial"/>
        <family val="0"/>
        <charset val="1"/>
      </rPr>
      <t xml:space="preserve">g</t>
    </r>
  </si>
  <si>
    <t xml:space="preserve">一句话论点</t>
  </si>
  <si>
    <t xml:space="preserve">悲观</t>
  </si>
  <si>
    <r>
      <rPr>
        <sz val="9"/>
        <color rgb="FF303030"/>
        <rFont val="Arial"/>
        <family val="0"/>
        <charset val="1"/>
      </rPr>
      <t xml:space="preserve">DRAM </t>
    </r>
    <r>
      <rPr>
        <sz val="9"/>
        <color rgb="FF303030"/>
        <rFont val="Noto Sans CJK SC"/>
        <family val="2"/>
      </rPr>
      <t xml:space="preserve">随 </t>
    </r>
    <r>
      <rPr>
        <sz val="9"/>
        <color rgb="FF303030"/>
        <rFont val="Arial"/>
        <family val="0"/>
        <charset val="1"/>
      </rPr>
      <t xml:space="preserve">NAND </t>
    </r>
    <r>
      <rPr>
        <sz val="9"/>
        <color rgb="FF303030"/>
        <rFont val="Noto Sans CJK SC"/>
        <family val="2"/>
      </rPr>
      <t xml:space="preserve">在 </t>
    </r>
    <r>
      <rPr>
        <sz val="9"/>
        <color rgb="FF303030"/>
        <rFont val="Arial"/>
        <family val="0"/>
        <charset val="1"/>
      </rPr>
      <t xml:space="preserve">2027 </t>
    </r>
    <r>
      <rPr>
        <sz val="9"/>
        <color rgb="FF303030"/>
        <rFont val="Noto Sans CJK SC"/>
        <family val="2"/>
      </rPr>
      <t xml:space="preserve">年转向，而自建厂的资本开支是刚性的</t>
    </r>
  </si>
  <si>
    <t xml:space="preserve">基准</t>
  </si>
  <si>
    <r>
      <rPr>
        <sz val="9"/>
        <color rgb="FF303030"/>
        <rFont val="Arial"/>
        <family val="0"/>
        <charset val="1"/>
      </rPr>
      <t xml:space="preserve">FY27 </t>
    </r>
    <r>
      <rPr>
        <sz val="9"/>
        <color rgb="FF303030"/>
        <rFont val="Noto Sans CJK SC"/>
        <family val="2"/>
      </rPr>
      <t xml:space="preserve">见顶但不崩塌；</t>
    </r>
    <r>
      <rPr>
        <sz val="9"/>
        <color rgb="FF303030"/>
        <rFont val="Arial"/>
        <family val="0"/>
        <charset val="1"/>
      </rPr>
      <t xml:space="preserve">MU </t>
    </r>
    <r>
      <rPr>
        <sz val="9"/>
        <color rgb="FF303030"/>
        <rFont val="Noto Sans CJK SC"/>
        <family val="2"/>
      </rPr>
      <t xml:space="preserve">的 </t>
    </r>
    <r>
      <rPr>
        <sz val="9"/>
        <color rgb="FF303030"/>
        <rFont val="Arial"/>
        <family val="0"/>
        <charset val="1"/>
      </rPr>
      <t xml:space="preserve">DRAM </t>
    </r>
    <r>
      <rPr>
        <sz val="9"/>
        <color rgb="FF303030"/>
        <rFont val="Noto Sans CJK SC"/>
        <family val="2"/>
      </rPr>
      <t xml:space="preserve">权重使其下行风险小于纯 </t>
    </r>
    <r>
      <rPr>
        <sz val="9"/>
        <color rgb="FF303030"/>
        <rFont val="Arial"/>
        <family val="0"/>
        <charset val="1"/>
      </rPr>
      <t xml:space="preserve">NAND </t>
    </r>
    <r>
      <rPr>
        <sz val="9"/>
        <color rgb="FF303030"/>
        <rFont val="Noto Sans CJK SC"/>
        <family val="2"/>
      </rPr>
      <t xml:space="preserve">标的</t>
    </r>
  </si>
  <si>
    <t xml:space="preserve">乐观</t>
  </si>
  <si>
    <r>
      <rPr>
        <sz val="9"/>
        <color rgb="FF303030"/>
        <rFont val="Arial"/>
        <family val="0"/>
        <charset val="1"/>
      </rPr>
      <t xml:space="preserve">SCA </t>
    </r>
    <r>
      <rPr>
        <sz val="9"/>
        <color rgb="FF303030"/>
        <rFont val="Noto Sans CJK SC"/>
        <family val="2"/>
      </rPr>
      <t xml:space="preserve">照付不议合约把存储从周期股变成合约制生意</t>
    </r>
  </si>
  <si>
    <r>
      <rPr>
        <b val="true"/>
        <sz val="9"/>
        <color rgb="FF000000"/>
        <rFont val="Noto Sans CJK SC"/>
        <family val="2"/>
      </rPr>
      <t xml:space="preserve">当前股价（</t>
    </r>
    <r>
      <rPr>
        <b val="true"/>
        <sz val="9"/>
        <color rgb="FF000000"/>
        <rFont val="Arial"/>
        <family val="0"/>
        <charset val="1"/>
      </rPr>
      <t xml:space="preserve">2026-08-24</t>
    </r>
    <r>
      <rPr>
        <b val="true"/>
        <sz val="9"/>
        <color rgb="FF000000"/>
        <rFont val="Noto Sans CJK SC"/>
        <family val="2"/>
      </rPr>
      <t xml:space="preserve">）</t>
    </r>
  </si>
  <si>
    <r>
      <rPr>
        <sz val="9"/>
        <color rgb="FF404040"/>
        <rFont val="Arial"/>
        <family val="0"/>
        <charset val="1"/>
      </rPr>
      <t xml:space="preserve">52 </t>
    </r>
    <r>
      <rPr>
        <sz val="9"/>
        <color rgb="FF404040"/>
        <rFont val="Noto Sans CJK SC"/>
        <family val="2"/>
      </rPr>
      <t xml:space="preserve">周区间 </t>
    </r>
    <r>
      <rPr>
        <sz val="9"/>
        <color rgb="FF404040"/>
        <rFont val="Arial"/>
        <family val="0"/>
        <charset val="1"/>
      </rPr>
      <t xml:space="preserve">$114.25 – $1,255.00</t>
    </r>
    <r>
      <rPr>
        <sz val="9"/>
        <color rgb="FF404040"/>
        <rFont val="Noto Sans CJK SC"/>
        <family val="2"/>
      </rPr>
      <t xml:space="preserve">。过去一年涨约 </t>
    </r>
    <r>
      <rPr>
        <sz val="9"/>
        <color rgb="FF404040"/>
        <rFont val="Arial"/>
        <family val="0"/>
        <charset val="1"/>
      </rPr>
      <t xml:space="preserve">700%</t>
    </r>
    <r>
      <rPr>
        <sz val="9"/>
        <color rgb="FF404040"/>
        <rFont val="Noto Sans CJK SC"/>
        <family val="2"/>
      </rPr>
      <t xml:space="preserve">，市值突破 </t>
    </r>
    <r>
      <rPr>
        <sz val="9"/>
        <color rgb="FF404040"/>
        <rFont val="Arial"/>
        <family val="0"/>
        <charset val="1"/>
      </rPr>
      <t xml:space="preserve">1 </t>
    </r>
    <r>
      <rPr>
        <sz val="9"/>
        <color rgb="FF404040"/>
        <rFont val="Noto Sans CJK SC"/>
        <family val="2"/>
      </rPr>
      <t xml:space="preserve">万亿美元</t>
    </r>
  </si>
  <si>
    <t xml:space="preserve">卖方一致目标价</t>
  </si>
  <si>
    <r>
      <rPr>
        <sz val="9"/>
        <color rgb="FF404040"/>
        <rFont val="Arial"/>
        <family val="0"/>
        <charset val="1"/>
      </rPr>
      <t xml:space="preserve">S&amp;P Global </t>
    </r>
    <r>
      <rPr>
        <sz val="9"/>
        <color rgb="FF404040"/>
        <rFont val="Noto Sans CJK SC"/>
        <family val="2"/>
      </rPr>
      <t xml:space="preserve">汇总 </t>
    </r>
    <r>
      <rPr>
        <sz val="9"/>
        <color rgb="FF404040"/>
        <rFont val="Arial"/>
        <family val="0"/>
        <charset val="1"/>
      </rPr>
      <t xml:space="preserve">47 </t>
    </r>
    <r>
      <rPr>
        <sz val="9"/>
        <color rgb="FF404040"/>
        <rFont val="Noto Sans CJK SC"/>
        <family val="2"/>
      </rPr>
      <t xml:space="preserve">家机构，评级「强烈买入」；最低 </t>
    </r>
    <r>
      <rPr>
        <sz val="9"/>
        <color rgb="FF404040"/>
        <rFont val="Arial"/>
        <family val="0"/>
        <charset val="1"/>
      </rPr>
      <t xml:space="preserve">$361</t>
    </r>
    <r>
      <rPr>
        <sz val="9"/>
        <color rgb="FF404040"/>
        <rFont val="Noto Sans CJK SC"/>
        <family val="2"/>
      </rPr>
      <t xml:space="preserve">、最高 </t>
    </r>
    <r>
      <rPr>
        <sz val="9"/>
        <color rgb="FF404040"/>
        <rFont val="Arial"/>
        <family val="0"/>
        <charset val="1"/>
      </rPr>
      <t xml:space="preserve">$2,200</t>
    </r>
    <r>
      <rPr>
        <sz val="9"/>
        <color rgb="FF404040"/>
        <rFont val="Noto Sans CJK SC"/>
        <family val="2"/>
      </rPr>
      <t xml:space="preserve">。这个 </t>
    </r>
    <r>
      <rPr>
        <sz val="9"/>
        <color rgb="FF404040"/>
        <rFont val="Arial"/>
        <family val="0"/>
        <charset val="1"/>
      </rPr>
      <t xml:space="preserve">6 </t>
    </r>
    <r>
      <rPr>
        <sz val="9"/>
        <color rgb="FF404040"/>
        <rFont val="Noto Sans CJK SC"/>
        <family val="2"/>
      </rPr>
      <t xml:space="preserve">倍的区间跨度本身就说明分歧极大</t>
    </r>
  </si>
  <si>
    <r>
      <rPr>
        <sz val="9"/>
        <color rgb="FF3D3D3D"/>
        <rFont val="Noto Sans CJK SC"/>
        <family val="2"/>
      </rPr>
      <t xml:space="preserve">★ 读这张表之前必须知道的三件事：① </t>
    </r>
    <r>
      <rPr>
        <sz val="9"/>
        <color rgb="FF3D3D3D"/>
        <rFont val="Arial"/>
        <family val="0"/>
        <charset val="1"/>
      </rPr>
      <t xml:space="preserve">MU </t>
    </r>
    <r>
      <rPr>
        <sz val="9"/>
        <color rgb="FF3D3D3D"/>
        <rFont val="Noto Sans CJK SC"/>
        <family val="2"/>
      </rPr>
      <t xml:space="preserve">与纯 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标的（如 </t>
    </r>
    <r>
      <rPr>
        <sz val="9"/>
        <color rgb="FF3D3D3D"/>
        <rFont val="Arial"/>
        <family val="0"/>
        <charset val="1"/>
      </rPr>
      <t xml:space="preserve">SNDK</t>
    </r>
    <r>
      <rPr>
        <sz val="9"/>
        <color rgb="FF3D3D3D"/>
        <rFont val="Noto Sans CJK SC"/>
        <family val="2"/>
      </rPr>
      <t xml:space="preserve">）最根本的不同是自建晶圆厂——</t>
    </r>
    <r>
      <rPr>
        <sz val="9"/>
        <color rgb="FF3D3D3D"/>
        <rFont val="Arial"/>
        <family val="0"/>
        <charset val="1"/>
      </rPr>
      <t xml:space="preserve">FY25 </t>
    </r>
    <r>
      <rPr>
        <sz val="9"/>
        <color rgb="FF3D3D3D"/>
        <rFont val="Noto Sans CJK SC"/>
        <family val="2"/>
      </rPr>
      <t xml:space="preserve">资本开支占收入 </t>
    </r>
    <r>
      <rPr>
        <sz val="9"/>
        <color rgb="FF3D3D3D"/>
        <rFont val="Arial"/>
        <family val="0"/>
        <charset val="1"/>
      </rPr>
      <t xml:space="preserve">36.9%</t>
    </r>
    <r>
      <rPr>
        <sz val="9"/>
        <color rgb="FF3D3D3D"/>
        <rFont val="Noto Sans CJK SC"/>
        <family val="2"/>
      </rPr>
      <t xml:space="preserve">，</t>
    </r>
    <r>
      <rPr>
        <sz val="9"/>
        <color rgb="FF3D3D3D"/>
        <rFont val="Arial"/>
        <family val="0"/>
        <charset val="1"/>
      </rPr>
      <t xml:space="preserve">FY26 </t>
    </r>
    <r>
      <rPr>
        <sz val="9"/>
        <color rgb="FF3D3D3D"/>
        <rFont val="Noto Sans CJK SC"/>
        <family val="2"/>
      </rPr>
      <t xml:space="preserve">约 </t>
    </r>
    <r>
      <rPr>
        <sz val="9"/>
        <color rgb="FF3D3D3D"/>
        <rFont val="Arial"/>
        <family val="0"/>
        <charset val="1"/>
      </rPr>
      <t xml:space="preserve">20.9%</t>
    </r>
    <r>
      <rPr>
        <sz val="9"/>
        <color rgb="FF3D3D3D"/>
        <rFont val="Noto Sans CJK SC"/>
        <family val="2"/>
      </rPr>
      <t xml:space="preserve">，绝对额从 </t>
    </r>
    <r>
      <rPr>
        <sz val="9"/>
        <color rgb="FF3D3D3D"/>
        <rFont val="Arial"/>
        <family val="0"/>
        <charset val="1"/>
      </rPr>
      <t xml:space="preserve">$138 </t>
    </r>
    <r>
      <rPr>
        <sz val="9"/>
        <color rgb="FF3D3D3D"/>
        <rFont val="Noto Sans CJK SC"/>
        <family val="2"/>
      </rPr>
      <t xml:space="preserve">亿升到约 </t>
    </r>
    <r>
      <rPr>
        <sz val="9"/>
        <color rgb="FF3D3D3D"/>
        <rFont val="Arial"/>
        <family val="0"/>
        <charset val="1"/>
      </rPr>
      <t xml:space="preserve">$270 </t>
    </r>
    <r>
      <rPr>
        <sz val="9"/>
        <color rgb="FF3D3D3D"/>
        <rFont val="Noto Sans CJK SC"/>
        <family val="2"/>
      </rPr>
      <t xml:space="preserve">亿，管理层已指引 </t>
    </r>
    <r>
      <rPr>
        <sz val="9"/>
        <color rgb="FF3D3D3D"/>
        <rFont val="Arial"/>
        <family val="0"/>
        <charset val="1"/>
      </rPr>
      <t xml:space="preserve">FY27 </t>
    </r>
    <r>
      <rPr>
        <sz val="9"/>
        <color rgb="FF3D3D3D"/>
        <rFont val="Noto Sans CJK SC"/>
        <family val="2"/>
      </rPr>
      <t xml:space="preserve">继续上升。收入下行时资本开支不会同步下行，这是存储自建厂商现金流崩塌的机制；② </t>
    </r>
    <r>
      <rPr>
        <sz val="9"/>
        <color rgb="FF3D3D3D"/>
        <rFont val="Arial"/>
        <family val="0"/>
        <charset val="1"/>
      </rPr>
      <t xml:space="preserve">MU </t>
    </r>
    <r>
      <rPr>
        <sz val="9"/>
        <color rgb="FF3D3D3D"/>
        <rFont val="Noto Sans CJK SC"/>
        <family val="2"/>
      </rPr>
      <t xml:space="preserve">约 </t>
    </r>
    <r>
      <rPr>
        <sz val="9"/>
        <color rgb="FF3D3D3D"/>
        <rFont val="Arial"/>
        <family val="0"/>
        <charset val="1"/>
      </rPr>
      <t xml:space="preserve">76% </t>
    </r>
    <r>
      <rPr>
        <sz val="9"/>
        <color rgb="FF3D3D3D"/>
        <rFont val="Noto Sans CJK SC"/>
        <family val="2"/>
      </rPr>
      <t xml:space="preserve">收入来自 </t>
    </r>
    <r>
      <rPr>
        <sz val="9"/>
        <color rgb="FF3D3D3D"/>
        <rFont val="Arial"/>
        <family val="0"/>
        <charset val="1"/>
      </rPr>
      <t xml:space="preserve">DRAM</t>
    </r>
    <r>
      <rPr>
        <sz val="9"/>
        <color rgb="FF3D3D3D"/>
        <rFont val="Noto Sans CJK SC"/>
        <family val="2"/>
      </rPr>
      <t xml:space="preserve">（</t>
    </r>
    <r>
      <rPr>
        <sz val="9"/>
        <color rgb="FF3D3D3D"/>
        <rFont val="Arial"/>
        <family val="0"/>
        <charset val="1"/>
      </rPr>
      <t xml:space="preserve">FY26 Q3 DRAM </t>
    </r>
    <r>
      <rPr>
        <sz val="9"/>
        <color rgb="FF3D3D3D"/>
        <rFont val="Noto Sans CJK SC"/>
        <family val="2"/>
      </rPr>
      <t xml:space="preserve">收入 </t>
    </r>
    <r>
      <rPr>
        <sz val="9"/>
        <color rgb="FF3D3D3D"/>
        <rFont val="Arial"/>
        <family val="0"/>
        <charset val="1"/>
      </rPr>
      <t xml:space="preserve">$313 </t>
    </r>
    <r>
      <rPr>
        <sz val="9"/>
        <color rgb="FF3D3D3D"/>
        <rFont val="Noto Sans CJK SC"/>
        <family val="2"/>
      </rPr>
      <t xml:space="preserve">亿），而《缺口的算术》的结论是 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先于 </t>
    </r>
    <r>
      <rPr>
        <sz val="9"/>
        <color rgb="FF3D3D3D"/>
        <rFont val="Arial"/>
        <family val="0"/>
        <charset val="1"/>
      </rPr>
      <t xml:space="preserve">DRAM </t>
    </r>
    <r>
      <rPr>
        <sz val="9"/>
        <color rgb="FF3D3D3D"/>
        <rFont val="Noto Sans CJK SC"/>
        <family val="2"/>
      </rPr>
      <t xml:space="preserve">转过剩——这构成 </t>
    </r>
    <r>
      <rPr>
        <sz val="9"/>
        <color rgb="FF3D3D3D"/>
        <rFont val="Arial"/>
        <family val="0"/>
        <charset val="1"/>
      </rPr>
      <t xml:space="preserve">MU </t>
    </r>
    <r>
      <rPr>
        <sz val="9"/>
        <color rgb="FF3D3D3D"/>
        <rFont val="Noto Sans CJK SC"/>
        <family val="2"/>
      </rPr>
      <t xml:space="preserve">相对纯 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标的的结构性优势，也是本模型三个情形分歧的核心；③ </t>
    </r>
    <r>
      <rPr>
        <sz val="9"/>
        <color rgb="FF3D3D3D"/>
        <rFont val="Arial"/>
        <family val="0"/>
        <charset val="1"/>
      </rPr>
      <t xml:space="preserve">FY26 Q4 </t>
    </r>
    <r>
      <rPr>
        <sz val="9"/>
        <color rgb="FF3D3D3D"/>
        <rFont val="Noto Sans CJK SC"/>
        <family val="2"/>
      </rPr>
      <t xml:space="preserve">尚未披露（财年止于 </t>
    </r>
    <r>
      <rPr>
        <sz val="9"/>
        <color rgb="FF3D3D3D"/>
        <rFont val="Arial"/>
        <family val="0"/>
        <charset val="1"/>
      </rPr>
      <t xml:space="preserve">2026-09-03</t>
    </r>
    <r>
      <rPr>
        <sz val="9"/>
        <color rgb="FF3D3D3D"/>
        <rFont val="Noto Sans CJK SC"/>
        <family val="2"/>
      </rPr>
      <t xml:space="preserve">），本表该列为公司官方指引，未指引的利息与税项按注明假设填列。</t>
    </r>
  </si>
  <si>
    <r>
      <rPr>
        <b val="true"/>
        <sz val="11"/>
        <color rgb="FFFFFFFF"/>
        <rFont val="Arial"/>
        <family val="0"/>
        <charset val="1"/>
      </rPr>
      <t xml:space="preserve">02  </t>
    </r>
    <r>
      <rPr>
        <b val="true"/>
        <sz val="11"/>
        <color rgb="FFFFFFFF"/>
        <rFont val="Noto Sans CJK SC"/>
        <family val="2"/>
      </rPr>
      <t xml:space="preserve">合并利润表（季度 </t>
    </r>
    <r>
      <rPr>
        <b val="true"/>
        <sz val="11"/>
        <color rgb="FFFFFFFF"/>
        <rFont val="Arial"/>
        <family val="0"/>
        <charset val="1"/>
      </rPr>
      <t xml:space="preserve">+ </t>
    </r>
    <r>
      <rPr>
        <b val="true"/>
        <sz val="11"/>
        <color rgb="FFFFFFFF"/>
        <rFont val="Noto Sans CJK SC"/>
        <family val="2"/>
      </rPr>
      <t xml:space="preserve">年度）</t>
    </r>
  </si>
  <si>
    <t xml:space="preserve">科目（百万美元）</t>
  </si>
  <si>
    <t xml:space="preserve">FY26 Q1</t>
  </si>
  <si>
    <t xml:space="preserve">FY26 Q2</t>
  </si>
  <si>
    <t xml:space="preserve">FY26 Q3</t>
  </si>
  <si>
    <r>
      <rPr>
        <b val="true"/>
        <sz val="9"/>
        <color rgb="FF16305B"/>
        <rFont val="Arial"/>
        <family val="0"/>
        <charset val="1"/>
      </rPr>
      <t xml:space="preserve">FY26 Q4E
</t>
    </r>
    <r>
      <rPr>
        <b val="true"/>
        <sz val="9"/>
        <color rgb="FF16305B"/>
        <rFont val="Noto Sans CJK SC"/>
        <family val="2"/>
      </rPr>
      <t xml:space="preserve">（指引）</t>
    </r>
  </si>
  <si>
    <t xml:space="preserve">FY2026E</t>
  </si>
  <si>
    <t xml:space="preserve">FY2025</t>
  </si>
  <si>
    <r>
      <rPr>
        <b val="true"/>
        <sz val="9"/>
        <color rgb="FF16305B"/>
        <rFont val="Arial"/>
        <family val="0"/>
        <charset val="1"/>
      </rPr>
      <t xml:space="preserve">Q4E </t>
    </r>
    <r>
      <rPr>
        <b val="true"/>
        <sz val="9"/>
        <color rgb="FF16305B"/>
        <rFont val="Noto Sans CJK SC"/>
        <family val="2"/>
      </rPr>
      <t xml:space="preserve">环比</t>
    </r>
  </si>
  <si>
    <r>
      <rPr>
        <b val="true"/>
        <sz val="9"/>
        <color rgb="FF16305B"/>
        <rFont val="Arial"/>
        <family val="0"/>
        <charset val="1"/>
      </rPr>
      <t xml:space="preserve">FY26E </t>
    </r>
    <r>
      <rPr>
        <b val="true"/>
        <sz val="9"/>
        <color rgb="FF16305B"/>
        <rFont val="Noto Sans CJK SC"/>
        <family val="2"/>
      </rPr>
      <t xml:space="preserve">同比</t>
    </r>
  </si>
  <si>
    <t xml:space="preserve">备注</t>
  </si>
  <si>
    <r>
      <rPr>
        <sz val="9"/>
        <color rgb="FF000000"/>
        <rFont val="Noto Sans CJK SC"/>
        <family val="2"/>
      </rPr>
      <t xml:space="preserve">营业收入 </t>
    </r>
    <r>
      <rPr>
        <sz val="9"/>
        <color rgb="FF000000"/>
        <rFont val="Arial"/>
        <family val="0"/>
        <charset val="1"/>
      </rPr>
      <t xml:space="preserve">Revenue</t>
    </r>
  </si>
  <si>
    <r>
      <rPr>
        <sz val="9"/>
        <color rgb="FF000000"/>
        <rFont val="Noto Sans CJK SC"/>
        <family val="2"/>
      </rPr>
      <t xml:space="preserve">营业成本 </t>
    </r>
    <r>
      <rPr>
        <sz val="9"/>
        <color rgb="FF000000"/>
        <rFont val="Arial"/>
        <family val="0"/>
        <charset val="1"/>
      </rPr>
      <t xml:space="preserve">Cost of goods sold</t>
    </r>
  </si>
  <si>
    <r>
      <rPr>
        <b val="true"/>
        <sz val="9"/>
        <color rgb="FF16305B"/>
        <rFont val="Noto Sans CJK SC"/>
        <family val="2"/>
      </rPr>
      <t xml:space="preserve">毛利 </t>
    </r>
    <r>
      <rPr>
        <b val="true"/>
        <sz val="9"/>
        <color rgb="FF16305B"/>
        <rFont val="Arial"/>
        <family val="0"/>
        <charset val="1"/>
      </rPr>
      <t xml:space="preserve">Gross margin</t>
    </r>
  </si>
  <si>
    <r>
      <rPr>
        <sz val="9"/>
        <color rgb="FF000000"/>
        <rFont val="Noto Sans CJK SC"/>
        <family val="2"/>
      </rPr>
      <t xml:space="preserve">研发费用 </t>
    </r>
    <r>
      <rPr>
        <sz val="9"/>
        <color rgb="FF000000"/>
        <rFont val="Arial"/>
        <family val="0"/>
        <charset val="1"/>
      </rPr>
      <t xml:space="preserve">R&amp;D</t>
    </r>
  </si>
  <si>
    <r>
      <rPr>
        <sz val="9"/>
        <color rgb="FF000000"/>
        <rFont val="Noto Sans CJK SC"/>
        <family val="2"/>
      </rPr>
      <t xml:space="preserve">销售管理费用 </t>
    </r>
    <r>
      <rPr>
        <sz val="9"/>
        <color rgb="FF000000"/>
        <rFont val="Arial"/>
        <family val="0"/>
        <charset val="1"/>
      </rPr>
      <t xml:space="preserve">SG&amp;A</t>
    </r>
  </si>
  <si>
    <r>
      <rPr>
        <sz val="9"/>
        <color rgb="FF000000"/>
        <rFont val="Noto Sans CJK SC"/>
        <family val="2"/>
      </rPr>
      <t xml:space="preserve">其他营业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收入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费用净额 </t>
    </r>
    <r>
      <rPr>
        <sz val="9"/>
        <color rgb="FF000000"/>
        <rFont val="Arial"/>
        <family val="0"/>
        <charset val="1"/>
      </rPr>
      <t xml:space="preserve">Other opex</t>
    </r>
  </si>
  <si>
    <r>
      <rPr>
        <b val="true"/>
        <sz val="9"/>
        <color rgb="FF16305B"/>
        <rFont val="Noto Sans CJK SC"/>
        <family val="2"/>
      </rPr>
      <t xml:space="preserve">营业费用合计 </t>
    </r>
    <r>
      <rPr>
        <b val="true"/>
        <sz val="9"/>
        <color rgb="FF16305B"/>
        <rFont val="Arial"/>
        <family val="0"/>
        <charset val="1"/>
      </rPr>
      <t xml:space="preserve">Total opex</t>
    </r>
  </si>
  <si>
    <r>
      <rPr>
        <b val="true"/>
        <sz val="9"/>
        <color rgb="FF16305B"/>
        <rFont val="Noto Sans CJK SC"/>
        <family val="2"/>
      </rPr>
      <t xml:space="preserve">营业利润 </t>
    </r>
    <r>
      <rPr>
        <b val="true"/>
        <sz val="9"/>
        <color rgb="FF16305B"/>
        <rFont val="Arial"/>
        <family val="0"/>
        <charset val="1"/>
      </rPr>
      <t xml:space="preserve">Operating income</t>
    </r>
  </si>
  <si>
    <r>
      <rPr>
        <sz val="9"/>
        <color rgb="FF000000"/>
        <rFont val="Noto Sans CJK SC"/>
        <family val="2"/>
      </rPr>
      <t xml:space="preserve">利息收入 </t>
    </r>
    <r>
      <rPr>
        <sz val="9"/>
        <color rgb="FF000000"/>
        <rFont val="Arial"/>
        <family val="0"/>
        <charset val="1"/>
      </rPr>
      <t xml:space="preserve">Interest income</t>
    </r>
  </si>
  <si>
    <r>
      <rPr>
        <sz val="9"/>
        <color rgb="FF000000"/>
        <rFont val="Noto Sans CJK SC"/>
        <family val="2"/>
      </rPr>
      <t xml:space="preserve">利息支出 </t>
    </r>
    <r>
      <rPr>
        <sz val="9"/>
        <color rgb="FF000000"/>
        <rFont val="Arial"/>
        <family val="0"/>
        <charset val="1"/>
      </rPr>
      <t xml:space="preserve">Interest expense</t>
    </r>
  </si>
  <si>
    <r>
      <rPr>
        <sz val="9"/>
        <color rgb="FF000000"/>
        <rFont val="Noto Sans CJK SC"/>
        <family val="2"/>
      </rPr>
      <t xml:space="preserve">其他非经营损益 </t>
    </r>
    <r>
      <rPr>
        <sz val="9"/>
        <color rgb="FF000000"/>
        <rFont val="Arial"/>
        <family val="0"/>
        <charset val="1"/>
      </rPr>
      <t xml:space="preserve">Other non-operating</t>
    </r>
  </si>
  <si>
    <r>
      <rPr>
        <b val="true"/>
        <sz val="9"/>
        <color rgb="FF16305B"/>
        <rFont val="Noto Sans CJK SC"/>
        <family val="2"/>
      </rPr>
      <t xml:space="preserve">税前利润 </t>
    </r>
    <r>
      <rPr>
        <b val="true"/>
        <sz val="9"/>
        <color rgb="FF16305B"/>
        <rFont val="Arial"/>
        <family val="0"/>
        <charset val="1"/>
      </rPr>
      <t xml:space="preserve">Income before taxes</t>
    </r>
  </si>
  <si>
    <r>
      <rPr>
        <sz val="9"/>
        <color rgb="FF000000"/>
        <rFont val="Noto Sans CJK SC"/>
        <family val="2"/>
      </rPr>
      <t xml:space="preserve">所得税 </t>
    </r>
    <r>
      <rPr>
        <sz val="9"/>
        <color rgb="FF000000"/>
        <rFont val="Arial"/>
        <family val="0"/>
        <charset val="1"/>
      </rPr>
      <t xml:space="preserve">Income tax provision</t>
    </r>
  </si>
  <si>
    <r>
      <rPr>
        <sz val="9"/>
        <color rgb="FF000000"/>
        <rFont val="Noto Sans CJK SC"/>
        <family val="2"/>
      </rPr>
      <t xml:space="preserve">权益法投资损益 </t>
    </r>
    <r>
      <rPr>
        <sz val="9"/>
        <color rgb="FF000000"/>
        <rFont val="Arial"/>
        <family val="0"/>
        <charset val="1"/>
      </rPr>
      <t xml:space="preserve">Equity in investees</t>
    </r>
  </si>
  <si>
    <r>
      <rPr>
        <b val="true"/>
        <sz val="9"/>
        <color rgb="FF16305B"/>
        <rFont val="Noto Sans CJK SC"/>
        <family val="2"/>
      </rPr>
      <t xml:space="preserve">净利润 </t>
    </r>
    <r>
      <rPr>
        <b val="true"/>
        <sz val="9"/>
        <color rgb="FF16305B"/>
        <rFont val="Arial"/>
        <family val="0"/>
        <charset val="1"/>
      </rPr>
      <t xml:space="preserve">Net income</t>
    </r>
  </si>
  <si>
    <r>
      <rPr>
        <b val="true"/>
        <sz val="9"/>
        <color rgb="FFB3202C"/>
        <rFont val="Noto Sans CJK SC"/>
        <family val="2"/>
      </rPr>
      <t xml:space="preserve">毛利率 </t>
    </r>
    <r>
      <rPr>
        <b val="true"/>
        <sz val="9"/>
        <color rgb="FFB3202C"/>
        <rFont val="Arial"/>
        <family val="0"/>
        <charset val="1"/>
      </rPr>
      <t xml:space="preserve">Gross margin</t>
    </r>
  </si>
  <si>
    <r>
      <rPr>
        <b val="true"/>
        <sz val="9"/>
        <color rgb="FFB3202C"/>
        <rFont val="Noto Sans CJK SC"/>
        <family val="2"/>
      </rPr>
      <t xml:space="preserve">营业利润率 </t>
    </r>
    <r>
      <rPr>
        <b val="true"/>
        <sz val="9"/>
        <color rgb="FFB3202C"/>
        <rFont val="Arial"/>
        <family val="0"/>
        <charset val="1"/>
      </rPr>
      <t xml:space="preserve">Operating margin</t>
    </r>
  </si>
  <si>
    <r>
      <rPr>
        <b val="true"/>
        <sz val="9"/>
        <color rgb="FFB3202C"/>
        <rFont val="Noto Sans CJK SC"/>
        <family val="2"/>
      </rPr>
      <t xml:space="preserve">净利率 </t>
    </r>
    <r>
      <rPr>
        <b val="true"/>
        <sz val="9"/>
        <color rgb="FFB3202C"/>
        <rFont val="Arial"/>
        <family val="0"/>
        <charset val="1"/>
      </rPr>
      <t xml:space="preserve">Net margin</t>
    </r>
  </si>
  <si>
    <r>
      <rPr>
        <b val="true"/>
        <sz val="9"/>
        <color rgb="FFB3202C"/>
        <rFont val="Noto Sans CJK SC"/>
        <family val="2"/>
      </rPr>
      <t xml:space="preserve">费用率 </t>
    </r>
    <r>
      <rPr>
        <b val="true"/>
        <sz val="9"/>
        <color rgb="FFB3202C"/>
        <rFont val="Arial"/>
        <family val="0"/>
        <charset val="1"/>
      </rPr>
      <t xml:space="preserve">Opex % of revenue</t>
    </r>
  </si>
  <si>
    <r>
      <rPr>
        <b val="true"/>
        <sz val="9"/>
        <color rgb="FF000000"/>
        <rFont val="Noto Sans CJK SC"/>
        <family val="2"/>
      </rPr>
      <t xml:space="preserve">摊薄每股收益 </t>
    </r>
    <r>
      <rPr>
        <b val="true"/>
        <sz val="9"/>
        <color rgb="FF000000"/>
        <rFont val="Arial"/>
        <family val="0"/>
        <charset val="1"/>
      </rPr>
      <t xml:space="preserve">Diluted EPS ($)</t>
    </r>
  </si>
  <si>
    <r>
      <rPr>
        <b val="true"/>
        <sz val="9"/>
        <color rgb="FF000000"/>
        <rFont val="Noto Sans CJK SC"/>
        <family val="2"/>
      </rPr>
      <t xml:space="preserve">基本每股收益 </t>
    </r>
    <r>
      <rPr>
        <b val="true"/>
        <sz val="9"/>
        <color rgb="FF000000"/>
        <rFont val="Arial"/>
        <family val="0"/>
        <charset val="1"/>
      </rPr>
      <t xml:space="preserve">Basic EPS ($)</t>
    </r>
  </si>
  <si>
    <r>
      <rPr>
        <b val="true"/>
        <sz val="9"/>
        <color rgb="FF000000"/>
        <rFont val="Noto Sans CJK SC"/>
        <family val="2"/>
      </rPr>
      <t xml:space="preserve">摊薄股数 </t>
    </r>
    <r>
      <rPr>
        <b val="true"/>
        <sz val="9"/>
        <color rgb="FF000000"/>
        <rFont val="Arial"/>
        <family val="0"/>
        <charset val="1"/>
      </rPr>
      <t xml:space="preserve">Diluted shares (M)</t>
    </r>
  </si>
  <si>
    <r>
      <rPr>
        <b val="true"/>
        <sz val="9"/>
        <color rgb="FF000000"/>
        <rFont val="Noto Sans CJK SC"/>
        <family val="2"/>
      </rPr>
      <t xml:space="preserve">基本股数 </t>
    </r>
    <r>
      <rPr>
        <b val="true"/>
        <sz val="9"/>
        <color rgb="FF000000"/>
        <rFont val="Arial"/>
        <family val="0"/>
        <charset val="1"/>
      </rPr>
      <t xml:space="preserve">Basic shares (M)</t>
    </r>
  </si>
  <si>
    <r>
      <rPr>
        <sz val="9"/>
        <color rgb="FF3D3D3D"/>
        <rFont val="Noto Sans CJK SC"/>
        <family val="2"/>
      </rPr>
      <t xml:space="preserve">★ 四个季度的毛利率路径是 </t>
    </r>
    <r>
      <rPr>
        <sz val="9"/>
        <color rgb="FF3D3D3D"/>
        <rFont val="Arial"/>
        <family val="0"/>
        <charset val="1"/>
      </rPr>
      <t xml:space="preserve">56.0% → 74.4% → 84.6% → </t>
    </r>
    <r>
      <rPr>
        <sz val="9"/>
        <color rgb="FF3D3D3D"/>
        <rFont val="Noto Sans CJK SC"/>
        <family val="2"/>
      </rPr>
      <t xml:space="preserve">约</t>
    </r>
    <r>
      <rPr>
        <sz val="9"/>
        <color rgb="FF3D3D3D"/>
        <rFont val="Arial"/>
        <family val="0"/>
        <charset val="1"/>
      </rPr>
      <t xml:space="preserve">86%</t>
    </r>
    <r>
      <rPr>
        <sz val="9"/>
        <color rgb="FF3D3D3D"/>
        <rFont val="Noto Sans CJK SC"/>
        <family val="2"/>
      </rPr>
      <t xml:space="preserve">（指引）。注意营业成本几乎没动（</t>
    </r>
    <r>
      <rPr>
        <sz val="9"/>
        <color rgb="FF3D3D3D"/>
        <rFont val="Arial"/>
        <family val="0"/>
        <charset val="1"/>
      </rPr>
      <t xml:space="preserve">5,997 → 6,105 → 6,400</t>
    </r>
    <r>
      <rPr>
        <sz val="9"/>
        <color rgb="FF3D3D3D"/>
        <rFont val="Noto Sans CJK SC"/>
        <family val="2"/>
      </rPr>
      <t xml:space="preserve">），而收入从 </t>
    </r>
    <r>
      <rPr>
        <sz val="9"/>
        <color rgb="FF3D3D3D"/>
        <rFont val="Arial"/>
        <family val="0"/>
        <charset val="1"/>
      </rPr>
      <t xml:space="preserve">$136 </t>
    </r>
    <r>
      <rPr>
        <sz val="9"/>
        <color rgb="FF3D3D3D"/>
        <rFont val="Noto Sans CJK SC"/>
        <family val="2"/>
      </rPr>
      <t xml:space="preserve">亿涨到 </t>
    </r>
    <r>
      <rPr>
        <sz val="9"/>
        <color rgb="FF3D3D3D"/>
        <rFont val="Arial"/>
        <family val="0"/>
        <charset val="1"/>
      </rPr>
      <t xml:space="preserve">$500 </t>
    </r>
    <r>
      <rPr>
        <sz val="9"/>
        <color rgb="FF3D3D3D"/>
        <rFont val="Noto Sans CJK SC"/>
        <family val="2"/>
      </rPr>
      <t xml:space="preserve">亿——这轮周期的全部利润都来自价格，不是来自量。公司口径：</t>
    </r>
    <r>
      <rPr>
        <sz val="9"/>
        <color rgb="FF3D3D3D"/>
        <rFont val="Arial"/>
        <family val="0"/>
        <charset val="1"/>
      </rPr>
      <t xml:space="preserve">FY26 Q3 DRAM </t>
    </r>
    <r>
      <rPr>
        <sz val="9"/>
        <color rgb="FF3D3D3D"/>
        <rFont val="Noto Sans CJK SC"/>
        <family val="2"/>
      </rPr>
      <t xml:space="preserve">平均售价环比约 </t>
    </r>
    <r>
      <rPr>
        <sz val="9"/>
        <color rgb="FF3D3D3D"/>
        <rFont val="Arial"/>
        <family val="0"/>
        <charset val="1"/>
      </rPr>
      <t xml:space="preserve">+60%</t>
    </r>
    <r>
      <rPr>
        <sz val="9"/>
        <color rgb="FF3D3D3D"/>
        <rFont val="Noto Sans CJK SC"/>
        <family val="2"/>
      </rPr>
      <t xml:space="preserve">，</t>
    </r>
    <r>
      <rPr>
        <sz val="9"/>
        <color rgb="FF3D3D3D"/>
        <rFont val="Arial"/>
        <family val="0"/>
        <charset val="1"/>
      </rPr>
      <t xml:space="preserve">bit </t>
    </r>
    <r>
      <rPr>
        <sz val="9"/>
        <color rgb="FF3D3D3D"/>
        <rFont val="Noto Sans CJK SC"/>
        <family val="2"/>
      </rPr>
      <t xml:space="preserve">出货量仅增长低个位数；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售价环比约 </t>
    </r>
    <r>
      <rPr>
        <sz val="9"/>
        <color rgb="FF3D3D3D"/>
        <rFont val="Arial"/>
        <family val="0"/>
        <charset val="1"/>
      </rPr>
      <t xml:space="preserve">+85%</t>
    </r>
    <r>
      <rPr>
        <sz val="9"/>
        <color rgb="FF3D3D3D"/>
        <rFont val="Noto Sans CJK SC"/>
        <family val="2"/>
      </rPr>
      <t xml:space="preserve">。</t>
    </r>
  </si>
  <si>
    <r>
      <rPr>
        <sz val="9"/>
        <color rgb="FF3D3D3D"/>
        <rFont val="Noto Sans CJK SC"/>
        <family val="2"/>
      </rPr>
      <t xml:space="preserve">口径说明：① </t>
    </r>
    <r>
      <rPr>
        <sz val="9"/>
        <color rgb="FF3D3D3D"/>
        <rFont val="Arial"/>
        <family val="0"/>
        <charset val="1"/>
      </rPr>
      <t xml:space="preserve">FY26 Q1 </t>
    </r>
    <r>
      <rPr>
        <sz val="9"/>
        <color rgb="FF3D3D3D"/>
        <rFont val="Noto Sans CJK SC"/>
        <family val="2"/>
      </rPr>
      <t xml:space="preserve">的各明细行由「九个月累计 − </t>
    </r>
    <r>
      <rPr>
        <sz val="9"/>
        <color rgb="FF3D3D3D"/>
        <rFont val="Arial"/>
        <family val="0"/>
        <charset val="1"/>
      </rPr>
      <t xml:space="preserve">Q2 − Q3</t>
    </r>
    <r>
      <rPr>
        <sz val="9"/>
        <color rgb="FF3D3D3D"/>
        <rFont val="Noto Sans CJK SC"/>
        <family val="2"/>
      </rPr>
      <t xml:space="preserve">」倒算，并与公司 </t>
    </r>
    <r>
      <rPr>
        <sz val="9"/>
        <color rgb="FF3D3D3D"/>
        <rFont val="Arial"/>
        <family val="0"/>
        <charset val="1"/>
      </rPr>
      <t xml:space="preserve">Q1 </t>
    </r>
    <r>
      <rPr>
        <sz val="9"/>
        <color rgb="FF3D3D3D"/>
        <rFont val="Noto Sans CJK SC"/>
        <family val="2"/>
      </rPr>
      <t xml:space="preserve">财报原文逐项交叉验证一致（收入 </t>
    </r>
    <r>
      <rPr>
        <sz val="9"/>
        <color rgb="FF3D3D3D"/>
        <rFont val="Arial"/>
        <family val="0"/>
        <charset val="1"/>
      </rPr>
      <t xml:space="preserve">$13.64B</t>
    </r>
    <r>
      <rPr>
        <sz val="9"/>
        <color rgb="FF3D3D3D"/>
        <rFont val="Noto Sans CJK SC"/>
        <family val="2"/>
      </rPr>
      <t xml:space="preserve">、净利 </t>
    </r>
    <r>
      <rPr>
        <sz val="9"/>
        <color rgb="FF3D3D3D"/>
        <rFont val="Arial"/>
        <family val="0"/>
        <charset val="1"/>
      </rPr>
      <t xml:space="preserve">$5.24B</t>
    </r>
    <r>
      <rPr>
        <sz val="9"/>
        <color rgb="FF3D3D3D"/>
        <rFont val="Noto Sans CJK SC"/>
        <family val="2"/>
      </rPr>
      <t xml:space="preserve">、</t>
    </r>
    <r>
      <rPr>
        <sz val="9"/>
        <color rgb="FF3D3D3D"/>
        <rFont val="Arial"/>
        <family val="0"/>
        <charset val="1"/>
      </rPr>
      <t xml:space="preserve">EPS $4.60</t>
    </r>
    <r>
      <rPr>
        <sz val="9"/>
        <color rgb="FF3D3D3D"/>
        <rFont val="Noto Sans CJK SC"/>
        <family val="2"/>
      </rPr>
      <t xml:space="preserve">、经营现金流 </t>
    </r>
    <r>
      <rPr>
        <sz val="9"/>
        <color rgb="FF3D3D3D"/>
        <rFont val="Arial"/>
        <family val="0"/>
        <charset val="1"/>
      </rPr>
      <t xml:space="preserve">$8.41B</t>
    </r>
    <r>
      <rPr>
        <sz val="9"/>
        <color rgb="FF3D3D3D"/>
        <rFont val="Noto Sans CJK SC"/>
        <family val="2"/>
      </rPr>
      <t xml:space="preserve">、调整后自由现金流 </t>
    </r>
    <r>
      <rPr>
        <sz val="9"/>
        <color rgb="FF3D3D3D"/>
        <rFont val="Arial"/>
        <family val="0"/>
        <charset val="1"/>
      </rPr>
      <t xml:space="preserve">$3.9B </t>
    </r>
    <r>
      <rPr>
        <sz val="9"/>
        <color rgb="FF3D3D3D"/>
        <rFont val="Noto Sans CJK SC"/>
        <family val="2"/>
      </rPr>
      <t xml:space="preserve">全部吻合）；② </t>
    </r>
    <r>
      <rPr>
        <sz val="9"/>
        <color rgb="FF3D3D3D"/>
        <rFont val="Arial"/>
        <family val="0"/>
        <charset val="1"/>
      </rPr>
      <t xml:space="preserve">FY26 Q4E </t>
    </r>
    <r>
      <rPr>
        <sz val="9"/>
        <color rgb="FF3D3D3D"/>
        <rFont val="Noto Sans CJK SC"/>
        <family val="2"/>
      </rPr>
      <t xml:space="preserve">列为公司官方指引（收入 </t>
    </r>
    <r>
      <rPr>
        <sz val="9"/>
        <color rgb="FF3D3D3D"/>
        <rFont val="Arial"/>
        <family val="0"/>
        <charset val="1"/>
      </rPr>
      <t xml:space="preserve">$50.0B</t>
    </r>
    <r>
      <rPr>
        <sz val="9"/>
        <color rgb="FF3D3D3D"/>
        <rFont val="Noto Sans CJK SC"/>
        <family val="2"/>
      </rPr>
      <t xml:space="preserve">、毛利率约 </t>
    </r>
    <r>
      <rPr>
        <sz val="9"/>
        <color rgb="FF3D3D3D"/>
        <rFont val="Arial"/>
        <family val="0"/>
        <charset val="1"/>
      </rPr>
      <t xml:space="preserve">86%</t>
    </r>
    <r>
      <rPr>
        <sz val="9"/>
        <color rgb="FF3D3D3D"/>
        <rFont val="Noto Sans CJK SC"/>
        <family val="2"/>
      </rPr>
      <t xml:space="preserve">、</t>
    </r>
    <r>
      <rPr>
        <sz val="9"/>
        <color rgb="FF3D3D3D"/>
        <rFont val="Arial"/>
        <family val="0"/>
        <charset val="1"/>
      </rPr>
      <t xml:space="preserve">GAAP </t>
    </r>
    <r>
      <rPr>
        <sz val="9"/>
        <color rgb="FF3D3D3D"/>
        <rFont val="Noto Sans CJK SC"/>
        <family val="2"/>
      </rPr>
      <t xml:space="preserve">费用约 </t>
    </r>
    <r>
      <rPr>
        <sz val="9"/>
        <color rgb="FF3D3D3D"/>
        <rFont val="Arial"/>
        <family val="0"/>
        <charset val="1"/>
      </rPr>
      <t xml:space="preserve">$1.86B</t>
    </r>
    <r>
      <rPr>
        <sz val="9"/>
        <color rgb="FF3D3D3D"/>
        <rFont val="Noto Sans CJK SC"/>
        <family val="2"/>
      </rPr>
      <t xml:space="preserve">、</t>
    </r>
    <r>
      <rPr>
        <sz val="9"/>
        <color rgb="FF3D3D3D"/>
        <rFont val="Arial"/>
        <family val="0"/>
        <charset val="1"/>
      </rPr>
      <t xml:space="preserve">GAAP EPS $30.73</t>
    </r>
    <r>
      <rPr>
        <sz val="9"/>
        <color rgb="FF3D3D3D"/>
        <rFont val="Noto Sans CJK SC"/>
        <family val="2"/>
      </rPr>
      <t xml:space="preserve">、约 </t>
    </r>
    <r>
      <rPr>
        <sz val="9"/>
        <color rgb="FF3D3D3D"/>
        <rFont val="Arial"/>
        <family val="0"/>
        <charset val="1"/>
      </rPr>
      <t xml:space="preserve">11.5 </t>
    </r>
    <r>
      <rPr>
        <sz val="9"/>
        <color rgb="FF3D3D3D"/>
        <rFont val="Noto Sans CJK SC"/>
        <family val="2"/>
      </rPr>
      <t xml:space="preserve">亿摊薄股），研发</t>
    </r>
    <r>
      <rPr>
        <sz val="9"/>
        <color rgb="FF3D3D3D"/>
        <rFont val="Arial"/>
        <family val="0"/>
        <charset val="1"/>
      </rPr>
      <t xml:space="preserve">/</t>
    </r>
    <r>
      <rPr>
        <sz val="9"/>
        <color rgb="FF3D3D3D"/>
        <rFont val="Noto Sans CJK SC"/>
        <family val="2"/>
      </rPr>
      <t xml:space="preserve">销售管理费用按 </t>
    </r>
    <r>
      <rPr>
        <sz val="9"/>
        <color rgb="FF3D3D3D"/>
        <rFont val="Arial"/>
        <family val="0"/>
        <charset val="1"/>
      </rPr>
      <t xml:space="preserve">Q3 </t>
    </r>
    <r>
      <rPr>
        <sz val="9"/>
        <color rgb="FF3D3D3D"/>
        <rFont val="Noto Sans CJK SC"/>
        <family val="2"/>
      </rPr>
      <t xml:space="preserve">结构拆分，利息收入假设 </t>
    </r>
    <r>
      <rPr>
        <sz val="9"/>
        <color rgb="FF3D3D3D"/>
        <rFont val="Arial"/>
        <family val="0"/>
        <charset val="1"/>
      </rPr>
      <t xml:space="preserve">$300M</t>
    </r>
    <r>
      <rPr>
        <sz val="9"/>
        <color rgb="FF3D3D3D"/>
        <rFont val="Noto Sans CJK SC"/>
        <family val="2"/>
      </rPr>
      <t xml:space="preserve">、其他非经营 −</t>
    </r>
    <r>
      <rPr>
        <sz val="9"/>
        <color rgb="FF3D3D3D"/>
        <rFont val="Arial"/>
        <family val="0"/>
        <charset val="1"/>
      </rPr>
      <t xml:space="preserve">$100M</t>
    </r>
    <r>
      <rPr>
        <sz val="9"/>
        <color rgb="FF3D3D3D"/>
        <rFont val="Noto Sans CJK SC"/>
        <family val="2"/>
      </rPr>
      <t xml:space="preserve">，所得税为倒算项（使净利润等于指引 </t>
    </r>
    <r>
      <rPr>
        <sz val="9"/>
        <color rgb="FF3D3D3D"/>
        <rFont val="Arial"/>
        <family val="0"/>
        <charset val="1"/>
      </rPr>
      <t xml:space="preserve">EPS × </t>
    </r>
    <r>
      <rPr>
        <sz val="9"/>
        <color rgb="FF3D3D3D"/>
        <rFont val="Noto Sans CJK SC"/>
        <family val="2"/>
      </rPr>
      <t xml:space="preserve">指引股数，隐含税率 </t>
    </r>
    <r>
      <rPr>
        <sz val="9"/>
        <color rgb="FF3D3D3D"/>
        <rFont val="Arial"/>
        <family val="0"/>
        <charset val="1"/>
      </rPr>
      <t xml:space="preserve">14.5%</t>
    </r>
    <r>
      <rPr>
        <sz val="9"/>
        <color rgb="FF3D3D3D"/>
        <rFont val="Noto Sans CJK SC"/>
        <family val="2"/>
      </rPr>
      <t xml:space="preserve">，与 </t>
    </r>
    <r>
      <rPr>
        <sz val="9"/>
        <color rgb="FF3D3D3D"/>
        <rFont val="Arial"/>
        <family val="0"/>
        <charset val="1"/>
      </rPr>
      <t xml:space="preserve">Q3 </t>
    </r>
    <r>
      <rPr>
        <sz val="9"/>
        <color rgb="FF3D3D3D"/>
        <rFont val="Noto Sans CJK SC"/>
        <family val="2"/>
      </rPr>
      <t xml:space="preserve">实际 </t>
    </r>
    <r>
      <rPr>
        <sz val="9"/>
        <color rgb="FF3D3D3D"/>
        <rFont val="Arial"/>
        <family val="0"/>
        <charset val="1"/>
      </rPr>
      <t xml:space="preserve">15.0% </t>
    </r>
    <r>
      <rPr>
        <sz val="9"/>
        <color rgb="FF3D3D3D"/>
        <rFont val="Noto Sans CJK SC"/>
        <family val="2"/>
      </rPr>
      <t xml:space="preserve">一致）；③ </t>
    </r>
    <r>
      <rPr>
        <sz val="9"/>
        <color rgb="FF3D3D3D"/>
        <rFont val="Arial"/>
        <family val="0"/>
        <charset val="1"/>
      </rPr>
      <t xml:space="preserve">FY2025 </t>
    </r>
    <r>
      <rPr>
        <sz val="9"/>
        <color rgb="FF3D3D3D"/>
        <rFont val="Noto Sans CJK SC"/>
        <family val="2"/>
      </rPr>
      <t xml:space="preserve">列的营业成本与费用由「九个月实际 </t>
    </r>
    <r>
      <rPr>
        <sz val="9"/>
        <color rgb="FF3D3D3D"/>
        <rFont val="Arial"/>
        <family val="0"/>
        <charset val="1"/>
      </rPr>
      <t xml:space="preserve">+ Q4 </t>
    </r>
    <r>
      <rPr>
        <sz val="9"/>
        <color rgb="FF3D3D3D"/>
        <rFont val="Noto Sans CJK SC"/>
        <family val="2"/>
      </rPr>
      <t xml:space="preserve">电话会口径（毛利率 </t>
    </r>
    <r>
      <rPr>
        <sz val="9"/>
        <color rgb="FF3D3D3D"/>
        <rFont val="Arial"/>
        <family val="0"/>
        <charset val="1"/>
      </rPr>
      <t xml:space="preserve">45.7%</t>
    </r>
    <r>
      <rPr>
        <sz val="9"/>
        <color rgb="FF3D3D3D"/>
        <rFont val="Noto Sans CJK SC"/>
        <family val="2"/>
      </rPr>
      <t xml:space="preserve">、费用约 </t>
    </r>
    <r>
      <rPr>
        <sz val="9"/>
        <color rgb="FF3D3D3D"/>
        <rFont val="Arial"/>
        <family val="0"/>
        <charset val="1"/>
      </rPr>
      <t xml:space="preserve">$12 </t>
    </r>
    <r>
      <rPr>
        <sz val="9"/>
        <color rgb="FF3D3D3D"/>
        <rFont val="Noto Sans CJK SC"/>
        <family val="2"/>
      </rPr>
      <t xml:space="preserve">亿、营业利润约 </t>
    </r>
    <r>
      <rPr>
        <sz val="9"/>
        <color rgb="FF3D3D3D"/>
        <rFont val="Arial"/>
        <family val="0"/>
        <charset val="1"/>
      </rPr>
      <t xml:space="preserve">$40 </t>
    </r>
    <r>
      <rPr>
        <sz val="9"/>
        <color rgb="FF3D3D3D"/>
        <rFont val="Noto Sans CJK SC"/>
        <family val="2"/>
      </rPr>
      <t xml:space="preserve">亿）」拼合，存在小数级四舍五入。</t>
    </r>
  </si>
  <si>
    <r>
      <rPr>
        <b val="true"/>
        <sz val="11"/>
        <color rgb="FFFFFFFF"/>
        <rFont val="Arial"/>
        <family val="0"/>
        <charset val="1"/>
      </rPr>
      <t xml:space="preserve">03  </t>
    </r>
    <r>
      <rPr>
        <b val="true"/>
        <sz val="11"/>
        <color rgb="FFFFFFFF"/>
        <rFont val="Noto Sans CJK SC"/>
        <family val="2"/>
      </rPr>
      <t xml:space="preserve">业务单元收入与利润率（</t>
    </r>
    <r>
      <rPr>
        <b val="true"/>
        <sz val="11"/>
        <color rgb="FFFFFFFF"/>
        <rFont val="Arial"/>
        <family val="0"/>
        <charset val="1"/>
      </rPr>
      <t xml:space="preserve">FY26 Q3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</si>
  <si>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业务单元</t>
  </si>
  <si>
    <r>
      <rPr>
        <b val="true"/>
        <sz val="9"/>
        <color rgb="FF16305B"/>
        <rFont val="Arial"/>
        <family val="0"/>
        <charset val="1"/>
      </rPr>
      <t xml:space="preserve">Q2 </t>
    </r>
    <r>
      <rPr>
        <b val="true"/>
        <sz val="9"/>
        <color rgb="FF16305B"/>
        <rFont val="Noto Sans CJK SC"/>
        <family val="2"/>
      </rPr>
      <t xml:space="preserve">收入</t>
    </r>
  </si>
  <si>
    <r>
      <rPr>
        <b val="true"/>
        <sz val="9"/>
        <color rgb="FF16305B"/>
        <rFont val="Arial"/>
        <family val="0"/>
        <charset val="1"/>
      </rPr>
      <t xml:space="preserve">Q3 </t>
    </r>
    <r>
      <rPr>
        <b val="true"/>
        <sz val="9"/>
        <color rgb="FF16305B"/>
        <rFont val="Noto Sans CJK SC"/>
        <family val="2"/>
      </rPr>
      <t xml:space="preserve">收入</t>
    </r>
  </si>
  <si>
    <r>
      <rPr>
        <b val="true"/>
        <sz val="9"/>
        <color rgb="FF16305B"/>
        <rFont val="Arial"/>
        <family val="0"/>
        <charset val="1"/>
      </rPr>
      <t xml:space="preserve">Q3-25 </t>
    </r>
    <r>
      <rPr>
        <b val="true"/>
        <sz val="9"/>
        <color rgb="FF16305B"/>
        <rFont val="Noto Sans CJK SC"/>
        <family val="2"/>
      </rPr>
      <t xml:space="preserve">收入</t>
    </r>
  </si>
  <si>
    <r>
      <rPr>
        <b val="true"/>
        <sz val="9"/>
        <color rgb="FF16305B"/>
        <rFont val="Arial"/>
        <family val="0"/>
        <charset val="1"/>
      </rPr>
      <t xml:space="preserve">Q3 </t>
    </r>
    <r>
      <rPr>
        <b val="true"/>
        <sz val="9"/>
        <color rgb="FF16305B"/>
        <rFont val="Noto Sans CJK SC"/>
        <family val="2"/>
      </rPr>
      <t xml:space="preserve">环比</t>
    </r>
  </si>
  <si>
    <r>
      <rPr>
        <b val="true"/>
        <sz val="9"/>
        <color rgb="FF16305B"/>
        <rFont val="Arial"/>
        <family val="0"/>
        <charset val="1"/>
      </rPr>
      <t xml:space="preserve">Q3 </t>
    </r>
    <r>
      <rPr>
        <b val="true"/>
        <sz val="9"/>
        <color rgb="FF16305B"/>
        <rFont val="Noto Sans CJK SC"/>
        <family val="2"/>
      </rPr>
      <t xml:space="preserve">同比</t>
    </r>
  </si>
  <si>
    <r>
      <rPr>
        <b val="true"/>
        <sz val="9"/>
        <color rgb="FF16305B"/>
        <rFont val="Arial"/>
        <family val="0"/>
        <charset val="1"/>
      </rPr>
      <t xml:space="preserve">Q3 </t>
    </r>
    <r>
      <rPr>
        <b val="true"/>
        <sz val="9"/>
        <color rgb="FF16305B"/>
        <rFont val="Noto Sans CJK SC"/>
        <family val="2"/>
      </rPr>
      <t xml:space="preserve">占比</t>
    </r>
  </si>
  <si>
    <r>
      <rPr>
        <b val="true"/>
        <sz val="9"/>
        <color rgb="FF16305B"/>
        <rFont val="Arial"/>
        <family val="0"/>
        <charset val="1"/>
      </rPr>
      <t xml:space="preserve">Q3 </t>
    </r>
    <r>
      <rPr>
        <b val="true"/>
        <sz val="9"/>
        <color rgb="FF16305B"/>
        <rFont val="Noto Sans CJK SC"/>
        <family val="2"/>
      </rPr>
      <t xml:space="preserve">毛利率</t>
    </r>
  </si>
  <si>
    <r>
      <rPr>
        <b val="true"/>
        <sz val="9"/>
        <color rgb="FF16305B"/>
        <rFont val="Arial"/>
        <family val="0"/>
        <charset val="1"/>
      </rPr>
      <t xml:space="preserve">Q3 </t>
    </r>
    <r>
      <rPr>
        <b val="true"/>
        <sz val="9"/>
        <color rgb="FF16305B"/>
        <rFont val="Noto Sans CJK SC"/>
        <family val="2"/>
      </rPr>
      <t xml:space="preserve">营业利润率</t>
    </r>
  </si>
  <si>
    <t xml:space="preserve">说明</t>
  </si>
  <si>
    <r>
      <rPr>
        <b val="true"/>
        <sz val="9"/>
        <color rgb="FF000000"/>
        <rFont val="Noto Sans CJK SC"/>
        <family val="2"/>
      </rPr>
      <t xml:space="preserve">云内存 </t>
    </r>
    <r>
      <rPr>
        <b val="true"/>
        <sz val="9"/>
        <color rgb="FF000000"/>
        <rFont val="Arial"/>
        <family val="0"/>
        <charset val="1"/>
      </rPr>
      <t xml:space="preserve">Cloud Memory (CMBU)</t>
    </r>
  </si>
  <si>
    <r>
      <rPr>
        <sz val="8"/>
        <color rgb="FF404040"/>
        <rFont val="Arial"/>
        <family val="0"/>
        <charset val="1"/>
      </rPr>
      <t xml:space="preserve">HBM </t>
    </r>
    <r>
      <rPr>
        <sz val="8"/>
        <color rgb="FF404040"/>
        <rFont val="Noto Sans CJK SC"/>
        <family val="2"/>
      </rPr>
      <t xml:space="preserve">与高性能 </t>
    </r>
    <r>
      <rPr>
        <sz val="8"/>
        <color rgb="FF404040"/>
        <rFont val="Arial"/>
        <family val="0"/>
        <charset val="1"/>
      </rPr>
      <t xml:space="preserve">DRAM</t>
    </r>
    <r>
      <rPr>
        <sz val="8"/>
        <color rgb="FF404040"/>
        <rFont val="Noto Sans CJK SC"/>
        <family val="2"/>
      </rPr>
      <t xml:space="preserve">。</t>
    </r>
    <r>
      <rPr>
        <sz val="8"/>
        <color rgb="FF404040"/>
        <rFont val="Arial"/>
        <family val="0"/>
        <charset val="1"/>
      </rPr>
      <t xml:space="preserve">HBM3E/HBM4 </t>
    </r>
    <r>
      <rPr>
        <sz val="8"/>
        <color rgb="FF404040"/>
        <rFont val="Noto Sans CJK SC"/>
        <family val="2"/>
      </rPr>
      <t xml:space="preserve">已售罄至 </t>
    </r>
    <r>
      <rPr>
        <sz val="8"/>
        <color rgb="FF404040"/>
        <rFont val="Arial"/>
        <family val="0"/>
        <charset val="1"/>
      </rPr>
      <t xml:space="preserve">2027 </t>
    </r>
    <r>
      <rPr>
        <sz val="8"/>
        <color rgb="FF404040"/>
        <rFont val="Noto Sans CJK SC"/>
        <family val="2"/>
      </rPr>
      <t xml:space="preserve">年，</t>
    </r>
    <r>
      <rPr>
        <sz val="8"/>
        <color rgb="FF404040"/>
        <rFont val="Arial"/>
        <family val="0"/>
        <charset val="1"/>
      </rPr>
      <t xml:space="preserve">HBM4 </t>
    </r>
    <r>
      <rPr>
        <sz val="8"/>
        <color rgb="FF404040"/>
        <rFont val="Noto Sans CJK SC"/>
        <family val="2"/>
      </rPr>
      <t xml:space="preserve">出货爬坡速度是 </t>
    </r>
    <r>
      <rPr>
        <sz val="8"/>
        <color rgb="FF404040"/>
        <rFont val="Arial"/>
        <family val="0"/>
        <charset val="1"/>
      </rPr>
      <t xml:space="preserve">HBM3E </t>
    </r>
    <r>
      <rPr>
        <sz val="8"/>
        <color rgb="FF404040"/>
        <rFont val="Noto Sans CJK SC"/>
        <family val="2"/>
      </rPr>
      <t xml:space="preserve">的两倍</t>
    </r>
  </si>
  <si>
    <r>
      <rPr>
        <b val="true"/>
        <sz val="9"/>
        <color rgb="FF000000"/>
        <rFont val="Noto Sans CJK SC"/>
        <family val="2"/>
      </rPr>
      <t xml:space="preserve">核心数据中心 </t>
    </r>
    <r>
      <rPr>
        <b val="true"/>
        <sz val="9"/>
        <color rgb="FF000000"/>
        <rFont val="Arial"/>
        <family val="0"/>
        <charset val="1"/>
      </rPr>
      <t xml:space="preserve">Core Data Center (CDBU)</t>
    </r>
  </si>
  <si>
    <r>
      <rPr>
        <sz val="8"/>
        <color rgb="FF404040"/>
        <rFont val="Noto Sans CJK SC"/>
        <family val="2"/>
      </rPr>
      <t xml:space="preserve">服务器 </t>
    </r>
    <r>
      <rPr>
        <sz val="8"/>
        <color rgb="FF404040"/>
        <rFont val="Arial"/>
        <family val="0"/>
        <charset val="1"/>
      </rPr>
      <t xml:space="preserve">DRAM </t>
    </r>
    <r>
      <rPr>
        <sz val="8"/>
        <color rgb="FF404040"/>
        <rFont val="Noto Sans CJK SC"/>
        <family val="2"/>
      </rPr>
      <t xml:space="preserve">与数据中心 </t>
    </r>
    <r>
      <rPr>
        <sz val="8"/>
        <color rgb="FF404040"/>
        <rFont val="Arial"/>
        <family val="0"/>
        <charset val="1"/>
      </rPr>
      <t xml:space="preserve">SSD</t>
    </r>
    <r>
      <rPr>
        <sz val="8"/>
        <color rgb="FF404040"/>
        <rFont val="Noto Sans CJK SC"/>
        <family val="2"/>
      </rPr>
      <t xml:space="preserve">。</t>
    </r>
    <r>
      <rPr>
        <sz val="8"/>
        <color rgb="FF404040"/>
        <rFont val="Arial"/>
        <family val="0"/>
        <charset val="1"/>
      </rPr>
      <t xml:space="preserve">Q3 </t>
    </r>
    <r>
      <rPr>
        <sz val="8"/>
        <color rgb="FF404040"/>
        <rFont val="Noto Sans CJK SC"/>
        <family val="2"/>
      </rPr>
      <t xml:space="preserve">数据中心 </t>
    </r>
    <r>
      <rPr>
        <sz val="8"/>
        <color rgb="FF404040"/>
        <rFont val="Arial"/>
        <family val="0"/>
        <charset val="1"/>
      </rPr>
      <t xml:space="preserve">SSD </t>
    </r>
    <r>
      <rPr>
        <sz val="8"/>
        <color rgb="FF404040"/>
        <rFont val="Noto Sans CJK SC"/>
        <family val="2"/>
      </rPr>
      <t xml:space="preserve">收入超 </t>
    </r>
    <r>
      <rPr>
        <sz val="8"/>
        <color rgb="FF404040"/>
        <rFont val="Arial"/>
        <family val="0"/>
        <charset val="1"/>
      </rPr>
      <t xml:space="preserve">$50 </t>
    </r>
    <r>
      <rPr>
        <sz val="8"/>
        <color rgb="FF404040"/>
        <rFont val="Noto Sans CJK SC"/>
        <family val="2"/>
      </rPr>
      <t xml:space="preserve">亿，环比翻倍以上</t>
    </r>
  </si>
  <si>
    <r>
      <rPr>
        <b val="true"/>
        <sz val="9"/>
        <color rgb="FF000000"/>
        <rFont val="Noto Sans CJK SC"/>
        <family val="2"/>
      </rPr>
      <t xml:space="preserve">移动与客户端 </t>
    </r>
    <r>
      <rPr>
        <b val="true"/>
        <sz val="9"/>
        <color rgb="FF000000"/>
        <rFont val="Arial"/>
        <family val="0"/>
        <charset val="1"/>
      </rPr>
      <t xml:space="preserve">Mobile &amp; Client (MCBU)</t>
    </r>
  </si>
  <si>
    <r>
      <rPr>
        <sz val="8"/>
        <color rgb="FF404040"/>
        <rFont val="Noto Sans CJK SC"/>
        <family val="2"/>
      </rPr>
      <t xml:space="preserve">手机与 </t>
    </r>
    <r>
      <rPr>
        <sz val="8"/>
        <color rgb="FF404040"/>
        <rFont val="Arial"/>
        <family val="0"/>
        <charset val="1"/>
      </rPr>
      <t xml:space="preserve">PC</t>
    </r>
    <r>
      <rPr>
        <sz val="8"/>
        <color rgb="FF404040"/>
        <rFont val="Noto Sans CJK SC"/>
        <family val="2"/>
      </rPr>
      <t xml:space="preserve">。</t>
    </r>
    <r>
      <rPr>
        <sz val="8"/>
        <color rgb="FF404040"/>
        <rFont val="Arial"/>
        <family val="0"/>
        <charset val="1"/>
      </rPr>
      <t xml:space="preserve">LP5X SOCAMM2 </t>
    </r>
    <r>
      <rPr>
        <sz val="8"/>
        <color rgb="FF404040"/>
        <rFont val="Noto Sans CJK SC"/>
        <family val="2"/>
      </rPr>
      <t xml:space="preserve">已量产；</t>
    </r>
    <r>
      <rPr>
        <sz val="8"/>
        <color rgb="FF404040"/>
        <rFont val="Arial"/>
        <family val="0"/>
        <charset val="1"/>
      </rPr>
      <t xml:space="preserve">1-gamma LPDDR5X </t>
    </r>
    <r>
      <rPr>
        <sz val="8"/>
        <color rgb="FF404040"/>
        <rFont val="Noto Sans CJK SC"/>
        <family val="2"/>
      </rPr>
      <t xml:space="preserve">已在头部手机厂放量</t>
    </r>
  </si>
  <si>
    <r>
      <rPr>
        <b val="true"/>
        <sz val="9"/>
        <color rgb="FF000000"/>
        <rFont val="Noto Sans CJK SC"/>
        <family val="2"/>
      </rPr>
      <t xml:space="preserve">汽车与嵌入式 </t>
    </r>
    <r>
      <rPr>
        <b val="true"/>
        <sz val="9"/>
        <color rgb="FF000000"/>
        <rFont val="Arial"/>
        <family val="0"/>
        <charset val="1"/>
      </rPr>
      <t xml:space="preserve">Auto &amp; Embedded (AEBU)</t>
    </r>
  </si>
  <si>
    <r>
      <rPr>
        <sz val="8"/>
        <color rgb="FF404040"/>
        <rFont val="Noto Sans CJK SC"/>
        <family val="2"/>
      </rPr>
      <t xml:space="preserve">汽车与嵌入式。</t>
    </r>
    <r>
      <rPr>
        <sz val="8"/>
        <color rgb="FF404040"/>
        <rFont val="Arial"/>
        <family val="0"/>
        <charset val="1"/>
      </rPr>
      <t xml:space="preserve">1-gamma LPDDR5 </t>
    </r>
    <r>
      <rPr>
        <sz val="8"/>
        <color rgb="FF404040"/>
        <rFont val="Noto Sans CJK SC"/>
        <family val="2"/>
      </rPr>
      <t xml:space="preserve">已达车规就绪</t>
    </r>
  </si>
  <si>
    <t xml:space="preserve">合计（应等于营业收入）</t>
  </si>
  <si>
    <r>
      <rPr>
        <sz val="9"/>
        <color rgb="FF3D3D3D"/>
        <rFont val="Noto Sans CJK SC"/>
        <family val="2"/>
      </rPr>
      <t xml:space="preserve">★ 两个数据中心相关业务（云内存 </t>
    </r>
    <r>
      <rPr>
        <sz val="9"/>
        <color rgb="FF3D3D3D"/>
        <rFont val="Arial"/>
        <family val="0"/>
        <charset val="1"/>
      </rPr>
      <t xml:space="preserve">+ </t>
    </r>
    <r>
      <rPr>
        <sz val="9"/>
        <color rgb="FF3D3D3D"/>
        <rFont val="Noto Sans CJK SC"/>
        <family val="2"/>
      </rPr>
      <t xml:space="preserve">核心数据中心）</t>
    </r>
    <r>
      <rPr>
        <sz val="9"/>
        <color rgb="FF3D3D3D"/>
        <rFont val="Arial"/>
        <family val="0"/>
        <charset val="1"/>
      </rPr>
      <t xml:space="preserve">Q3 </t>
    </r>
    <r>
      <rPr>
        <sz val="9"/>
        <color rgb="FF3D3D3D"/>
        <rFont val="Noto Sans CJK SC"/>
        <family val="2"/>
      </rPr>
      <t xml:space="preserve">合计收入 </t>
    </r>
    <r>
      <rPr>
        <sz val="9"/>
        <color rgb="FF3D3D3D"/>
        <rFont val="Arial"/>
        <family val="0"/>
        <charset val="1"/>
      </rPr>
      <t xml:space="preserve">$253 </t>
    </r>
    <r>
      <rPr>
        <sz val="9"/>
        <color rgb="FF3D3D3D"/>
        <rFont val="Noto Sans CJK SC"/>
        <family val="2"/>
      </rPr>
      <t xml:space="preserve">亿，占总收入 </t>
    </r>
    <r>
      <rPr>
        <sz val="9"/>
        <color rgb="FF3D3D3D"/>
        <rFont val="Arial"/>
        <family val="0"/>
        <charset val="1"/>
      </rPr>
      <t xml:space="preserve">61%</t>
    </r>
    <r>
      <rPr>
        <sz val="9"/>
        <color rgb="FF3D3D3D"/>
        <rFont val="Noto Sans CJK SC"/>
        <family val="2"/>
      </rPr>
      <t xml:space="preserve">，年化超 </t>
    </r>
    <r>
      <rPr>
        <sz val="9"/>
        <color rgb="FF3D3D3D"/>
        <rFont val="Arial"/>
        <family val="0"/>
        <charset val="1"/>
      </rPr>
      <t xml:space="preserve">$1,000 </t>
    </r>
    <r>
      <rPr>
        <sz val="9"/>
        <color rgb="FF3D3D3D"/>
        <rFont val="Noto Sans CJK SC"/>
        <family val="2"/>
      </rPr>
      <t xml:space="preserve">亿。核心数据中心业务的毛利率 </t>
    </r>
    <r>
      <rPr>
        <sz val="9"/>
        <color rgb="FF3D3D3D"/>
        <rFont val="Arial"/>
        <family val="0"/>
        <charset val="1"/>
      </rPr>
      <t xml:space="preserve">87%</t>
    </r>
    <r>
      <rPr>
        <sz val="9"/>
        <color rgb="FF3D3D3D"/>
        <rFont val="Noto Sans CJK SC"/>
        <family val="2"/>
      </rPr>
      <t xml:space="preserve">、营业利润率 </t>
    </r>
    <r>
      <rPr>
        <sz val="9"/>
        <color rgb="FF3D3D3D"/>
        <rFont val="Arial"/>
        <family val="0"/>
        <charset val="1"/>
      </rPr>
      <t xml:space="preserve">83%——</t>
    </r>
    <r>
      <rPr>
        <sz val="9"/>
        <color rgb="FF3D3D3D"/>
        <rFont val="Noto Sans CJK SC"/>
        <family val="2"/>
      </rPr>
      <t xml:space="preserve">这是整家公司利润的发动机。</t>
    </r>
  </si>
  <si>
    <r>
      <rPr>
        <b val="true"/>
        <sz val="11"/>
        <color rgb="FFFFFFFF"/>
        <rFont val="Arial"/>
        <family val="0"/>
        <charset val="1"/>
      </rPr>
      <t xml:space="preserve">04  </t>
    </r>
    <r>
      <rPr>
        <b val="true"/>
        <sz val="11"/>
        <color rgb="FFFFFFFF"/>
        <rFont val="Noto Sans CJK SC"/>
        <family val="2"/>
      </rPr>
      <t xml:space="preserve">合并资产负债表（三个时点，全部为公司披露原值）</t>
    </r>
  </si>
  <si>
    <r>
      <rPr>
        <b val="true"/>
        <sz val="9"/>
        <color rgb="FF16305B"/>
        <rFont val="Arial"/>
        <family val="0"/>
        <charset val="1"/>
      </rPr>
      <t xml:space="preserve">2025-08-28
(FY25</t>
    </r>
    <r>
      <rPr>
        <b val="true"/>
        <sz val="9"/>
        <color rgb="FF16305B"/>
        <rFont val="Noto Sans CJK SC"/>
        <family val="2"/>
      </rPr>
      <t xml:space="preserve">末</t>
    </r>
    <r>
      <rPr>
        <b val="true"/>
        <sz val="9"/>
        <color rgb="FF16305B"/>
        <rFont val="Arial"/>
        <family val="0"/>
        <charset val="1"/>
      </rPr>
      <t xml:space="preserve">)</t>
    </r>
  </si>
  <si>
    <r>
      <rPr>
        <b val="true"/>
        <sz val="9"/>
        <color rgb="FF16305B"/>
        <rFont val="Arial"/>
        <family val="0"/>
        <charset val="1"/>
      </rPr>
      <t xml:space="preserve">2026-02-26
(FY26 Q2</t>
    </r>
    <r>
      <rPr>
        <b val="true"/>
        <sz val="9"/>
        <color rgb="FF16305B"/>
        <rFont val="Noto Sans CJK SC"/>
        <family val="2"/>
      </rPr>
      <t xml:space="preserve">末</t>
    </r>
    <r>
      <rPr>
        <b val="true"/>
        <sz val="9"/>
        <color rgb="FF16305B"/>
        <rFont val="Arial"/>
        <family val="0"/>
        <charset val="1"/>
      </rPr>
      <t xml:space="preserve">)</t>
    </r>
  </si>
  <si>
    <r>
      <rPr>
        <b val="true"/>
        <sz val="9"/>
        <color rgb="FF16305B"/>
        <rFont val="Arial"/>
        <family val="0"/>
        <charset val="1"/>
      </rPr>
      <t xml:space="preserve">2026-05-28
(FY26 Q3</t>
    </r>
    <r>
      <rPr>
        <b val="true"/>
        <sz val="9"/>
        <color rgb="FF16305B"/>
        <rFont val="Noto Sans CJK SC"/>
        <family val="2"/>
      </rPr>
      <t xml:space="preserve">末</t>
    </r>
    <r>
      <rPr>
        <b val="true"/>
        <sz val="9"/>
        <color rgb="FF16305B"/>
        <rFont val="Arial"/>
        <family val="0"/>
        <charset val="1"/>
      </rPr>
      <t xml:space="preserve">)</t>
    </r>
  </si>
  <si>
    <r>
      <rPr>
        <b val="true"/>
        <sz val="9"/>
        <color rgb="FF16305B"/>
        <rFont val="Arial"/>
        <family val="0"/>
        <charset val="1"/>
      </rPr>
      <t xml:space="preserve">Q3 </t>
    </r>
    <r>
      <rPr>
        <b val="true"/>
        <sz val="9"/>
        <color rgb="FF16305B"/>
        <rFont val="Noto Sans CJK SC"/>
        <family val="2"/>
      </rPr>
      <t xml:space="preserve">较 </t>
    </r>
    <r>
      <rPr>
        <b val="true"/>
        <sz val="9"/>
        <color rgb="FF16305B"/>
        <rFont val="Arial"/>
        <family val="0"/>
        <charset val="1"/>
      </rPr>
      <t xml:space="preserve">FY25</t>
    </r>
    <r>
      <rPr>
        <b val="true"/>
        <sz val="9"/>
        <color rgb="FF16305B"/>
        <rFont val="Noto Sans CJK SC"/>
        <family val="2"/>
      </rPr>
      <t xml:space="preserve">末</t>
    </r>
  </si>
  <si>
    <t xml:space="preserve">变动率</t>
  </si>
  <si>
    <t xml:space="preserve">【资产】</t>
  </si>
  <si>
    <r>
      <rPr>
        <sz val="9"/>
        <color rgb="FF000000"/>
        <rFont val="Noto Sans CJK SC"/>
        <family val="2"/>
      </rPr>
      <t xml:space="preserve">货币资金 </t>
    </r>
    <r>
      <rPr>
        <sz val="9"/>
        <color rgb="FF000000"/>
        <rFont val="Arial"/>
        <family val="0"/>
        <charset val="1"/>
      </rPr>
      <t xml:space="preserve">Cash &amp; equivalents</t>
    </r>
  </si>
  <si>
    <r>
      <rPr>
        <sz val="9"/>
        <color rgb="FF000000"/>
        <rFont val="Noto Sans CJK SC"/>
        <family val="2"/>
      </rPr>
      <t xml:space="preserve">短期投资 </t>
    </r>
    <r>
      <rPr>
        <sz val="9"/>
        <color rgb="FF000000"/>
        <rFont val="Arial"/>
        <family val="0"/>
        <charset val="1"/>
      </rPr>
      <t xml:space="preserve">Short-term investments</t>
    </r>
  </si>
  <si>
    <r>
      <rPr>
        <sz val="9"/>
        <color rgb="FF000000"/>
        <rFont val="Noto Sans CJK SC"/>
        <family val="2"/>
      </rPr>
      <t xml:space="preserve">应收账款 </t>
    </r>
    <r>
      <rPr>
        <sz val="9"/>
        <color rgb="FF000000"/>
        <rFont val="Arial"/>
        <family val="0"/>
        <charset val="1"/>
      </rPr>
      <t xml:space="preserve">Receivables</t>
    </r>
  </si>
  <si>
    <r>
      <rPr>
        <sz val="9"/>
        <color rgb="FF000000"/>
        <rFont val="Noto Sans CJK SC"/>
        <family val="2"/>
      </rPr>
      <t xml:space="preserve">存货 </t>
    </r>
    <r>
      <rPr>
        <sz val="9"/>
        <color rgb="FF000000"/>
        <rFont val="Arial"/>
        <family val="0"/>
        <charset val="1"/>
      </rPr>
      <t xml:space="preserve">Inventories</t>
    </r>
  </si>
  <si>
    <r>
      <rPr>
        <sz val="9"/>
        <color rgb="FF000000"/>
        <rFont val="Noto Sans CJK SC"/>
        <family val="2"/>
      </rPr>
      <t xml:space="preserve">其他流动资产 </t>
    </r>
    <r>
      <rPr>
        <sz val="9"/>
        <color rgb="FF000000"/>
        <rFont val="Arial"/>
        <family val="0"/>
        <charset val="1"/>
      </rPr>
      <t xml:space="preserve">Other current assets</t>
    </r>
  </si>
  <si>
    <r>
      <rPr>
        <b val="true"/>
        <sz val="9"/>
        <color rgb="FF16305B"/>
        <rFont val="Noto Sans CJK SC"/>
        <family val="2"/>
      </rPr>
      <t xml:space="preserve">流动资产合计 </t>
    </r>
    <r>
      <rPr>
        <b val="true"/>
        <sz val="9"/>
        <color rgb="FF16305B"/>
        <rFont val="Arial"/>
        <family val="0"/>
        <charset val="1"/>
      </rPr>
      <t xml:space="preserve">Total current assets</t>
    </r>
  </si>
  <si>
    <r>
      <rPr>
        <sz val="9"/>
        <color rgb="FF000000"/>
        <rFont val="Noto Sans CJK SC"/>
        <family val="2"/>
      </rPr>
      <t xml:space="preserve">长期可交易投资 </t>
    </r>
    <r>
      <rPr>
        <sz val="9"/>
        <color rgb="FF000000"/>
        <rFont val="Arial"/>
        <family val="0"/>
        <charset val="1"/>
      </rPr>
      <t xml:space="preserve">LT marketable investments</t>
    </r>
  </si>
  <si>
    <r>
      <rPr>
        <sz val="9"/>
        <color rgb="FF000000"/>
        <rFont val="Noto Sans CJK SC"/>
        <family val="2"/>
      </rPr>
      <t xml:space="preserve">固定资产净额 </t>
    </r>
    <r>
      <rPr>
        <sz val="9"/>
        <color rgb="FF000000"/>
        <rFont val="Arial"/>
        <family val="0"/>
        <charset val="1"/>
      </rPr>
      <t xml:space="preserve">Property, plant &amp; equipment</t>
    </r>
  </si>
  <si>
    <r>
      <rPr>
        <sz val="9"/>
        <color rgb="FF000000"/>
        <rFont val="Noto Sans CJK SC"/>
        <family val="2"/>
      </rPr>
      <t xml:space="preserve">经营租赁使用权资产 </t>
    </r>
    <r>
      <rPr>
        <sz val="9"/>
        <color rgb="FF000000"/>
        <rFont val="Arial"/>
        <family val="0"/>
        <charset val="1"/>
      </rPr>
      <t xml:space="preserve">Operating lease ROU</t>
    </r>
  </si>
  <si>
    <r>
      <rPr>
        <sz val="9"/>
        <color rgb="FF000000"/>
        <rFont val="Noto Sans CJK SC"/>
        <family val="2"/>
      </rPr>
      <t xml:space="preserve">无形资产 </t>
    </r>
    <r>
      <rPr>
        <sz val="9"/>
        <color rgb="FF000000"/>
        <rFont val="Arial"/>
        <family val="0"/>
        <charset val="1"/>
      </rPr>
      <t xml:space="preserve">Intangible assets</t>
    </r>
  </si>
  <si>
    <r>
      <rPr>
        <sz val="9"/>
        <color rgb="FF000000"/>
        <rFont val="Noto Sans CJK SC"/>
        <family val="2"/>
      </rPr>
      <t xml:space="preserve">递延所得税资产 </t>
    </r>
    <r>
      <rPr>
        <sz val="9"/>
        <color rgb="FF000000"/>
        <rFont val="Arial"/>
        <family val="0"/>
        <charset val="1"/>
      </rPr>
      <t xml:space="preserve">Deferred tax assets</t>
    </r>
  </si>
  <si>
    <r>
      <rPr>
        <sz val="9"/>
        <color rgb="FF000000"/>
        <rFont val="Noto Sans CJK SC"/>
        <family val="2"/>
      </rPr>
      <t xml:space="preserve">商誉 </t>
    </r>
    <r>
      <rPr>
        <sz val="9"/>
        <color rgb="FF000000"/>
        <rFont val="Arial"/>
        <family val="0"/>
        <charset val="1"/>
      </rPr>
      <t xml:space="preserve">Goodwill</t>
    </r>
  </si>
  <si>
    <r>
      <rPr>
        <sz val="9"/>
        <color rgb="FF000000"/>
        <rFont val="Noto Sans CJK SC"/>
        <family val="2"/>
      </rPr>
      <t xml:space="preserve">其他非流动资产 </t>
    </r>
    <r>
      <rPr>
        <sz val="9"/>
        <color rgb="FF000000"/>
        <rFont val="Arial"/>
        <family val="0"/>
        <charset val="1"/>
      </rPr>
      <t xml:space="preserve">Other noncurrent assets</t>
    </r>
  </si>
  <si>
    <r>
      <rPr>
        <b val="true"/>
        <sz val="9"/>
        <color rgb="FF16305B"/>
        <rFont val="Noto Sans CJK SC"/>
        <family val="2"/>
      </rPr>
      <t xml:space="preserve">资产总计 </t>
    </r>
    <r>
      <rPr>
        <b val="true"/>
        <sz val="9"/>
        <color rgb="FF16305B"/>
        <rFont val="Arial"/>
        <family val="0"/>
        <charset val="1"/>
      </rPr>
      <t xml:space="preserve">Total assets</t>
    </r>
  </si>
  <si>
    <t xml:space="preserve">【负债】</t>
  </si>
  <si>
    <r>
      <rPr>
        <sz val="9"/>
        <color rgb="FF000000"/>
        <rFont val="Noto Sans CJK SC"/>
        <family val="2"/>
      </rPr>
      <t xml:space="preserve">应付账款及应计费用 </t>
    </r>
    <r>
      <rPr>
        <sz val="9"/>
        <color rgb="FF000000"/>
        <rFont val="Arial"/>
        <family val="0"/>
        <charset val="1"/>
      </rPr>
      <t xml:space="preserve">AP &amp; accrued expenses</t>
    </r>
  </si>
  <si>
    <r>
      <rPr>
        <sz val="9"/>
        <color rgb="FF000000"/>
        <rFont val="Noto Sans CJK SC"/>
        <family val="2"/>
      </rPr>
      <t xml:space="preserve">一年内到期债务 </t>
    </r>
    <r>
      <rPr>
        <sz val="9"/>
        <color rgb="FF000000"/>
        <rFont val="Arial"/>
        <family val="0"/>
        <charset val="1"/>
      </rPr>
      <t xml:space="preserve">Current debt</t>
    </r>
  </si>
  <si>
    <r>
      <rPr>
        <sz val="9"/>
        <color rgb="FF000000"/>
        <rFont val="Noto Sans CJK SC"/>
        <family val="2"/>
      </rPr>
      <t xml:space="preserve">其他流动负债 </t>
    </r>
    <r>
      <rPr>
        <sz val="9"/>
        <color rgb="FF000000"/>
        <rFont val="Arial"/>
        <family val="0"/>
        <charset val="1"/>
      </rPr>
      <t xml:space="preserve">Other current liabilities</t>
    </r>
  </si>
  <si>
    <r>
      <rPr>
        <b val="true"/>
        <sz val="9"/>
        <color rgb="FF16305B"/>
        <rFont val="Noto Sans CJK SC"/>
        <family val="2"/>
      </rPr>
      <t xml:space="preserve">流动负债合计 </t>
    </r>
    <r>
      <rPr>
        <b val="true"/>
        <sz val="9"/>
        <color rgb="FF16305B"/>
        <rFont val="Arial"/>
        <family val="0"/>
        <charset val="1"/>
      </rPr>
      <t xml:space="preserve">Total current liabilities</t>
    </r>
  </si>
  <si>
    <r>
      <rPr>
        <sz val="9"/>
        <color rgb="FF000000"/>
        <rFont val="Noto Sans CJK SC"/>
        <family val="2"/>
      </rPr>
      <t xml:space="preserve">长期债务 </t>
    </r>
    <r>
      <rPr>
        <sz val="9"/>
        <color rgb="FF000000"/>
        <rFont val="Arial"/>
        <family val="0"/>
        <charset val="1"/>
      </rPr>
      <t xml:space="preserve">Long-term debt</t>
    </r>
  </si>
  <si>
    <r>
      <rPr>
        <sz val="9"/>
        <color rgb="FF000000"/>
        <rFont val="Noto Sans CJK SC"/>
        <family val="2"/>
      </rPr>
      <t xml:space="preserve">非流动经营租赁负债 </t>
    </r>
    <r>
      <rPr>
        <sz val="9"/>
        <color rgb="FF000000"/>
        <rFont val="Arial"/>
        <family val="0"/>
        <charset val="1"/>
      </rPr>
      <t xml:space="preserve">Noncurrent lease liab.</t>
    </r>
  </si>
  <si>
    <r>
      <rPr>
        <sz val="9"/>
        <color rgb="FF000000"/>
        <rFont val="Noto Sans CJK SC"/>
        <family val="2"/>
      </rPr>
      <t xml:space="preserve">非流动递延政府补贴 </t>
    </r>
    <r>
      <rPr>
        <sz val="9"/>
        <color rgb="FF000000"/>
        <rFont val="Arial"/>
        <family val="0"/>
        <charset val="1"/>
      </rPr>
      <t xml:space="preserve">Unearned govt incentives</t>
    </r>
  </si>
  <si>
    <r>
      <rPr>
        <sz val="9"/>
        <color rgb="FF000000"/>
        <rFont val="Noto Sans CJK SC"/>
        <family val="2"/>
      </rPr>
      <t xml:space="preserve">其他非流动负债 </t>
    </r>
    <r>
      <rPr>
        <sz val="9"/>
        <color rgb="FF000000"/>
        <rFont val="Arial"/>
        <family val="0"/>
        <charset val="1"/>
      </rPr>
      <t xml:space="preserve">Other noncurrent liabilities</t>
    </r>
  </si>
  <si>
    <r>
      <rPr>
        <b val="true"/>
        <sz val="9"/>
        <color rgb="FF16305B"/>
        <rFont val="Noto Sans CJK SC"/>
        <family val="2"/>
      </rPr>
      <t xml:space="preserve">负债合计 </t>
    </r>
    <r>
      <rPr>
        <b val="true"/>
        <sz val="9"/>
        <color rgb="FF16305B"/>
        <rFont val="Arial"/>
        <family val="0"/>
        <charset val="1"/>
      </rPr>
      <t xml:space="preserve">Total liabilities</t>
    </r>
  </si>
  <si>
    <t xml:space="preserve">【股东权益】</t>
  </si>
  <si>
    <r>
      <rPr>
        <sz val="9"/>
        <color rgb="FF000000"/>
        <rFont val="Noto Sans CJK SC"/>
        <family val="2"/>
      </rPr>
      <t xml:space="preserve">普通股 </t>
    </r>
    <r>
      <rPr>
        <sz val="9"/>
        <color rgb="FF000000"/>
        <rFont val="Arial"/>
        <family val="0"/>
        <charset val="1"/>
      </rPr>
      <t xml:space="preserve">Common stock</t>
    </r>
  </si>
  <si>
    <r>
      <rPr>
        <sz val="9"/>
        <color rgb="FF000000"/>
        <rFont val="Noto Sans CJK SC"/>
        <family val="2"/>
      </rPr>
      <t xml:space="preserve">资本公积 </t>
    </r>
    <r>
      <rPr>
        <sz val="9"/>
        <color rgb="FF000000"/>
        <rFont val="Arial"/>
        <family val="0"/>
        <charset val="1"/>
      </rPr>
      <t xml:space="preserve">Additional capital</t>
    </r>
  </si>
  <si>
    <r>
      <rPr>
        <sz val="9"/>
        <color rgb="FF000000"/>
        <rFont val="Noto Sans CJK SC"/>
        <family val="2"/>
      </rPr>
      <t xml:space="preserve">留存收益 </t>
    </r>
    <r>
      <rPr>
        <sz val="9"/>
        <color rgb="FF000000"/>
        <rFont val="Arial"/>
        <family val="0"/>
        <charset val="1"/>
      </rPr>
      <t xml:space="preserve">Retained earnings</t>
    </r>
  </si>
  <si>
    <r>
      <rPr>
        <sz val="9"/>
        <color rgb="FF000000"/>
        <rFont val="Noto Sans CJK SC"/>
        <family val="2"/>
      </rPr>
      <t xml:space="preserve">库存股 </t>
    </r>
    <r>
      <rPr>
        <sz val="9"/>
        <color rgb="FF000000"/>
        <rFont val="Arial"/>
        <family val="0"/>
        <charset val="1"/>
      </rPr>
      <t xml:space="preserve">Treasury stock</t>
    </r>
  </si>
  <si>
    <r>
      <rPr>
        <sz val="9"/>
        <color rgb="FF000000"/>
        <rFont val="Noto Sans CJK SC"/>
        <family val="2"/>
      </rPr>
      <t xml:space="preserve">累计其他综合收益 </t>
    </r>
    <r>
      <rPr>
        <sz val="9"/>
        <color rgb="FF000000"/>
        <rFont val="Arial"/>
        <family val="0"/>
        <charset val="1"/>
      </rPr>
      <t xml:space="preserve">AOCI</t>
    </r>
  </si>
  <si>
    <r>
      <rPr>
        <b val="true"/>
        <sz val="9"/>
        <color rgb="FF16305B"/>
        <rFont val="Noto Sans CJK SC"/>
        <family val="2"/>
      </rPr>
      <t xml:space="preserve">股东权益合计 </t>
    </r>
    <r>
      <rPr>
        <b val="true"/>
        <sz val="9"/>
        <color rgb="FF16305B"/>
        <rFont val="Arial"/>
        <family val="0"/>
        <charset val="1"/>
      </rPr>
      <t xml:space="preserve">Total equity</t>
    </r>
  </si>
  <si>
    <r>
      <rPr>
        <sz val="9"/>
        <color rgb="FF3D3D3D"/>
        <rFont val="Noto Sans CJK SC"/>
        <family val="2"/>
      </rPr>
      <t xml:space="preserve">★ 应收账款从 </t>
    </r>
    <r>
      <rPr>
        <sz val="9"/>
        <color rgb="FF3D3D3D"/>
        <rFont val="Arial"/>
        <family val="0"/>
        <charset val="1"/>
      </rPr>
      <t xml:space="preserve">$92.65 </t>
    </r>
    <r>
      <rPr>
        <sz val="9"/>
        <color rgb="FF3D3D3D"/>
        <rFont val="Noto Sans CJK SC"/>
        <family val="2"/>
      </rPr>
      <t xml:space="preserve">亿膨胀到 </t>
    </r>
    <r>
      <rPr>
        <sz val="9"/>
        <color rgb="FF3D3D3D"/>
        <rFont val="Arial"/>
        <family val="0"/>
        <charset val="1"/>
      </rPr>
      <t xml:space="preserve">$310.25 </t>
    </r>
    <r>
      <rPr>
        <sz val="9"/>
        <color rgb="FF3D3D3D"/>
        <rFont val="Noto Sans CJK SC"/>
        <family val="2"/>
      </rPr>
      <t xml:space="preserve">亿（</t>
    </r>
    <r>
      <rPr>
        <sz val="9"/>
        <color rgb="FF3D3D3D"/>
        <rFont val="Arial"/>
        <family val="0"/>
        <charset val="1"/>
      </rPr>
      <t xml:space="preserve">+235%</t>
    </r>
    <r>
      <rPr>
        <sz val="9"/>
        <color rgb="FF3D3D3D"/>
        <rFont val="Noto Sans CJK SC"/>
        <family val="2"/>
      </rPr>
      <t xml:space="preserve">），这是本轮周期在资产负债表上最触目的一笔。它同时也是自由现金流的最大拖累项：</t>
    </r>
    <r>
      <rPr>
        <sz val="9"/>
        <color rgb="FF3D3D3D"/>
        <rFont val="Arial"/>
        <family val="0"/>
        <charset val="1"/>
      </rPr>
      <t xml:space="preserve">FY26 </t>
    </r>
    <r>
      <rPr>
        <sz val="9"/>
        <color rgb="FF3D3D3D"/>
        <rFont val="Noto Sans CJK SC"/>
        <family val="2"/>
      </rPr>
      <t xml:space="preserve">前九个月应收账款变动为 −</t>
    </r>
    <r>
      <rPr>
        <sz val="9"/>
        <color rgb="FF3D3D3D"/>
        <rFont val="Arial"/>
        <family val="0"/>
        <charset val="1"/>
      </rPr>
      <t xml:space="preserve">$199.53 </t>
    </r>
    <r>
      <rPr>
        <sz val="9"/>
        <color rgb="FF3D3D3D"/>
        <rFont val="Noto Sans CJK SC"/>
        <family val="2"/>
      </rPr>
      <t xml:space="preserve">亿，几乎抵消了一半的净利润。另一侧，长期债务从 </t>
    </r>
    <r>
      <rPr>
        <sz val="9"/>
        <color rgb="FF3D3D3D"/>
        <rFont val="Arial"/>
        <family val="0"/>
        <charset val="1"/>
      </rPr>
      <t xml:space="preserve">$140.17 </t>
    </r>
    <r>
      <rPr>
        <sz val="9"/>
        <color rgb="FF3D3D3D"/>
        <rFont val="Noto Sans CJK SC"/>
        <family val="2"/>
      </rPr>
      <t xml:space="preserve">亿降到 </t>
    </r>
    <r>
      <rPr>
        <sz val="9"/>
        <color rgb="FF3D3D3D"/>
        <rFont val="Arial"/>
        <family val="0"/>
        <charset val="1"/>
      </rPr>
      <t xml:space="preserve">$51.40 </t>
    </r>
    <r>
      <rPr>
        <sz val="9"/>
        <color rgb="FF3D3D3D"/>
        <rFont val="Noto Sans CJK SC"/>
        <family val="2"/>
      </rPr>
      <t xml:space="preserve">亿，公司已进入净现金状态。</t>
    </r>
  </si>
  <si>
    <r>
      <rPr>
        <b val="true"/>
        <sz val="11"/>
        <color rgb="FFFFFFFF"/>
        <rFont val="Arial"/>
        <family val="0"/>
        <charset val="1"/>
      </rPr>
      <t xml:space="preserve">05  </t>
    </r>
    <r>
      <rPr>
        <b val="true"/>
        <sz val="11"/>
        <color rgb="FFFFFFFF"/>
        <rFont val="Noto Sans CJK SC"/>
        <family val="2"/>
      </rPr>
      <t xml:space="preserve">合并现金流量表（九个月累计，公司披露口径）</t>
    </r>
  </si>
  <si>
    <t xml:space="preserve">9M FY2026</t>
  </si>
  <si>
    <t xml:space="preserve">9M FY2025</t>
  </si>
  <si>
    <t xml:space="preserve">占收入比</t>
  </si>
  <si>
    <t xml:space="preserve">同比变动</t>
  </si>
  <si>
    <t xml:space="preserve">【经营活动】</t>
  </si>
  <si>
    <r>
      <rPr>
        <b val="true"/>
        <sz val="9"/>
        <color rgb="FF008000"/>
        <rFont val="Noto Sans CJK SC"/>
        <family val="2"/>
      </rPr>
      <t xml:space="preserve">净利润 </t>
    </r>
    <r>
      <rPr>
        <b val="true"/>
        <sz val="9"/>
        <color rgb="FF008000"/>
        <rFont val="Arial"/>
        <family val="0"/>
        <charset val="1"/>
      </rPr>
      <t xml:space="preserve">Net income</t>
    </r>
  </si>
  <si>
    <r>
      <rPr>
        <sz val="9"/>
        <color rgb="FF000000"/>
        <rFont val="Noto Sans CJK SC"/>
        <family val="2"/>
      </rPr>
      <t xml:space="preserve">折旧与摊销 </t>
    </r>
    <r>
      <rPr>
        <sz val="9"/>
        <color rgb="FF000000"/>
        <rFont val="Arial"/>
        <family val="0"/>
        <charset val="1"/>
      </rPr>
      <t xml:space="preserve">Depreciation &amp; amortization</t>
    </r>
  </si>
  <si>
    <r>
      <rPr>
        <sz val="9"/>
        <color rgb="FF000000"/>
        <rFont val="Noto Sans CJK SC"/>
        <family val="2"/>
      </rPr>
      <t xml:space="preserve">股份支付 </t>
    </r>
    <r>
      <rPr>
        <sz val="9"/>
        <color rgb="FF000000"/>
        <rFont val="Arial"/>
        <family val="0"/>
        <charset val="1"/>
      </rPr>
      <t xml:space="preserve">Stock-based compensation</t>
    </r>
  </si>
  <si>
    <r>
      <rPr>
        <sz val="9"/>
        <color rgb="FF000000"/>
        <rFont val="Noto Sans CJK SC"/>
        <family val="2"/>
      </rPr>
      <t xml:space="preserve">应收账款变动 </t>
    </r>
    <r>
      <rPr>
        <sz val="9"/>
        <color rgb="FF000000"/>
        <rFont val="Arial"/>
        <family val="0"/>
        <charset val="1"/>
      </rPr>
      <t xml:space="preserve">Δ Receivables</t>
    </r>
  </si>
  <si>
    <r>
      <rPr>
        <sz val="9"/>
        <color rgb="FF000000"/>
        <rFont val="Noto Sans CJK SC"/>
        <family val="2"/>
      </rPr>
      <t xml:space="preserve">存货变动 </t>
    </r>
    <r>
      <rPr>
        <sz val="9"/>
        <color rgb="FF000000"/>
        <rFont val="Arial"/>
        <family val="0"/>
        <charset val="1"/>
      </rPr>
      <t xml:space="preserve">Δ Inventories</t>
    </r>
  </si>
  <si>
    <r>
      <rPr>
        <sz val="9"/>
        <color rgb="FF000000"/>
        <rFont val="Noto Sans CJK SC"/>
        <family val="2"/>
      </rPr>
      <t xml:space="preserve">应付及应计变动 </t>
    </r>
    <r>
      <rPr>
        <sz val="9"/>
        <color rgb="FF000000"/>
        <rFont val="Arial"/>
        <family val="0"/>
        <charset val="1"/>
      </rPr>
      <t xml:space="preserve">Δ AP &amp; accrued expenses</t>
    </r>
  </si>
  <si>
    <r>
      <rPr>
        <sz val="9"/>
        <color rgb="FF000000"/>
        <rFont val="Noto Sans CJK SC"/>
        <family val="2"/>
      </rPr>
      <t xml:space="preserve">其他流动负债变动 </t>
    </r>
    <r>
      <rPr>
        <sz val="9"/>
        <color rgb="FF000000"/>
        <rFont val="Arial"/>
        <family val="0"/>
        <charset val="1"/>
      </rPr>
      <t xml:space="preserve">Δ Other current liabilities</t>
    </r>
  </si>
  <si>
    <r>
      <rPr>
        <sz val="9"/>
        <color rgb="FF000000"/>
        <rFont val="Noto Sans CJK SC"/>
        <family val="2"/>
      </rPr>
      <t xml:space="preserve">其他非流动负债变动 </t>
    </r>
    <r>
      <rPr>
        <sz val="9"/>
        <color rgb="FF000000"/>
        <rFont val="Arial"/>
        <family val="0"/>
        <charset val="1"/>
      </rPr>
      <t xml:space="preserve">Δ Other noncurrent liab.</t>
    </r>
  </si>
  <si>
    <r>
      <rPr>
        <sz val="9"/>
        <color rgb="FF000000"/>
        <rFont val="Noto Sans CJK SC"/>
        <family val="2"/>
      </rPr>
      <t xml:space="preserve">其他 </t>
    </r>
    <r>
      <rPr>
        <sz val="9"/>
        <color rgb="FF000000"/>
        <rFont val="Arial"/>
        <family val="0"/>
        <charset val="1"/>
      </rPr>
      <t xml:space="preserve">Other</t>
    </r>
  </si>
  <si>
    <r>
      <rPr>
        <b val="true"/>
        <sz val="9"/>
        <color rgb="FF16305B"/>
        <rFont val="Noto Sans CJK SC"/>
        <family val="2"/>
      </rPr>
      <t xml:space="preserve">经营活动现金流净额 </t>
    </r>
    <r>
      <rPr>
        <b val="true"/>
        <sz val="9"/>
        <color rgb="FF16305B"/>
        <rFont val="Arial"/>
        <family val="0"/>
        <charset val="1"/>
      </rPr>
      <t xml:space="preserve">Net cash from operating</t>
    </r>
  </si>
  <si>
    <t xml:space="preserve">【投资活动】</t>
  </si>
  <si>
    <r>
      <rPr>
        <sz val="9"/>
        <color rgb="FF000000"/>
        <rFont val="Noto Sans CJK SC"/>
        <family val="2"/>
      </rPr>
      <t xml:space="preserve">购建固定资产 </t>
    </r>
    <r>
      <rPr>
        <sz val="9"/>
        <color rgb="FF000000"/>
        <rFont val="Arial"/>
        <family val="0"/>
        <charset val="1"/>
      </rPr>
      <t xml:space="preserve">Expenditures for PP&amp;E</t>
    </r>
  </si>
  <si>
    <r>
      <rPr>
        <sz val="9"/>
        <color rgb="FF000000"/>
        <rFont val="Noto Sans CJK SC"/>
        <family val="2"/>
      </rPr>
      <t xml:space="preserve">购买可供出售证券 </t>
    </r>
    <r>
      <rPr>
        <sz val="9"/>
        <color rgb="FF000000"/>
        <rFont val="Arial"/>
        <family val="0"/>
        <charset val="1"/>
      </rPr>
      <t xml:space="preserve">Purchases of AFS securities</t>
    </r>
  </si>
  <si>
    <r>
      <rPr>
        <sz val="9"/>
        <color rgb="FF000000"/>
        <rFont val="Noto Sans CJK SC"/>
        <family val="2"/>
      </rPr>
      <t xml:space="preserve">★ 政府补贴收款 </t>
    </r>
    <r>
      <rPr>
        <sz val="9"/>
        <color rgb="FF000000"/>
        <rFont val="Arial"/>
        <family val="0"/>
        <charset val="1"/>
      </rPr>
      <t xml:space="preserve">Proceeds from govt incentives</t>
    </r>
  </si>
  <si>
    <r>
      <rPr>
        <sz val="9"/>
        <color rgb="FF000000"/>
        <rFont val="Noto Sans CJK SC"/>
        <family val="2"/>
      </rPr>
      <t xml:space="preserve">证券到期及出售 </t>
    </r>
    <r>
      <rPr>
        <sz val="9"/>
        <color rgb="FF000000"/>
        <rFont val="Arial"/>
        <family val="0"/>
        <charset val="1"/>
      </rPr>
      <t xml:space="preserve">Proceeds from maturities/sales</t>
    </r>
  </si>
  <si>
    <r>
      <rPr>
        <b val="true"/>
        <sz val="9"/>
        <color rgb="FF16305B"/>
        <rFont val="Noto Sans CJK SC"/>
        <family val="2"/>
      </rPr>
      <t xml:space="preserve">投资活动现金流净额 </t>
    </r>
    <r>
      <rPr>
        <b val="true"/>
        <sz val="9"/>
        <color rgb="FF16305B"/>
        <rFont val="Arial"/>
        <family val="0"/>
        <charset val="1"/>
      </rPr>
      <t xml:space="preserve">Net cash from investing</t>
    </r>
  </si>
  <si>
    <t xml:space="preserve">【筹资活动】</t>
  </si>
  <si>
    <r>
      <rPr>
        <sz val="9"/>
        <color rgb="FF000000"/>
        <rFont val="Noto Sans CJK SC"/>
        <family val="2"/>
      </rPr>
      <t xml:space="preserve">偿还债务 </t>
    </r>
    <r>
      <rPr>
        <sz val="9"/>
        <color rgb="FF000000"/>
        <rFont val="Arial"/>
        <family val="0"/>
        <charset val="1"/>
      </rPr>
      <t xml:space="preserve">Repayments of debt</t>
    </r>
  </si>
  <si>
    <r>
      <rPr>
        <sz val="9"/>
        <color rgb="FF000000"/>
        <rFont val="Noto Sans CJK SC"/>
        <family val="2"/>
      </rPr>
      <t xml:space="preserve">股权激励代扣税 </t>
    </r>
    <r>
      <rPr>
        <sz val="9"/>
        <color rgb="FF000000"/>
        <rFont val="Arial"/>
        <family val="0"/>
        <charset val="1"/>
      </rPr>
      <t xml:space="preserve">Withholdings on equity awards</t>
    </r>
  </si>
  <si>
    <r>
      <rPr>
        <sz val="9"/>
        <color rgb="FF000000"/>
        <rFont val="Noto Sans CJK SC"/>
        <family val="2"/>
      </rPr>
      <t xml:space="preserve">股票回购 </t>
    </r>
    <r>
      <rPr>
        <sz val="9"/>
        <color rgb="FF000000"/>
        <rFont val="Arial"/>
        <family val="0"/>
        <charset val="1"/>
      </rPr>
      <t xml:space="preserve">Repurchase program</t>
    </r>
  </si>
  <si>
    <r>
      <rPr>
        <sz val="9"/>
        <color rgb="FF000000"/>
        <rFont val="Noto Sans CJK SC"/>
        <family val="2"/>
      </rPr>
      <t xml:space="preserve">支付股息 </t>
    </r>
    <r>
      <rPr>
        <sz val="9"/>
        <color rgb="FF000000"/>
        <rFont val="Arial"/>
        <family val="0"/>
        <charset val="1"/>
      </rPr>
      <t xml:space="preserve">Payments of dividends</t>
    </r>
  </si>
  <si>
    <r>
      <rPr>
        <sz val="9"/>
        <color rgb="FF000000"/>
        <rFont val="Noto Sans CJK SC"/>
        <family val="2"/>
      </rPr>
      <t xml:space="preserve">发行债务 </t>
    </r>
    <r>
      <rPr>
        <sz val="9"/>
        <color rgb="FF000000"/>
        <rFont val="Arial"/>
        <family val="0"/>
        <charset val="1"/>
      </rPr>
      <t xml:space="preserve">Proceeds from issuance of debt</t>
    </r>
  </si>
  <si>
    <r>
      <rPr>
        <b val="true"/>
        <sz val="9"/>
        <color rgb="FF16305B"/>
        <rFont val="Noto Sans CJK SC"/>
        <family val="2"/>
      </rPr>
      <t xml:space="preserve">筹资活动现金流净额 </t>
    </r>
    <r>
      <rPr>
        <b val="true"/>
        <sz val="9"/>
        <color rgb="FF16305B"/>
        <rFont val="Arial"/>
        <family val="0"/>
        <charset val="1"/>
      </rPr>
      <t xml:space="preserve">Net cash from financing</t>
    </r>
  </si>
  <si>
    <r>
      <rPr>
        <sz val="9"/>
        <color rgb="FF000000"/>
        <rFont val="Noto Sans CJK SC"/>
        <family val="2"/>
      </rPr>
      <t xml:space="preserve">汇率影响 </t>
    </r>
    <r>
      <rPr>
        <sz val="9"/>
        <color rgb="FF000000"/>
        <rFont val="Arial"/>
        <family val="0"/>
        <charset val="1"/>
      </rPr>
      <t xml:space="preserve">Effect of exchange rates</t>
    </r>
  </si>
  <si>
    <r>
      <rPr>
        <b val="true"/>
        <sz val="9"/>
        <color rgb="FF16305B"/>
        <rFont val="Noto Sans CJK SC"/>
        <family val="2"/>
      </rPr>
      <t xml:space="preserve">现金及受限现金净变动 </t>
    </r>
    <r>
      <rPr>
        <b val="true"/>
        <sz val="9"/>
        <color rgb="FF16305B"/>
        <rFont val="Arial"/>
        <family val="0"/>
        <charset val="1"/>
      </rPr>
      <t xml:space="preserve">Net increase in cash</t>
    </r>
  </si>
  <si>
    <r>
      <rPr>
        <sz val="9"/>
        <color rgb="FF000000"/>
        <rFont val="Noto Sans CJK SC"/>
        <family val="2"/>
      </rPr>
      <t xml:space="preserve">期初现金及受限现金 </t>
    </r>
    <r>
      <rPr>
        <sz val="9"/>
        <color rgb="FF000000"/>
        <rFont val="Arial"/>
        <family val="0"/>
        <charset val="1"/>
      </rPr>
      <t xml:space="preserve">Cash at beginning</t>
    </r>
  </si>
  <si>
    <r>
      <rPr>
        <b val="true"/>
        <sz val="9"/>
        <color rgb="FF008000"/>
        <rFont val="Noto Sans CJK SC"/>
        <family val="2"/>
      </rPr>
      <t xml:space="preserve">期末现金及受限现金 </t>
    </r>
    <r>
      <rPr>
        <b val="true"/>
        <sz val="9"/>
        <color rgb="FF008000"/>
        <rFont val="Arial"/>
        <family val="0"/>
        <charset val="1"/>
      </rPr>
      <t xml:space="preserve">Cash at end</t>
    </r>
  </si>
  <si>
    <r>
      <rPr>
        <sz val="9"/>
        <color rgb="FF3D3D3D"/>
        <rFont val="Noto Sans CJK SC"/>
        <family val="2"/>
      </rPr>
      <t xml:space="preserve">★ 现金流量表里的「净利润」一行是活公式，取自上方利润表的 </t>
    </r>
    <r>
      <rPr>
        <sz val="9"/>
        <color rgb="FF3D3D3D"/>
        <rFont val="Arial"/>
        <family val="0"/>
        <charset val="1"/>
      </rPr>
      <t xml:space="preserve">Q1+Q2+Q3 </t>
    </r>
    <r>
      <rPr>
        <sz val="9"/>
        <color rgb="FF3D3D3D"/>
        <rFont val="Noto Sans CJK SC"/>
        <family val="2"/>
      </rPr>
      <t xml:space="preserve">合计（</t>
    </r>
    <r>
      <rPr>
        <sz val="9"/>
        <color rgb="FF3D3D3D"/>
        <rFont val="Arial"/>
        <family val="0"/>
        <charset val="1"/>
      </rPr>
      <t xml:space="preserve">$472.68 </t>
    </r>
    <r>
      <rPr>
        <sz val="9"/>
        <color rgb="FF3D3D3D"/>
        <rFont val="Noto Sans CJK SC"/>
        <family val="2"/>
      </rPr>
      <t xml:space="preserve">亿）——因为 </t>
    </r>
    <r>
      <rPr>
        <sz val="9"/>
        <color rgb="FF3D3D3D"/>
        <rFont val="Arial"/>
        <family val="0"/>
        <charset val="1"/>
      </rPr>
      <t xml:space="preserve">MU </t>
    </r>
    <r>
      <rPr>
        <sz val="9"/>
        <color rgb="FF3D3D3D"/>
        <rFont val="Noto Sans CJK SC"/>
        <family val="2"/>
      </rPr>
      <t xml:space="preserve">的现金流量表按九个月累计披露，而不是按季度。下方第 </t>
    </r>
    <r>
      <rPr>
        <sz val="9"/>
        <color rgb="FF3D3D3D"/>
        <rFont val="Arial"/>
        <family val="0"/>
        <charset val="1"/>
      </rPr>
      <t xml:space="preserve">08 </t>
    </r>
    <r>
      <rPr>
        <sz val="9"/>
        <color rgb="FF3D3D3D"/>
        <rFont val="Noto Sans CJK SC"/>
        <family val="2"/>
      </rPr>
      <t xml:space="preserve">节的第 ① 条会实时校验这一勾稽关系。</t>
    </r>
  </si>
  <si>
    <r>
      <rPr>
        <b val="true"/>
        <sz val="11"/>
        <color rgb="FFFFFFFF"/>
        <rFont val="Arial"/>
        <family val="0"/>
        <charset val="1"/>
      </rPr>
      <t xml:space="preserve">06  </t>
    </r>
    <r>
      <rPr>
        <b val="true"/>
        <sz val="11"/>
        <color rgb="FFFFFFFF"/>
        <rFont val="Noto Sans CJK SC"/>
        <family val="2"/>
      </rPr>
      <t xml:space="preserve">季度现金流关键指标（公司逐季披露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由累计倒算并交叉验证）</t>
    </r>
  </si>
  <si>
    <t xml:space="preserve">指标（百万美元）</t>
  </si>
  <si>
    <r>
      <rPr>
        <b val="true"/>
        <sz val="9"/>
        <color rgb="FF16305B"/>
        <rFont val="Arial"/>
        <family val="0"/>
        <charset val="1"/>
      </rPr>
      <t xml:space="preserve">Q4E</t>
    </r>
    <r>
      <rPr>
        <b val="true"/>
        <sz val="9"/>
        <color rgb="FF16305B"/>
        <rFont val="Noto Sans CJK SC"/>
        <family val="2"/>
      </rPr>
      <t xml:space="preserve">（指引）</t>
    </r>
  </si>
  <si>
    <r>
      <rPr>
        <sz val="9"/>
        <color rgb="FF000000"/>
        <rFont val="Noto Sans CJK SC"/>
        <family val="2"/>
      </rPr>
      <t xml:space="preserve">经营活动现金流 </t>
    </r>
    <r>
      <rPr>
        <sz val="9"/>
        <color rgb="FF000000"/>
        <rFont val="Arial"/>
        <family val="0"/>
        <charset val="1"/>
      </rPr>
      <t xml:space="preserve">OCF</t>
    </r>
  </si>
  <si>
    <t xml:space="preserve">指引未拆分</t>
  </si>
  <si>
    <r>
      <rPr>
        <sz val="8"/>
        <color rgb="FF404040"/>
        <rFont val="Noto Sans CJK SC"/>
        <family val="2"/>
      </rPr>
      <t xml:space="preserve">公司逐季披露。</t>
    </r>
    <r>
      <rPr>
        <sz val="8"/>
        <color rgb="FF404040"/>
        <rFont val="Arial"/>
        <family val="0"/>
        <charset val="1"/>
      </rPr>
      <t xml:space="preserve">Q3 </t>
    </r>
    <r>
      <rPr>
        <sz val="8"/>
        <color rgb="FF404040"/>
        <rFont val="Noto Sans CJK SC"/>
        <family val="2"/>
      </rPr>
      <t xml:space="preserve">单季 </t>
    </r>
    <r>
      <rPr>
        <sz val="8"/>
        <color rgb="FF404040"/>
        <rFont val="Arial"/>
        <family val="0"/>
        <charset val="1"/>
      </rPr>
      <t xml:space="preserve">$253.88 </t>
    </r>
    <r>
      <rPr>
        <sz val="8"/>
        <color rgb="FF404040"/>
        <rFont val="Noto Sans CJK SC"/>
        <family val="2"/>
      </rPr>
      <t xml:space="preserve">亿，是 </t>
    </r>
    <r>
      <rPr>
        <sz val="8"/>
        <color rgb="FF404040"/>
        <rFont val="Arial"/>
        <family val="0"/>
        <charset val="1"/>
      </rPr>
      <t xml:space="preserve">FY25 </t>
    </r>
    <r>
      <rPr>
        <sz val="8"/>
        <color rgb="FF404040"/>
        <rFont val="Noto Sans CJK SC"/>
        <family val="2"/>
      </rPr>
      <t xml:space="preserve">全年的 </t>
    </r>
    <r>
      <rPr>
        <sz val="8"/>
        <color rgb="FF404040"/>
        <rFont val="Arial"/>
        <family val="0"/>
        <charset val="1"/>
      </rPr>
      <t xml:space="preserve">1.45 </t>
    </r>
    <r>
      <rPr>
        <sz val="8"/>
        <color rgb="FF404040"/>
        <rFont val="Noto Sans CJK SC"/>
        <family val="2"/>
      </rPr>
      <t xml:space="preserve">倍</t>
    </r>
  </si>
  <si>
    <t xml:space="preserve">购建固定资产的现金流出（总额）</t>
  </si>
  <si>
    <r>
      <rPr>
        <sz val="9"/>
        <color rgb="FF000000"/>
        <rFont val="Noto Sans CJK SC"/>
        <family val="2"/>
      </rPr>
      <t xml:space="preserve">★ 政府补贴收款 </t>
    </r>
    <r>
      <rPr>
        <sz val="9"/>
        <color rgb="FF000000"/>
        <rFont val="Arial"/>
        <family val="0"/>
        <charset val="1"/>
      </rPr>
      <t xml:space="preserve">Govt incentives</t>
    </r>
  </si>
  <si>
    <r>
      <rPr>
        <sz val="8"/>
        <color rgb="FF404040"/>
        <rFont val="Arial"/>
        <family val="0"/>
        <charset val="1"/>
      </rPr>
      <t xml:space="preserve">★ CHIPS </t>
    </r>
    <r>
      <rPr>
        <sz val="8"/>
        <color rgb="FF404040"/>
        <rFont val="Noto Sans CJK SC"/>
        <family val="2"/>
      </rPr>
      <t xml:space="preserve">法案补贴。这是 </t>
    </r>
    <r>
      <rPr>
        <sz val="8"/>
        <color rgb="FF404040"/>
        <rFont val="Arial"/>
        <family val="0"/>
        <charset val="1"/>
      </rPr>
      <t xml:space="preserve">MU </t>
    </r>
    <r>
      <rPr>
        <sz val="8"/>
        <color rgb="FF404040"/>
        <rFont val="Noto Sans CJK SC"/>
        <family val="2"/>
      </rPr>
      <t xml:space="preserve">独有、纯 </t>
    </r>
    <r>
      <rPr>
        <sz val="8"/>
        <color rgb="FF404040"/>
        <rFont val="Arial"/>
        <family val="0"/>
        <charset val="1"/>
      </rPr>
      <t xml:space="preserve">fabless </t>
    </r>
    <r>
      <rPr>
        <sz val="8"/>
        <color rgb="FF404040"/>
        <rFont val="Noto Sans CJK SC"/>
        <family val="2"/>
      </rPr>
      <t xml:space="preserve">或合资模式厂商没有的现金流来源</t>
    </r>
  </si>
  <si>
    <r>
      <rPr>
        <sz val="9"/>
        <color rgb="FF000000"/>
        <rFont val="Noto Sans CJK SC"/>
        <family val="2"/>
      </rPr>
      <t xml:space="preserve">固定资产处置收入 </t>
    </r>
    <r>
      <rPr>
        <sz val="9"/>
        <color rgb="FF000000"/>
        <rFont val="Arial"/>
        <family val="0"/>
        <charset val="1"/>
      </rPr>
      <t xml:space="preserve">Proceeds from PP&amp;E sales</t>
    </r>
  </si>
  <si>
    <t xml:space="preserve">处置固定资产的现金流入</t>
  </si>
  <si>
    <r>
      <rPr>
        <sz val="9"/>
        <color rgb="FF000000"/>
        <rFont val="Noto Sans CJK SC"/>
        <family val="2"/>
      </rPr>
      <t xml:space="preserve">净资本开支 </t>
    </r>
    <r>
      <rPr>
        <sz val="9"/>
        <color rgb="FF000000"/>
        <rFont val="Arial"/>
        <family val="0"/>
        <charset val="1"/>
      </rPr>
      <t xml:space="preserve">Investments in capex, net</t>
    </r>
  </si>
  <si>
    <t xml:space="preserve">＝ 资本开支 − 政府补贴 − 处置收入。公司称之为「投资于资本开支净额」</t>
  </si>
  <si>
    <r>
      <rPr>
        <b val="true"/>
        <sz val="9"/>
        <color rgb="FF16305B"/>
        <rFont val="Noto Sans CJK SC"/>
        <family val="2"/>
      </rPr>
      <t xml:space="preserve">调整后自由现金流 </t>
    </r>
    <r>
      <rPr>
        <b val="true"/>
        <sz val="9"/>
        <color rgb="FF16305B"/>
        <rFont val="Arial"/>
        <family val="0"/>
        <charset val="1"/>
      </rPr>
      <t xml:space="preserve">Adjusted FCF</t>
    </r>
  </si>
  <si>
    <r>
      <rPr>
        <i val="true"/>
        <sz val="8"/>
        <color rgb="FF8A8A8A"/>
        <rFont val="Noto Sans CJK SC"/>
        <family val="2"/>
      </rPr>
      <t xml:space="preserve">＞</t>
    </r>
    <r>
      <rPr>
        <i val="true"/>
        <sz val="8"/>
        <color rgb="FF8A8A8A"/>
        <rFont val="Arial"/>
        <family val="0"/>
        <charset val="1"/>
      </rPr>
      <t xml:space="preserve">30,000</t>
    </r>
  </si>
  <si>
    <r>
      <rPr>
        <sz val="8"/>
        <color rgb="FF404040"/>
        <rFont val="Noto Sans CJK SC"/>
        <family val="2"/>
      </rPr>
      <t xml:space="preserve">★ 公司口径的调整后自由现金流。</t>
    </r>
    <r>
      <rPr>
        <sz val="8"/>
        <color rgb="FF404040"/>
        <rFont val="Arial"/>
        <family val="0"/>
        <charset val="1"/>
      </rPr>
      <t xml:space="preserve">Q3 </t>
    </r>
    <r>
      <rPr>
        <sz val="8"/>
        <color rgb="FF404040"/>
        <rFont val="Noto Sans CJK SC"/>
        <family val="2"/>
      </rPr>
      <t xml:space="preserve">单季 </t>
    </r>
    <r>
      <rPr>
        <sz val="8"/>
        <color rgb="FF404040"/>
        <rFont val="Arial"/>
        <family val="0"/>
        <charset val="1"/>
      </rPr>
      <t xml:space="preserve">$183.04 </t>
    </r>
    <r>
      <rPr>
        <sz val="8"/>
        <color rgb="FF404040"/>
        <rFont val="Noto Sans CJK SC"/>
        <family val="2"/>
      </rPr>
      <t xml:space="preserve">亿；管理层指引 </t>
    </r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将超过 </t>
    </r>
    <r>
      <rPr>
        <sz val="8"/>
        <color rgb="FF404040"/>
        <rFont val="Arial"/>
        <family val="0"/>
        <charset val="1"/>
      </rPr>
      <t xml:space="preserve">$300 </t>
    </r>
    <r>
      <rPr>
        <sz val="8"/>
        <color rgb="FF404040"/>
        <rFont val="Noto Sans CJK SC"/>
        <family val="2"/>
      </rPr>
      <t xml:space="preserve">亿</t>
    </r>
  </si>
  <si>
    <r>
      <rPr>
        <sz val="9"/>
        <color rgb="FF3D3D3D"/>
        <rFont val="Noto Sans CJK SC"/>
        <family val="2"/>
      </rPr>
      <t xml:space="preserve">交叉验证：三个季度的「调整后自由现金流」由「经营现金流 − 资本开支 </t>
    </r>
    <r>
      <rPr>
        <sz val="9"/>
        <color rgb="FF3D3D3D"/>
        <rFont val="Arial"/>
        <family val="0"/>
        <charset val="1"/>
      </rPr>
      <t xml:space="preserve">+ </t>
    </r>
    <r>
      <rPr>
        <sz val="9"/>
        <color rgb="FF3D3D3D"/>
        <rFont val="Noto Sans CJK SC"/>
        <family val="2"/>
      </rPr>
      <t xml:space="preserve">政府补贴 </t>
    </r>
    <r>
      <rPr>
        <sz val="9"/>
        <color rgb="FF3D3D3D"/>
        <rFont val="Arial"/>
        <family val="0"/>
        <charset val="1"/>
      </rPr>
      <t xml:space="preserve">+ </t>
    </r>
    <r>
      <rPr>
        <sz val="9"/>
        <color rgb="FF3D3D3D"/>
        <rFont val="Noto Sans CJK SC"/>
        <family val="2"/>
      </rPr>
      <t xml:space="preserve">处置收入」算出，结果分别为 </t>
    </r>
    <r>
      <rPr>
        <sz val="9"/>
        <color rgb="FF3D3D3D"/>
        <rFont val="Arial"/>
        <family val="0"/>
        <charset val="1"/>
      </rPr>
      <t xml:space="preserve">$39.00 </t>
    </r>
    <r>
      <rPr>
        <sz val="9"/>
        <color rgb="FF3D3D3D"/>
        <rFont val="Noto Sans CJK SC"/>
        <family val="2"/>
      </rPr>
      <t xml:space="preserve">亿 </t>
    </r>
    <r>
      <rPr>
        <sz val="9"/>
        <color rgb="FF3D3D3D"/>
        <rFont val="Arial"/>
        <family val="0"/>
        <charset val="1"/>
      </rPr>
      <t xml:space="preserve">/ $68.99 </t>
    </r>
    <r>
      <rPr>
        <sz val="9"/>
        <color rgb="FF3D3D3D"/>
        <rFont val="Noto Sans CJK SC"/>
        <family val="2"/>
      </rPr>
      <t xml:space="preserve">亿 </t>
    </r>
    <r>
      <rPr>
        <sz val="9"/>
        <color rgb="FF3D3D3D"/>
        <rFont val="Arial"/>
        <family val="0"/>
        <charset val="1"/>
      </rPr>
      <t xml:space="preserve">/ $183.04 </t>
    </r>
    <r>
      <rPr>
        <sz val="9"/>
        <color rgb="FF3D3D3D"/>
        <rFont val="Noto Sans CJK SC"/>
        <family val="2"/>
      </rPr>
      <t xml:space="preserve">亿，与公司披露的 </t>
    </r>
    <r>
      <rPr>
        <sz val="9"/>
        <color rgb="FF3D3D3D"/>
        <rFont val="Arial"/>
        <family val="0"/>
        <charset val="1"/>
      </rPr>
      <t xml:space="preserve">$3.9B / $6.899B / $18.304B </t>
    </r>
    <r>
      <rPr>
        <sz val="9"/>
        <color rgb="FF3D3D3D"/>
        <rFont val="Noto Sans CJK SC"/>
        <family val="2"/>
      </rPr>
      <t xml:space="preserve">完全一致。</t>
    </r>
  </si>
  <si>
    <r>
      <rPr>
        <b val="true"/>
        <sz val="11"/>
        <color rgb="FFFFFFFF"/>
        <rFont val="Arial"/>
        <family val="0"/>
        <charset val="1"/>
      </rPr>
      <t xml:space="preserve">07  </t>
    </r>
    <r>
      <rPr>
        <b val="true"/>
        <sz val="11"/>
        <color rgb="FFFFFFFF"/>
        <rFont val="Noto Sans CJK SC"/>
        <family val="2"/>
      </rPr>
      <t xml:space="preserve">营运资本与资本强度：三张 </t>
    </r>
    <r>
      <rPr>
        <b val="true"/>
        <sz val="11"/>
        <color rgb="FFFFFFFF"/>
        <rFont val="Arial"/>
        <family val="0"/>
        <charset val="1"/>
      </rPr>
      <t xml:space="preserve">DCF </t>
    </r>
    <r>
      <rPr>
        <b val="true"/>
        <sz val="11"/>
        <color rgb="FFFFFFFF"/>
        <rFont val="Noto Sans CJK SC"/>
        <family val="2"/>
      </rPr>
      <t xml:space="preserve">表的假设从这里来</t>
    </r>
  </si>
  <si>
    <r>
      <rPr>
        <sz val="9"/>
        <color rgb="FF3D3D3D"/>
        <rFont val="Arial"/>
        <family val="0"/>
        <charset val="1"/>
      </rPr>
      <t xml:space="preserve">MU </t>
    </r>
    <r>
      <rPr>
        <sz val="9"/>
        <color rgb="FF3D3D3D"/>
        <rFont val="Noto Sans CJK SC"/>
        <family val="2"/>
      </rPr>
      <t xml:space="preserve">与纯 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标的最根本的差异在这一节。</t>
    </r>
    <r>
      <rPr>
        <sz val="9"/>
        <color rgb="FF3D3D3D"/>
        <rFont val="Arial"/>
        <family val="0"/>
        <charset val="1"/>
      </rPr>
      <t xml:space="preserve">MU </t>
    </r>
    <r>
      <rPr>
        <sz val="9"/>
        <color rgb="FF3D3D3D"/>
        <rFont val="Noto Sans CJK SC"/>
        <family val="2"/>
      </rPr>
      <t xml:space="preserve">自建晶圆厂，资本开支与折旧全部落在自己的报表上，而且在收入下行时不会同步下降——这是存储自建厂商在周期底部现金流崩塌的机制。下面这张表用活公式把历史读数算出来，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表里的假设必须能在这里找到出处。</t>
    </r>
  </si>
  <si>
    <t xml:space="preserve">指标</t>
  </si>
  <si>
    <r>
      <rPr>
        <b val="true"/>
        <sz val="9"/>
        <color rgb="FF16305B"/>
        <rFont val="Arial"/>
        <family val="0"/>
        <charset val="1"/>
      </rPr>
      <t xml:space="preserve">FY25</t>
    </r>
    <r>
      <rPr>
        <b val="true"/>
        <sz val="9"/>
        <color rgb="FF16305B"/>
        <rFont val="Noto Sans CJK SC"/>
        <family val="2"/>
      </rPr>
      <t xml:space="preserve">末</t>
    </r>
  </si>
  <si>
    <r>
      <rPr>
        <b val="true"/>
        <sz val="9"/>
        <color rgb="FF16305B"/>
        <rFont val="Arial"/>
        <family val="0"/>
        <charset val="1"/>
      </rPr>
      <t xml:space="preserve">FY26 Q2</t>
    </r>
    <r>
      <rPr>
        <b val="true"/>
        <sz val="9"/>
        <color rgb="FF16305B"/>
        <rFont val="Noto Sans CJK SC"/>
        <family val="2"/>
      </rPr>
      <t xml:space="preserve">末</t>
    </r>
  </si>
  <si>
    <r>
      <rPr>
        <b val="true"/>
        <sz val="9"/>
        <color rgb="FF16305B"/>
        <rFont val="Arial"/>
        <family val="0"/>
        <charset val="1"/>
      </rPr>
      <t xml:space="preserve">FY26 Q3</t>
    </r>
    <r>
      <rPr>
        <b val="true"/>
        <sz val="9"/>
        <color rgb="FF16305B"/>
        <rFont val="Noto Sans CJK SC"/>
        <family val="2"/>
      </rPr>
      <t xml:space="preserve">末</t>
    </r>
  </si>
  <si>
    <r>
      <rPr>
        <b val="true"/>
        <sz val="9"/>
        <color rgb="FF16305B"/>
        <rFont val="Arial"/>
        <family val="0"/>
        <charset val="1"/>
      </rPr>
      <t xml:space="preserve">FY2026E </t>
    </r>
    <r>
      <rPr>
        <b val="true"/>
        <sz val="9"/>
        <color rgb="FF16305B"/>
        <rFont val="Noto Sans CJK SC"/>
        <family val="2"/>
      </rPr>
      <t xml:space="preserve">全年</t>
    </r>
  </si>
  <si>
    <t xml:space="preserve">读法</t>
  </si>
  <si>
    <r>
      <rPr>
        <b val="true"/>
        <sz val="9"/>
        <color rgb="FF16305B"/>
        <rFont val="Noto Sans CJK SC"/>
        <family val="2"/>
      </rPr>
      <t xml:space="preserve">应收账款周转天数 </t>
    </r>
    <r>
      <rPr>
        <b val="true"/>
        <sz val="9"/>
        <color rgb="FF16305B"/>
        <rFont val="Arial"/>
        <family val="0"/>
        <charset val="1"/>
      </rPr>
      <t xml:space="preserve">DSO</t>
    </r>
  </si>
  <si>
    <r>
      <rPr>
        <sz val="8"/>
        <color rgb="FF404040"/>
        <rFont val="Noto Sans CJK SC"/>
        <family val="2"/>
      </rPr>
      <t xml:space="preserve">＝ 应收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当季收入 </t>
    </r>
    <r>
      <rPr>
        <sz val="8"/>
        <color rgb="FF404040"/>
        <rFont val="Arial"/>
        <family val="0"/>
        <charset val="1"/>
      </rPr>
      <t xml:space="preserve">× 91 </t>
    </r>
    <r>
      <rPr>
        <sz val="8"/>
        <color rgb="FF404040"/>
        <rFont val="Noto Sans CJK SC"/>
        <family val="2"/>
      </rPr>
      <t xml:space="preserve">天。</t>
    </r>
    <r>
      <rPr>
        <sz val="8"/>
        <color rgb="FF404040"/>
        <rFont val="Arial"/>
        <family val="0"/>
        <charset val="1"/>
      </rPr>
      <t xml:space="preserve">FY25 </t>
    </r>
    <r>
      <rPr>
        <sz val="8"/>
        <color rgb="FF404040"/>
        <rFont val="Noto Sans CJK SC"/>
        <family val="2"/>
      </rPr>
      <t xml:space="preserve">列因无单季数，分母用 </t>
    </r>
    <r>
      <rPr>
        <sz val="8"/>
        <color rgb="FF404040"/>
        <rFont val="Arial"/>
        <family val="0"/>
        <charset val="1"/>
      </rPr>
      <t xml:space="preserve">FY25 </t>
    </r>
    <r>
      <rPr>
        <sz val="8"/>
        <color rgb="FF404040"/>
        <rFont val="Noto Sans CJK SC"/>
        <family val="2"/>
      </rPr>
      <t xml:space="preserve">全年 </t>
    </r>
    <r>
      <rPr>
        <sz val="8"/>
        <color rgb="FF404040"/>
        <rFont val="Arial"/>
        <family val="0"/>
        <charset val="1"/>
      </rPr>
      <t xml:space="preserve">÷ 4 </t>
    </r>
    <r>
      <rPr>
        <sz val="8"/>
        <color rgb="FF404040"/>
        <rFont val="Noto Sans CJK SC"/>
        <family val="2"/>
      </rPr>
      <t xml:space="preserve">近似</t>
    </r>
  </si>
  <si>
    <r>
      <rPr>
        <b val="true"/>
        <sz val="9"/>
        <color rgb="FF16305B"/>
        <rFont val="Noto Sans CJK SC"/>
        <family val="2"/>
      </rPr>
      <t xml:space="preserve">存货周转天数 </t>
    </r>
    <r>
      <rPr>
        <b val="true"/>
        <sz val="9"/>
        <color rgb="FF16305B"/>
        <rFont val="Arial"/>
        <family val="0"/>
        <charset val="1"/>
      </rPr>
      <t xml:space="preserve">DIO</t>
    </r>
  </si>
  <si>
    <r>
      <rPr>
        <sz val="8"/>
        <color rgb="FF404040"/>
        <rFont val="Noto Sans CJK SC"/>
        <family val="2"/>
      </rPr>
      <t xml:space="preserve">＝ 存货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当季营业成本 </t>
    </r>
    <r>
      <rPr>
        <sz val="8"/>
        <color rgb="FF404040"/>
        <rFont val="Arial"/>
        <family val="0"/>
        <charset val="1"/>
      </rPr>
      <t xml:space="preserve">× 91 </t>
    </r>
    <r>
      <rPr>
        <sz val="8"/>
        <color rgb="FF404040"/>
        <rFont val="Noto Sans CJK SC"/>
        <family val="2"/>
      </rPr>
      <t xml:space="preserve">天。★ 天数看似暴涨是因为分母（成本）被超级周期压扁了，不是存货失控</t>
    </r>
  </si>
  <si>
    <r>
      <rPr>
        <b val="true"/>
        <sz val="9"/>
        <color rgb="FF16305B"/>
        <rFont val="Noto Sans CJK SC"/>
        <family val="2"/>
      </rPr>
      <t xml:space="preserve">营运资本余额 </t>
    </r>
    <r>
      <rPr>
        <b val="true"/>
        <sz val="9"/>
        <color rgb="FF16305B"/>
        <rFont val="Arial"/>
        <family val="0"/>
        <charset val="1"/>
      </rPr>
      <t xml:space="preserve">NWC</t>
    </r>
  </si>
  <si>
    <r>
      <rPr>
        <sz val="8"/>
        <color rgb="FF404040"/>
        <rFont val="Noto Sans CJK SC"/>
        <family val="2"/>
      </rPr>
      <t xml:space="preserve">＝ 应收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存货 − 应付及应计。这是 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里 </t>
    </r>
    <r>
      <rPr>
        <sz val="8"/>
        <color rgb="FF404040"/>
        <rFont val="Arial"/>
        <family val="0"/>
        <charset val="1"/>
      </rPr>
      <t xml:space="preserve">ΔNWC </t>
    </r>
    <r>
      <rPr>
        <sz val="8"/>
        <color rgb="FF404040"/>
        <rFont val="Noto Sans CJK SC"/>
        <family val="2"/>
      </rPr>
      <t xml:space="preserve">的口径</t>
    </r>
  </si>
  <si>
    <t xml:space="preserve">　当季年化收入</t>
  </si>
  <si>
    <r>
      <rPr>
        <sz val="8"/>
        <color rgb="FF404040"/>
        <rFont val="Noto Sans CJK SC"/>
        <family val="2"/>
      </rPr>
      <t xml:space="preserve">＝ 当季收入 </t>
    </r>
    <r>
      <rPr>
        <sz val="8"/>
        <color rgb="FF404040"/>
        <rFont val="Arial"/>
        <family val="0"/>
        <charset val="1"/>
      </rPr>
      <t xml:space="preserve">× 4</t>
    </r>
  </si>
  <si>
    <r>
      <rPr>
        <b val="true"/>
        <sz val="9"/>
        <color rgb="FFB3202C"/>
        <rFont val="Arial"/>
        <family val="0"/>
        <charset val="1"/>
      </rPr>
      <t xml:space="preserve">★ NWC ÷ </t>
    </r>
    <r>
      <rPr>
        <b val="true"/>
        <sz val="9"/>
        <color rgb="FFB3202C"/>
        <rFont val="Noto Sans CJK SC"/>
        <family val="2"/>
      </rPr>
      <t xml:space="preserve">年化收入</t>
    </r>
  </si>
  <si>
    <r>
      <rPr>
        <sz val="8"/>
        <color rgb="FF404040"/>
        <rFont val="Arial"/>
        <family val="0"/>
        <charset val="1"/>
      </rPr>
      <t xml:space="preserve">★★ DCF </t>
    </r>
    <r>
      <rPr>
        <sz val="8"/>
        <color rgb="FF404040"/>
        <rFont val="Noto Sans CJK SC"/>
        <family val="2"/>
      </rPr>
      <t xml:space="preserve">控制台「营运资本占年化收入比」的直接出处。三个时点为 </t>
    </r>
    <r>
      <rPr>
        <sz val="8"/>
        <color rgb="FF404040"/>
        <rFont val="Arial"/>
        <family val="0"/>
        <charset val="1"/>
      </rPr>
      <t xml:space="preserve">17.6% / 15.3% / 14.5%</t>
    </r>
  </si>
  <si>
    <r>
      <rPr>
        <b val="true"/>
        <sz val="9"/>
        <color rgb="FFB3202C"/>
        <rFont val="Noto Sans CJK SC"/>
        <family val="2"/>
      </rPr>
      <t xml:space="preserve">资本开支 </t>
    </r>
    <r>
      <rPr>
        <b val="true"/>
        <sz val="9"/>
        <color rgb="FFB3202C"/>
        <rFont val="Arial"/>
        <family val="0"/>
        <charset val="1"/>
      </rPr>
      <t xml:space="preserve">÷ </t>
    </r>
    <r>
      <rPr>
        <b val="true"/>
        <sz val="9"/>
        <color rgb="FFB3202C"/>
        <rFont val="Noto Sans CJK SC"/>
        <family val="2"/>
      </rPr>
      <t xml:space="preserve">收入（</t>
    </r>
    <r>
      <rPr>
        <b val="true"/>
        <sz val="9"/>
        <color rgb="FFB3202C"/>
        <rFont val="Arial"/>
        <family val="0"/>
        <charset val="1"/>
      </rPr>
      <t xml:space="preserve">FY2026E</t>
    </r>
    <r>
      <rPr>
        <b val="true"/>
        <sz val="9"/>
        <color rgb="FFB3202C"/>
        <rFont val="Noto Sans CJK SC"/>
        <family val="2"/>
      </rPr>
      <t xml:space="preserve">）</t>
    </r>
  </si>
  <si>
    <r>
      <rPr>
        <sz val="8"/>
        <color rgb="FF404040"/>
        <rFont val="Noto Sans CJK SC"/>
        <family val="2"/>
      </rPr>
      <t xml:space="preserve">★★ 前九个月资本开支 </t>
    </r>
    <r>
      <rPr>
        <sz val="8"/>
        <color rgb="FF404040"/>
        <rFont val="Arial"/>
        <family val="0"/>
        <charset val="1"/>
      </rPr>
      <t xml:space="preserve">$196.02 </t>
    </r>
    <r>
      <rPr>
        <sz val="8"/>
        <color rgb="FF404040"/>
        <rFont val="Noto Sans CJK SC"/>
        <family val="2"/>
      </rPr>
      <t xml:space="preserve">亿。公司指引 </t>
    </r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资本开支约 </t>
    </r>
    <r>
      <rPr>
        <sz val="8"/>
        <color rgb="FF404040"/>
        <rFont val="Arial"/>
        <family val="0"/>
        <charset val="1"/>
      </rPr>
      <t xml:space="preserve">$100 </t>
    </r>
    <r>
      <rPr>
        <sz val="8"/>
        <color rgb="FF404040"/>
        <rFont val="Noto Sans CJK SC"/>
        <family val="2"/>
      </rPr>
      <t xml:space="preserve">亿，全年净额约 </t>
    </r>
    <r>
      <rPr>
        <sz val="8"/>
        <color rgb="FF404040"/>
        <rFont val="Arial"/>
        <family val="0"/>
        <charset val="1"/>
      </rPr>
      <t xml:space="preserve">$270 </t>
    </r>
    <r>
      <rPr>
        <sz val="8"/>
        <color rgb="FF404040"/>
        <rFont val="Noto Sans CJK SC"/>
        <family val="2"/>
      </rPr>
      <t xml:space="preserve">亿（占收入 </t>
    </r>
    <r>
      <rPr>
        <sz val="8"/>
        <color rgb="FF404040"/>
        <rFont val="Arial"/>
        <family val="0"/>
        <charset val="1"/>
      </rPr>
      <t xml:space="preserve">20.9%</t>
    </r>
    <r>
      <rPr>
        <sz val="8"/>
        <color rgb="FF404040"/>
        <rFont val="Noto Sans CJK SC"/>
        <family val="2"/>
      </rPr>
      <t xml:space="preserve">）。对照 </t>
    </r>
    <r>
      <rPr>
        <sz val="8"/>
        <color rgb="FF404040"/>
        <rFont val="Arial"/>
        <family val="0"/>
        <charset val="1"/>
      </rPr>
      <t xml:space="preserve">FY2025</t>
    </r>
    <r>
      <rPr>
        <sz val="8"/>
        <color rgb="FF404040"/>
        <rFont val="Noto Sans CJK SC"/>
        <family val="2"/>
      </rPr>
      <t xml:space="preserve">：</t>
    </r>
    <r>
      <rPr>
        <sz val="8"/>
        <color rgb="FF404040"/>
        <rFont val="Arial"/>
        <family val="0"/>
        <charset val="1"/>
      </rPr>
      <t xml:space="preserve">$138 </t>
    </r>
    <r>
      <rPr>
        <sz val="8"/>
        <color rgb="FF404040"/>
        <rFont val="Noto Sans CJK SC"/>
        <family val="2"/>
      </rPr>
      <t xml:space="preserve">亿 </t>
    </r>
    <r>
      <rPr>
        <sz val="8"/>
        <color rgb="FF404040"/>
        <rFont val="Arial"/>
        <family val="0"/>
        <charset val="1"/>
      </rPr>
      <t xml:space="preserve">÷ $373.82 </t>
    </r>
    <r>
      <rPr>
        <sz val="8"/>
        <color rgb="FF404040"/>
        <rFont val="Noto Sans CJK SC"/>
        <family val="2"/>
      </rPr>
      <t xml:space="preserve">亿 ＝ </t>
    </r>
    <r>
      <rPr>
        <sz val="8"/>
        <color rgb="FF404040"/>
        <rFont val="Arial"/>
        <family val="0"/>
        <charset val="1"/>
      </rPr>
      <t xml:space="preserve">36.9%</t>
    </r>
    <r>
      <rPr>
        <sz val="8"/>
        <color rgb="FF404040"/>
        <rFont val="Noto Sans CJK SC"/>
        <family val="2"/>
      </rPr>
      <t xml:space="preserve">。★ 这个比例的剧烈变化来自分母（收入）的暴涨，不是投资计划变了</t>
    </r>
  </si>
  <si>
    <r>
      <rPr>
        <b val="true"/>
        <sz val="9"/>
        <color rgb="FF16305B"/>
        <rFont val="Noto Sans CJK SC"/>
        <family val="2"/>
      </rPr>
      <t xml:space="preserve">政府补贴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资本开支（</t>
    </r>
    <r>
      <rPr>
        <b val="true"/>
        <sz val="9"/>
        <color rgb="FF16305B"/>
        <rFont val="Arial"/>
        <family val="0"/>
        <charset val="1"/>
      </rPr>
      <t xml:space="preserve">9M FY26</t>
    </r>
    <r>
      <rPr>
        <b val="true"/>
        <sz val="9"/>
        <color rgb="FF16305B"/>
        <rFont val="Noto Sans CJK SC"/>
        <family val="2"/>
      </rPr>
      <t xml:space="preserve">）</t>
    </r>
  </si>
  <si>
    <r>
      <rPr>
        <sz val="8"/>
        <color rgb="FF404040"/>
        <rFont val="Arial"/>
        <family val="0"/>
        <charset val="1"/>
      </rPr>
      <t xml:space="preserve">★ CHIPS </t>
    </r>
    <r>
      <rPr>
        <sz val="8"/>
        <color rgb="FF404040"/>
        <rFont val="Noto Sans CJK SC"/>
        <family val="2"/>
      </rPr>
      <t xml:space="preserve">法案补贴 </t>
    </r>
    <r>
      <rPr>
        <sz val="8"/>
        <color rgb="FF404040"/>
        <rFont val="Arial"/>
        <family val="0"/>
        <charset val="1"/>
      </rPr>
      <t xml:space="preserve">$29.89 </t>
    </r>
    <r>
      <rPr>
        <sz val="8"/>
        <color rgb="FF404040"/>
        <rFont val="Noto Sans CJK SC"/>
        <family val="2"/>
      </rPr>
      <t xml:space="preserve">亿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资本开支 </t>
    </r>
    <r>
      <rPr>
        <sz val="8"/>
        <color rgb="FF404040"/>
        <rFont val="Arial"/>
        <family val="0"/>
        <charset val="1"/>
      </rPr>
      <t xml:space="preserve">$196.02 </t>
    </r>
    <r>
      <rPr>
        <sz val="8"/>
        <color rgb="FF404040"/>
        <rFont val="Noto Sans CJK SC"/>
        <family val="2"/>
      </rPr>
      <t xml:space="preserve">亿 ＝ </t>
    </r>
    <r>
      <rPr>
        <sz val="8"/>
        <color rgb="FF404040"/>
        <rFont val="Arial"/>
        <family val="0"/>
        <charset val="1"/>
      </rPr>
      <t xml:space="preserve">15.2%</t>
    </r>
    <r>
      <rPr>
        <sz val="8"/>
        <color rgb="FF404040"/>
        <rFont val="Noto Sans CJK SC"/>
        <family val="2"/>
      </rPr>
      <t xml:space="preserve">。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三个情形分别用 </t>
    </r>
    <r>
      <rPr>
        <sz val="8"/>
        <color rgb="FF404040"/>
        <rFont val="Arial"/>
        <family val="0"/>
        <charset val="1"/>
      </rPr>
      <t xml:space="preserve">12% / 10% / 9%——</t>
    </r>
    <r>
      <rPr>
        <sz val="8"/>
        <color rgb="FF404040"/>
        <rFont val="Noto Sans CJK SC"/>
        <family val="2"/>
      </rPr>
      <t xml:space="preserve">低于历史值，因为补贴总额有上限而资本开支基数在扩大</t>
    </r>
  </si>
  <si>
    <r>
      <rPr>
        <b val="true"/>
        <sz val="9"/>
        <color rgb="FF16305B"/>
        <rFont val="Noto Sans CJK SC"/>
        <family val="2"/>
      </rPr>
      <t xml:space="preserve">折旧摊销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收入（</t>
    </r>
    <r>
      <rPr>
        <b val="true"/>
        <sz val="9"/>
        <color rgb="FF16305B"/>
        <rFont val="Arial"/>
        <family val="0"/>
        <charset val="1"/>
      </rPr>
      <t xml:space="preserve">9M FY26</t>
    </r>
    <r>
      <rPr>
        <b val="true"/>
        <sz val="9"/>
        <color rgb="FF16305B"/>
        <rFont val="Noto Sans CJK SC"/>
        <family val="2"/>
      </rPr>
      <t xml:space="preserve">）</t>
    </r>
  </si>
  <si>
    <r>
      <rPr>
        <sz val="8"/>
        <color rgb="FF404040"/>
        <rFont val="Noto Sans CJK SC"/>
        <family val="2"/>
      </rPr>
      <t xml:space="preserve">★ 前九个月 </t>
    </r>
    <r>
      <rPr>
        <sz val="8"/>
        <color rgb="FF404040"/>
        <rFont val="Arial"/>
        <family val="0"/>
        <charset val="1"/>
      </rPr>
      <t xml:space="preserve">$68.62 </t>
    </r>
    <r>
      <rPr>
        <sz val="8"/>
        <color rgb="FF404040"/>
        <rFont val="Noto Sans CJK SC"/>
        <family val="2"/>
      </rPr>
      <t xml:space="preserve">亿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前九个月收入 </t>
    </r>
    <r>
      <rPr>
        <sz val="8"/>
        <color rgb="FF404040"/>
        <rFont val="Arial"/>
        <family val="0"/>
        <charset val="1"/>
      </rPr>
      <t xml:space="preserve">$789.59 </t>
    </r>
    <r>
      <rPr>
        <sz val="8"/>
        <color rgb="FF404040"/>
        <rFont val="Noto Sans CJK SC"/>
        <family val="2"/>
      </rPr>
      <t xml:space="preserve">亿 ＝ </t>
    </r>
    <r>
      <rPr>
        <sz val="8"/>
        <color rgb="FF404040"/>
        <rFont val="Arial"/>
        <family val="0"/>
        <charset val="1"/>
      </rPr>
      <t xml:space="preserve">8.7%</t>
    </r>
    <r>
      <rPr>
        <sz val="8"/>
        <color rgb="FF404040"/>
        <rFont val="Noto Sans CJK SC"/>
        <family val="2"/>
      </rPr>
      <t xml:space="preserve">；按全年约 </t>
    </r>
    <r>
      <rPr>
        <sz val="8"/>
        <color rgb="FF404040"/>
        <rFont val="Arial"/>
        <family val="0"/>
        <charset val="1"/>
      </rPr>
      <t xml:space="preserve">$94 </t>
    </r>
    <r>
      <rPr>
        <sz val="8"/>
        <color rgb="FF404040"/>
        <rFont val="Noto Sans CJK SC"/>
        <family val="2"/>
      </rPr>
      <t xml:space="preserve">亿 </t>
    </r>
    <r>
      <rPr>
        <sz val="8"/>
        <color rgb="FF404040"/>
        <rFont val="Arial"/>
        <family val="0"/>
        <charset val="1"/>
      </rPr>
      <t xml:space="preserve">÷ $1,289.59 </t>
    </r>
    <r>
      <rPr>
        <sz val="8"/>
        <color rgb="FF404040"/>
        <rFont val="Noto Sans CJK SC"/>
        <family val="2"/>
      </rPr>
      <t xml:space="preserve">亿 ＝ </t>
    </r>
    <r>
      <rPr>
        <sz val="8"/>
        <color rgb="FF404040"/>
        <rFont val="Arial"/>
        <family val="0"/>
        <charset val="1"/>
      </rPr>
      <t xml:space="preserve">7.3%</t>
    </r>
    <r>
      <rPr>
        <sz val="8"/>
        <color rgb="FF404040"/>
        <rFont val="Noto Sans CJK SC"/>
        <family val="2"/>
      </rPr>
      <t xml:space="preserve">。对照 </t>
    </r>
    <r>
      <rPr>
        <sz val="8"/>
        <color rgb="FF404040"/>
        <rFont val="Arial"/>
        <family val="0"/>
        <charset val="1"/>
      </rPr>
      <t xml:space="preserve">FY2025</t>
    </r>
    <r>
      <rPr>
        <sz val="8"/>
        <color rgb="FF404040"/>
        <rFont val="Noto Sans CJK SC"/>
        <family val="2"/>
      </rPr>
      <t xml:space="preserve">：</t>
    </r>
    <r>
      <rPr>
        <sz val="8"/>
        <color rgb="FF404040"/>
        <rFont val="Arial"/>
        <family val="0"/>
        <charset val="1"/>
      </rPr>
      <t xml:space="preserve">$83 </t>
    </r>
    <r>
      <rPr>
        <sz val="8"/>
        <color rgb="FF404040"/>
        <rFont val="Noto Sans CJK SC"/>
        <family val="2"/>
      </rPr>
      <t xml:space="preserve">亿 </t>
    </r>
    <r>
      <rPr>
        <sz val="8"/>
        <color rgb="FF404040"/>
        <rFont val="Arial"/>
        <family val="0"/>
        <charset val="1"/>
      </rPr>
      <t xml:space="preserve">÷ $373.82 </t>
    </r>
    <r>
      <rPr>
        <sz val="8"/>
        <color rgb="FF404040"/>
        <rFont val="Noto Sans CJK SC"/>
        <family val="2"/>
      </rPr>
      <t xml:space="preserve">亿 ＝ </t>
    </r>
    <r>
      <rPr>
        <sz val="8"/>
        <color rgb="FF404040"/>
        <rFont val="Arial"/>
        <family val="0"/>
        <charset val="1"/>
      </rPr>
      <t xml:space="preserve">22.2%</t>
    </r>
    <r>
      <rPr>
        <sz val="8"/>
        <color rgb="FF404040"/>
        <rFont val="Noto Sans CJK SC"/>
        <family val="2"/>
      </rPr>
      <t xml:space="preserve">。★ 折旧跟随资产基数而非收入——收入下行年这个比例会被动上升</t>
    </r>
  </si>
  <si>
    <r>
      <rPr>
        <b val="true"/>
        <sz val="9"/>
        <color rgb="FF16305B"/>
        <rFont val="Noto Sans CJK SC"/>
        <family val="2"/>
      </rPr>
      <t xml:space="preserve">经营现金流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收入（</t>
    </r>
    <r>
      <rPr>
        <b val="true"/>
        <sz val="9"/>
        <color rgb="FF16305B"/>
        <rFont val="Arial"/>
        <family val="0"/>
        <charset val="1"/>
      </rPr>
      <t xml:space="preserve">9M FY26</t>
    </r>
    <r>
      <rPr>
        <b val="true"/>
        <sz val="9"/>
        <color rgb="FF16305B"/>
        <rFont val="Noto Sans CJK SC"/>
        <family val="2"/>
      </rPr>
      <t xml:space="preserve">）</t>
    </r>
  </si>
  <si>
    <r>
      <rPr>
        <sz val="8"/>
        <color rgb="FF404040"/>
        <rFont val="Noto Sans CJK SC"/>
        <family val="2"/>
      </rPr>
      <t xml:space="preserve">前九个月 </t>
    </r>
    <r>
      <rPr>
        <sz val="8"/>
        <color rgb="FF404040"/>
        <rFont val="Arial"/>
        <family val="0"/>
        <charset val="1"/>
      </rPr>
      <t xml:space="preserve">$457.02 </t>
    </r>
    <r>
      <rPr>
        <sz val="8"/>
        <color rgb="FF404040"/>
        <rFont val="Noto Sans CJK SC"/>
        <family val="2"/>
      </rPr>
      <t xml:space="preserve">亿 </t>
    </r>
    <r>
      <rPr>
        <sz val="8"/>
        <color rgb="FF404040"/>
        <rFont val="Arial"/>
        <family val="0"/>
        <charset val="1"/>
      </rPr>
      <t xml:space="preserve">÷ $789.59 </t>
    </r>
    <r>
      <rPr>
        <sz val="8"/>
        <color rgb="FF404040"/>
        <rFont val="Noto Sans CJK SC"/>
        <family val="2"/>
      </rPr>
      <t xml:space="preserve">亿。对照 </t>
    </r>
    <r>
      <rPr>
        <sz val="8"/>
        <color rgb="FF404040"/>
        <rFont val="Arial"/>
        <family val="0"/>
        <charset val="1"/>
      </rPr>
      <t xml:space="preserve">FY2025 </t>
    </r>
    <r>
      <rPr>
        <sz val="8"/>
        <color rgb="FF404040"/>
        <rFont val="Noto Sans CJK SC"/>
        <family val="2"/>
      </rPr>
      <t xml:space="preserve">全年 </t>
    </r>
    <r>
      <rPr>
        <sz val="8"/>
        <color rgb="FF404040"/>
        <rFont val="Arial"/>
        <family val="0"/>
        <charset val="1"/>
      </rPr>
      <t xml:space="preserve">$175.3 </t>
    </r>
    <r>
      <rPr>
        <sz val="8"/>
        <color rgb="FF404040"/>
        <rFont val="Noto Sans CJK SC"/>
        <family val="2"/>
      </rPr>
      <t xml:space="preserve">亿 </t>
    </r>
    <r>
      <rPr>
        <sz val="8"/>
        <color rgb="FF404040"/>
        <rFont val="Arial"/>
        <family val="0"/>
        <charset val="1"/>
      </rPr>
      <t xml:space="preserve">÷ $373.82 </t>
    </r>
    <r>
      <rPr>
        <sz val="8"/>
        <color rgb="FF404040"/>
        <rFont val="Noto Sans CJK SC"/>
        <family val="2"/>
      </rPr>
      <t xml:space="preserve">亿 ＝ </t>
    </r>
    <r>
      <rPr>
        <sz val="8"/>
        <color rgb="FF404040"/>
        <rFont val="Arial"/>
        <family val="0"/>
        <charset val="1"/>
      </rPr>
      <t xml:space="preserve">46.9%</t>
    </r>
  </si>
  <si>
    <t xml:space="preserve">应收账款变动对现金流的拖累</t>
  </si>
  <si>
    <r>
      <rPr>
        <sz val="8"/>
        <color rgb="FF404040"/>
        <rFont val="Noto Sans CJK SC"/>
        <family val="2"/>
      </rPr>
      <t xml:space="preserve">★ 前九个月应收账款变动 −</t>
    </r>
    <r>
      <rPr>
        <sz val="8"/>
        <color rgb="FF404040"/>
        <rFont val="Arial"/>
        <family val="0"/>
        <charset val="1"/>
      </rPr>
      <t xml:space="preserve">$199.53 </t>
    </r>
    <r>
      <rPr>
        <sz val="8"/>
        <color rgb="FF404040"/>
        <rFont val="Noto Sans CJK SC"/>
        <family val="2"/>
      </rPr>
      <t xml:space="preserve">亿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全年净利润。收入暴涨期最大的现金流拖累项，也是 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里 </t>
    </r>
    <r>
      <rPr>
        <sz val="8"/>
        <color rgb="FF404040"/>
        <rFont val="Arial"/>
        <family val="0"/>
        <charset val="1"/>
      </rPr>
      <t xml:space="preserve">ΔNWC </t>
    </r>
    <r>
      <rPr>
        <sz val="8"/>
        <color rgb="FF404040"/>
        <rFont val="Noto Sans CJK SC"/>
        <family val="2"/>
      </rPr>
      <t xml:space="preserve">假设为什么重要的原因</t>
    </r>
  </si>
  <si>
    <r>
      <rPr>
        <sz val="9"/>
        <color rgb="FF3D3D3D"/>
        <rFont val="Noto Sans CJK SC"/>
        <family val="2"/>
      </rPr>
      <t xml:space="preserve">★ 一句话总结这一节：</t>
    </r>
    <r>
      <rPr>
        <sz val="9"/>
        <color rgb="FF3D3D3D"/>
        <rFont val="Arial"/>
        <family val="0"/>
        <charset val="1"/>
      </rPr>
      <t xml:space="preserve">MU </t>
    </r>
    <r>
      <rPr>
        <sz val="9"/>
        <color rgb="FF3D3D3D"/>
        <rFont val="Noto Sans CJK SC"/>
        <family val="2"/>
      </rPr>
      <t xml:space="preserve">的资本强度是 </t>
    </r>
    <r>
      <rPr>
        <sz val="9"/>
        <color rgb="FF3D3D3D"/>
        <rFont val="Arial"/>
        <family val="0"/>
        <charset val="1"/>
      </rPr>
      <t xml:space="preserve">SNDK </t>
    </r>
    <r>
      <rPr>
        <sz val="9"/>
        <color rgb="FF3D3D3D"/>
        <rFont val="Noto Sans CJK SC"/>
        <family val="2"/>
      </rPr>
      <t xml:space="preserve">这类合资</t>
    </r>
    <r>
      <rPr>
        <sz val="9"/>
        <color rgb="FF3D3D3D"/>
        <rFont val="Arial"/>
        <family val="0"/>
        <charset val="1"/>
      </rPr>
      <t xml:space="preserve">/</t>
    </r>
    <r>
      <rPr>
        <sz val="9"/>
        <color rgb="FF3D3D3D"/>
        <rFont val="Noto Sans CJK SC"/>
        <family val="2"/>
      </rPr>
      <t xml:space="preserve">轻资产模式的十倍量级。</t>
    </r>
    <r>
      <rPr>
        <sz val="9"/>
        <color rgb="FF3D3D3D"/>
        <rFont val="Arial"/>
        <family val="0"/>
        <charset val="1"/>
      </rPr>
      <t xml:space="preserve">FY26 </t>
    </r>
    <r>
      <rPr>
        <sz val="9"/>
        <color rgb="FF3D3D3D"/>
        <rFont val="Noto Sans CJK SC"/>
        <family val="2"/>
      </rPr>
      <t xml:space="preserve">资本开支约 </t>
    </r>
    <r>
      <rPr>
        <sz val="9"/>
        <color rgb="FF3D3D3D"/>
        <rFont val="Arial"/>
        <family val="0"/>
        <charset val="1"/>
      </rPr>
      <t xml:space="preserve">$270 </t>
    </r>
    <r>
      <rPr>
        <sz val="9"/>
        <color rgb="FF3D3D3D"/>
        <rFont val="Noto Sans CJK SC"/>
        <family val="2"/>
      </rPr>
      <t xml:space="preserve">亿、折旧约 </t>
    </r>
    <r>
      <rPr>
        <sz val="9"/>
        <color rgb="FF3D3D3D"/>
        <rFont val="Arial"/>
        <family val="0"/>
        <charset val="1"/>
      </rPr>
      <t xml:space="preserve">$94 </t>
    </r>
    <r>
      <rPr>
        <sz val="9"/>
        <color rgb="FF3D3D3D"/>
        <rFont val="Noto Sans CJK SC"/>
        <family val="2"/>
      </rPr>
      <t xml:space="preserve">亿，而管理层已明确 </t>
    </r>
    <r>
      <rPr>
        <sz val="9"/>
        <color rgb="FF3D3D3D"/>
        <rFont val="Arial"/>
        <family val="0"/>
        <charset val="1"/>
      </rPr>
      <t xml:space="preserve">FY27 </t>
    </r>
    <r>
      <rPr>
        <sz val="9"/>
        <color rgb="FF3D3D3D"/>
        <rFont val="Noto Sans CJK SC"/>
        <family val="2"/>
      </rPr>
      <t xml:space="preserve">季度资本开支将高于 </t>
    </r>
    <r>
      <rPr>
        <sz val="9"/>
        <color rgb="FF3D3D3D"/>
        <rFont val="Arial"/>
        <family val="0"/>
        <charset val="1"/>
      </rPr>
      <t xml:space="preserve">FY26 Q4 </t>
    </r>
    <r>
      <rPr>
        <sz val="9"/>
        <color rgb="FF3D3D3D"/>
        <rFont val="Noto Sans CJK SC"/>
        <family val="2"/>
      </rPr>
      <t xml:space="preserve">的约 </t>
    </r>
    <r>
      <rPr>
        <sz val="9"/>
        <color rgb="FF3D3D3D"/>
        <rFont val="Arial"/>
        <family val="0"/>
        <charset val="1"/>
      </rPr>
      <t xml:space="preserve">$100 </t>
    </r>
    <r>
      <rPr>
        <sz val="9"/>
        <color rgb="FF3D3D3D"/>
        <rFont val="Noto Sans CJK SC"/>
        <family val="2"/>
      </rPr>
      <t xml:space="preserve">亿</t>
    </r>
    <r>
      <rPr>
        <sz val="9"/>
        <color rgb="FF3D3D3D"/>
        <rFont val="Arial"/>
        <family val="0"/>
        <charset val="1"/>
      </rPr>
      <t xml:space="preserve">/</t>
    </r>
    <r>
      <rPr>
        <sz val="9"/>
        <color rgb="FF3D3D3D"/>
        <rFont val="Noto Sans CJK SC"/>
        <family val="2"/>
      </rPr>
      <t xml:space="preserve">季，其中建设性资本开支同比增加超 </t>
    </r>
    <r>
      <rPr>
        <sz val="9"/>
        <color rgb="FF3D3D3D"/>
        <rFont val="Arial"/>
        <family val="0"/>
        <charset val="1"/>
      </rPr>
      <t xml:space="preserve">$100 </t>
    </r>
    <r>
      <rPr>
        <sz val="9"/>
        <color rgb="FF3D3D3D"/>
        <rFont val="Noto Sans CJK SC"/>
        <family val="2"/>
      </rPr>
      <t xml:space="preserve">亿，另有 </t>
    </r>
    <r>
      <rPr>
        <sz val="9"/>
        <color rgb="FF3D3D3D"/>
        <rFont val="Arial"/>
        <family val="0"/>
        <charset val="1"/>
      </rPr>
      <t xml:space="preserve">2026 </t>
    </r>
    <r>
      <rPr>
        <sz val="9"/>
        <color rgb="FF3D3D3D"/>
        <rFont val="Noto Sans CJK SC"/>
        <family val="2"/>
      </rPr>
      <t xml:space="preserve">年 </t>
    </r>
    <r>
      <rPr>
        <sz val="9"/>
        <color rgb="FF3D3D3D"/>
        <rFont val="Arial"/>
        <family val="0"/>
        <charset val="1"/>
      </rPr>
      <t xml:space="preserve">8 </t>
    </r>
    <r>
      <rPr>
        <sz val="9"/>
        <color rgb="FF3D3D3D"/>
        <rFont val="Noto Sans CJK SC"/>
        <family val="2"/>
      </rPr>
      <t xml:space="preserve">月宣布的 </t>
    </r>
    <r>
      <rPr>
        <sz val="9"/>
        <color rgb="FF3D3D3D"/>
        <rFont val="Arial"/>
        <family val="0"/>
        <charset val="1"/>
      </rPr>
      <t xml:space="preserve">$100 </t>
    </r>
    <r>
      <rPr>
        <sz val="9"/>
        <color rgb="FF3D3D3D"/>
        <rFont val="Noto Sans CJK SC"/>
        <family val="2"/>
      </rPr>
      <t xml:space="preserve">亿博伊西 </t>
    </r>
    <r>
      <rPr>
        <sz val="9"/>
        <color rgb="FF3D3D3D"/>
        <rFont val="Arial"/>
        <family val="0"/>
        <charset val="1"/>
      </rPr>
      <t xml:space="preserve">AI </t>
    </r>
    <r>
      <rPr>
        <sz val="9"/>
        <color rgb="FF3D3D3D"/>
        <rFont val="Noto Sans CJK SC"/>
        <family val="2"/>
      </rPr>
      <t xml:space="preserve">研究实验室。在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里，资本开支率每高估 </t>
    </r>
    <r>
      <rPr>
        <sz val="9"/>
        <color rgb="FF3D3D3D"/>
        <rFont val="Arial"/>
        <family val="0"/>
        <charset val="1"/>
      </rPr>
      <t xml:space="preserve">1pp</t>
    </r>
    <r>
      <rPr>
        <sz val="9"/>
        <color rgb="FF3D3D3D"/>
        <rFont val="Noto Sans CJK SC"/>
        <family val="2"/>
      </rPr>
      <t xml:space="preserve">，</t>
    </r>
    <r>
      <rPr>
        <sz val="9"/>
        <color rgb="FF3D3D3D"/>
        <rFont val="Arial"/>
        <family val="0"/>
        <charset val="1"/>
      </rPr>
      <t xml:space="preserve">FY32 </t>
    </r>
    <r>
      <rPr>
        <sz val="9"/>
        <color rgb="FF3D3D3D"/>
        <rFont val="Noto Sans CJK SC"/>
        <family val="2"/>
      </rPr>
      <t xml:space="preserve">的自由现金流就少约 </t>
    </r>
    <r>
      <rPr>
        <sz val="9"/>
        <color rgb="FF3D3D3D"/>
        <rFont val="Arial"/>
        <family val="0"/>
        <charset val="1"/>
      </rPr>
      <t xml:space="preserve">20 </t>
    </r>
    <r>
      <rPr>
        <sz val="9"/>
        <color rgb="FF3D3D3D"/>
        <rFont val="Noto Sans CJK SC"/>
        <family val="2"/>
      </rPr>
      <t xml:space="preserve">亿美元、每股价值少约 </t>
    </r>
    <r>
      <rPr>
        <sz val="9"/>
        <color rgb="FF3D3D3D"/>
        <rFont val="Arial"/>
        <family val="0"/>
        <charset val="1"/>
      </rPr>
      <t xml:space="preserve">8–15 </t>
    </r>
    <r>
      <rPr>
        <sz val="9"/>
        <color rgb="FF3D3D3D"/>
        <rFont val="Noto Sans CJK SC"/>
        <family val="2"/>
      </rPr>
      <t xml:space="preserve">美元。</t>
    </r>
  </si>
  <si>
    <r>
      <rPr>
        <b val="true"/>
        <sz val="11"/>
        <color rgb="FFFFFFFF"/>
        <rFont val="Arial"/>
        <family val="0"/>
        <charset val="1"/>
      </rPr>
      <t xml:space="preserve">08  </t>
    </r>
    <r>
      <rPr>
        <b val="true"/>
        <sz val="11"/>
        <color rgb="FFFFFFFF"/>
        <rFont val="Noto Sans CJK SC"/>
        <family val="2"/>
      </rPr>
      <t xml:space="preserve">三表勾稽校验（全部为活公式，改任一数据即时报警）</t>
    </r>
  </si>
  <si>
    <r>
      <rPr>
        <sz val="9"/>
        <color rgb="FF3D3D3D"/>
        <rFont val="Noto Sans CJK SC"/>
        <family val="2"/>
      </rPr>
      <t xml:space="preserve">三表不是三张独立的表，而是同一套账的三个切面。下面五条勾稽关系把它们锁在一起。★ 与纯粹的季度模型不同，</t>
    </r>
    <r>
      <rPr>
        <sz val="9"/>
        <color rgb="FF3D3D3D"/>
        <rFont val="Arial"/>
        <family val="0"/>
        <charset val="1"/>
      </rPr>
      <t xml:space="preserve">MU </t>
    </r>
    <r>
      <rPr>
        <sz val="9"/>
        <color rgb="FF3D3D3D"/>
        <rFont val="Noto Sans CJK SC"/>
        <family val="2"/>
      </rPr>
      <t xml:space="preserve">的现金流量表按九个月累计披露，且现金口径含受限现金，所以第 ② 条与第 ⑤ 条设了 </t>
    </r>
    <r>
      <rPr>
        <sz val="9"/>
        <color rgb="FF3D3D3D"/>
        <rFont val="Arial"/>
        <family val="0"/>
        <charset val="1"/>
      </rPr>
      <t xml:space="preserve">$100M </t>
    </r>
    <r>
      <rPr>
        <sz val="9"/>
        <color rgb="FF3D3D3D"/>
        <rFont val="Noto Sans CJK SC"/>
        <family val="2"/>
      </rPr>
      <t xml:space="preserve">的容差，容差内的差额已在「含义」列注明来源。</t>
    </r>
  </si>
  <si>
    <t xml:space="preserve">勾稽关系</t>
  </si>
  <si>
    <t xml:space="preserve">公式</t>
  </si>
  <si>
    <r>
      <rPr>
        <b val="true"/>
        <sz val="9"/>
        <color rgb="FF16305B"/>
        <rFont val="Arial"/>
        <family val="0"/>
        <charset val="1"/>
      </rPr>
      <t xml:space="preserve">Q2</t>
    </r>
    <r>
      <rPr>
        <b val="true"/>
        <sz val="9"/>
        <color rgb="FF16305B"/>
        <rFont val="Noto Sans CJK SC"/>
        <family val="2"/>
      </rPr>
      <t xml:space="preserve">末</t>
    </r>
  </si>
  <si>
    <r>
      <rPr>
        <b val="true"/>
        <sz val="9"/>
        <color rgb="FF16305B"/>
        <rFont val="Arial"/>
        <family val="0"/>
        <charset val="1"/>
      </rPr>
      <t xml:space="preserve">Q3</t>
    </r>
    <r>
      <rPr>
        <b val="true"/>
        <sz val="9"/>
        <color rgb="FF16305B"/>
        <rFont val="Noto Sans CJK SC"/>
        <family val="2"/>
      </rPr>
      <t xml:space="preserve">末</t>
    </r>
  </si>
  <si>
    <t xml:space="preserve">九个月</t>
  </si>
  <si>
    <t xml:space="preserve">判定</t>
  </si>
  <si>
    <t xml:space="preserve">含义</t>
  </si>
  <si>
    <t xml:space="preserve">① 利润表 → 现金流量表</t>
  </si>
  <si>
    <r>
      <rPr>
        <sz val="8"/>
        <color rgb="FF404040"/>
        <rFont val="Noto Sans CJK SC"/>
        <family val="2"/>
      </rPr>
      <t xml:space="preserve">现金流量表净利润 − 利润表 </t>
    </r>
    <r>
      <rPr>
        <sz val="8"/>
        <color rgb="FF404040"/>
        <rFont val="Arial"/>
        <family val="0"/>
        <charset val="1"/>
      </rPr>
      <t xml:space="preserve">Q1+Q2+Q3 </t>
    </r>
    <r>
      <rPr>
        <sz val="8"/>
        <color rgb="FF404040"/>
        <rFont val="Noto Sans CJK SC"/>
        <family val="2"/>
      </rPr>
      <t xml:space="preserve">净利润</t>
    </r>
  </si>
  <si>
    <t xml:space="preserve">n/a</t>
  </si>
  <si>
    <r>
      <rPr>
        <sz val="8"/>
        <color rgb="FF404040"/>
        <rFont val="Noto Sans CJK SC"/>
        <family val="2"/>
      </rPr>
      <t xml:space="preserve">现金流量表以净利润为起点。★ </t>
    </r>
    <r>
      <rPr>
        <sz val="8"/>
        <color rgb="FF404040"/>
        <rFont val="Arial"/>
        <family val="0"/>
        <charset val="1"/>
      </rPr>
      <t xml:space="preserve">MU </t>
    </r>
    <r>
      <rPr>
        <sz val="8"/>
        <color rgb="FF404040"/>
        <rFont val="Noto Sans CJK SC"/>
        <family val="2"/>
      </rPr>
      <t xml:space="preserve">的现金流量表按九个月累计披露，所以这里比对的是 </t>
    </r>
    <r>
      <rPr>
        <sz val="8"/>
        <color rgb="FF404040"/>
        <rFont val="Arial"/>
        <family val="0"/>
        <charset val="1"/>
      </rPr>
      <t xml:space="preserve">Q1+Q2+Q3 </t>
    </r>
    <r>
      <rPr>
        <sz val="8"/>
        <color rgb="FF404040"/>
        <rFont val="Noto Sans CJK SC"/>
        <family val="2"/>
      </rPr>
      <t xml:space="preserve">合计 </t>
    </r>
    <r>
      <rPr>
        <sz val="8"/>
        <color rgb="FF404040"/>
        <rFont val="Arial"/>
        <family val="0"/>
        <charset val="1"/>
      </rPr>
      <t xml:space="preserve">$472.68 </t>
    </r>
    <r>
      <rPr>
        <sz val="8"/>
        <color rgb="FF404040"/>
        <rFont val="Noto Sans CJK SC"/>
        <family val="2"/>
      </rPr>
      <t xml:space="preserve">亿，而不是含 </t>
    </r>
    <r>
      <rPr>
        <sz val="8"/>
        <color rgb="FF404040"/>
        <rFont val="Arial"/>
        <family val="0"/>
        <charset val="1"/>
      </rPr>
      <t xml:space="preserve">Q4 </t>
    </r>
    <r>
      <rPr>
        <sz val="8"/>
        <color rgb="FF404040"/>
        <rFont val="Noto Sans CJK SC"/>
        <family val="2"/>
      </rPr>
      <t xml:space="preserve">指引的 </t>
    </r>
    <r>
      <rPr>
        <sz val="8"/>
        <color rgb="FF404040"/>
        <rFont val="Arial"/>
        <family val="0"/>
        <charset val="1"/>
      </rPr>
      <t xml:space="preserve">FY2026E</t>
    </r>
  </si>
  <si>
    <t xml:space="preserve">② 现金流量表 → 资产负债表</t>
  </si>
  <si>
    <t xml:space="preserve">现金流量表现金 − 资产负债表货币资金</t>
  </si>
  <si>
    <r>
      <rPr>
        <sz val="8"/>
        <color rgb="FF404040"/>
        <rFont val="Noto Sans CJK SC"/>
        <family val="2"/>
      </rPr>
      <t xml:space="preserve">差额为受限现金（</t>
    </r>
    <r>
      <rPr>
        <sz val="8"/>
        <color rgb="FF404040"/>
        <rFont val="Arial"/>
        <family val="0"/>
        <charset val="1"/>
      </rPr>
      <t xml:space="preserve">FY25</t>
    </r>
    <r>
      <rPr>
        <sz val="8"/>
        <color rgb="FF404040"/>
        <rFont val="Noto Sans CJK SC"/>
        <family val="2"/>
      </rPr>
      <t xml:space="preserve">末 </t>
    </r>
    <r>
      <rPr>
        <sz val="8"/>
        <color rgb="FF404040"/>
        <rFont val="Arial"/>
        <family val="0"/>
        <charset val="1"/>
      </rPr>
      <t xml:space="preserve">$4M</t>
    </r>
    <r>
      <rPr>
        <sz val="8"/>
        <color rgb="FF404040"/>
        <rFont val="Noto Sans CJK SC"/>
        <family val="2"/>
      </rPr>
      <t xml:space="preserve">、</t>
    </r>
    <r>
      <rPr>
        <sz val="8"/>
        <color rgb="FF404040"/>
        <rFont val="Arial"/>
        <family val="0"/>
        <charset val="1"/>
      </rPr>
      <t xml:space="preserve">Q3</t>
    </r>
    <r>
      <rPr>
        <sz val="8"/>
        <color rgb="FF404040"/>
        <rFont val="Noto Sans CJK SC"/>
        <family val="2"/>
      </rPr>
      <t xml:space="preserve">末 </t>
    </r>
    <r>
      <rPr>
        <sz val="8"/>
        <color rgb="FF404040"/>
        <rFont val="Arial"/>
        <family val="0"/>
        <charset val="1"/>
      </rPr>
      <t xml:space="preserve">$27M</t>
    </r>
    <r>
      <rPr>
        <sz val="8"/>
        <color rgb="FF404040"/>
        <rFont val="Noto Sans CJK SC"/>
        <family val="2"/>
      </rPr>
      <t xml:space="preserve">）——公司现金流量表口径含受限现金，资产负债表未单独列示</t>
    </r>
  </si>
  <si>
    <t xml:space="preserve">③ 资产负债表恒等</t>
  </si>
  <si>
    <r>
      <rPr>
        <sz val="8"/>
        <color rgb="FF404040"/>
        <rFont val="Noto Sans CJK SC"/>
        <family val="2"/>
      </rPr>
      <t xml:space="preserve">资产总计 − </t>
    </r>
    <r>
      <rPr>
        <sz val="8"/>
        <color rgb="FF404040"/>
        <rFont val="Arial"/>
        <family val="0"/>
        <charset val="1"/>
      </rPr>
      <t xml:space="preserve">(</t>
    </r>
    <r>
      <rPr>
        <sz val="8"/>
        <color rgb="FF404040"/>
        <rFont val="Noto Sans CJK SC"/>
        <family val="2"/>
      </rPr>
      <t xml:space="preserve">负债合计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权益合计</t>
    </r>
    <r>
      <rPr>
        <sz val="8"/>
        <color rgb="FF404040"/>
        <rFont val="Arial"/>
        <family val="0"/>
        <charset val="1"/>
      </rPr>
      <t xml:space="preserve">)</t>
    </r>
  </si>
  <si>
    <r>
      <rPr>
        <sz val="8"/>
        <color rgb="FF404040"/>
        <rFont val="Noto Sans CJK SC"/>
        <family val="2"/>
      </rPr>
      <t xml:space="preserve">会计恒等式，任何时点都必须为 </t>
    </r>
    <r>
      <rPr>
        <sz val="8"/>
        <color rgb="FF404040"/>
        <rFont val="Arial"/>
        <family val="0"/>
        <charset val="1"/>
      </rPr>
      <t xml:space="preserve">0</t>
    </r>
  </si>
  <si>
    <t xml:space="preserve">④ 三大活动 → 现金净变动</t>
  </si>
  <si>
    <r>
      <rPr>
        <sz val="8"/>
        <color rgb="FF404040"/>
        <rFont val="Noto Sans CJK SC"/>
        <family val="2"/>
      </rPr>
      <t xml:space="preserve">经营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投资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筹资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汇率 − 现金净变动</t>
    </r>
  </si>
  <si>
    <t xml:space="preserve">现金流量表内部自洽</t>
  </si>
  <si>
    <t xml:space="preserve">⑤ 股东权益滚动</t>
  </si>
  <si>
    <r>
      <rPr>
        <sz val="8"/>
        <color rgb="FF404040"/>
        <rFont val="Noto Sans CJK SC"/>
        <family val="2"/>
      </rPr>
      <t xml:space="preserve">期末权益 − 期初权益 − 净利润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股息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回购 − 权益科目变动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代扣税</t>
    </r>
  </si>
  <si>
    <r>
      <rPr>
        <sz val="8"/>
        <color rgb="FF404040"/>
        <rFont val="Noto Sans CJK SC"/>
        <family val="2"/>
      </rPr>
      <t xml:space="preserve">★ 权益变动必须能被净利润、股息、回购、股权激励完整解释。剩余差额约 </t>
    </r>
    <r>
      <rPr>
        <sz val="8"/>
        <color rgb="FF404040"/>
        <rFont val="Arial"/>
        <family val="0"/>
        <charset val="1"/>
      </rPr>
      <t xml:space="preserve">$30M</t>
    </r>
    <r>
      <rPr>
        <sz val="8"/>
        <color rgb="FF404040"/>
        <rFont val="Noto Sans CJK SC"/>
        <family val="2"/>
      </rPr>
      <t xml:space="preserve">（占九个月净利润的 </t>
    </r>
    <r>
      <rPr>
        <sz val="8"/>
        <color rgb="FF404040"/>
        <rFont val="Arial"/>
        <family val="0"/>
        <charset val="1"/>
      </rPr>
      <t xml:space="preserve">0.06%</t>
    </r>
    <r>
      <rPr>
        <sz val="8"/>
        <color rgb="FF404040"/>
        <rFont val="Noto Sans CJK SC"/>
        <family val="2"/>
      </rPr>
      <t xml:space="preserve">），来自时点与列示差异</t>
    </r>
  </si>
  <si>
    <r>
      <rPr>
        <sz val="9"/>
        <color rgb="FF3D3D3D"/>
        <rFont val="Noto Sans CJK SC"/>
        <family val="2"/>
      </rPr>
      <t xml:space="preserve">图表说明｜图 </t>
    </r>
    <r>
      <rPr>
        <sz val="9"/>
        <color rgb="FF3D3D3D"/>
        <rFont val="Arial"/>
        <family val="0"/>
        <charset val="1"/>
      </rPr>
      <t xml:space="preserve">1</t>
    </r>
    <r>
      <rPr>
        <sz val="9"/>
        <color rgb="FF3D3D3D"/>
        <rFont val="Noto Sans CJK SC"/>
        <family val="2"/>
      </rPr>
      <t xml:space="preserve">：收入柱与成本柱的张口就是这轮周期的全部故事——营业成本从 </t>
    </r>
    <r>
      <rPr>
        <sz val="9"/>
        <color rgb="FF3D3D3D"/>
        <rFont val="Arial"/>
        <family val="0"/>
        <charset val="1"/>
      </rPr>
      <t xml:space="preserve">$59.97 </t>
    </r>
    <r>
      <rPr>
        <sz val="9"/>
        <color rgb="FF3D3D3D"/>
        <rFont val="Noto Sans CJK SC"/>
        <family val="2"/>
      </rPr>
      <t xml:space="preserve">亿只升到约 </t>
    </r>
    <r>
      <rPr>
        <sz val="9"/>
        <color rgb="FF3D3D3D"/>
        <rFont val="Arial"/>
        <family val="0"/>
        <charset val="1"/>
      </rPr>
      <t xml:space="preserve">$70 </t>
    </r>
    <r>
      <rPr>
        <sz val="9"/>
        <color rgb="FF3D3D3D"/>
        <rFont val="Noto Sans CJK SC"/>
        <family val="2"/>
      </rPr>
      <t xml:space="preserve">亿，收入却从 </t>
    </r>
    <r>
      <rPr>
        <sz val="9"/>
        <color rgb="FF3D3D3D"/>
        <rFont val="Arial"/>
        <family val="0"/>
        <charset val="1"/>
      </rPr>
      <t xml:space="preserve">$136 </t>
    </r>
    <r>
      <rPr>
        <sz val="9"/>
        <color rgb="FF3D3D3D"/>
        <rFont val="Noto Sans CJK SC"/>
        <family val="2"/>
      </rPr>
      <t xml:space="preserve">亿涨到 </t>
    </r>
    <r>
      <rPr>
        <sz val="9"/>
        <color rgb="FF3D3D3D"/>
        <rFont val="Arial"/>
        <family val="0"/>
        <charset val="1"/>
      </rPr>
      <t xml:space="preserve">$500 </t>
    </r>
    <r>
      <rPr>
        <sz val="9"/>
        <color rgb="FF3D3D3D"/>
        <rFont val="Noto Sans CJK SC"/>
        <family val="2"/>
      </rPr>
      <t xml:space="preserve">亿。｜图 </t>
    </r>
    <r>
      <rPr>
        <sz val="9"/>
        <color rgb="FF3D3D3D"/>
        <rFont val="Arial"/>
        <family val="0"/>
        <charset val="1"/>
      </rPr>
      <t xml:space="preserve">2</t>
    </r>
    <r>
      <rPr>
        <sz val="9"/>
        <color rgb="FF3D3D3D"/>
        <rFont val="Noto Sans CJK SC"/>
        <family val="2"/>
      </rPr>
      <t xml:space="preserve">：三条利润率曲线同时抬升，说明增量收入几乎全部落到利润上。｜图 </t>
    </r>
    <r>
      <rPr>
        <sz val="9"/>
        <color rgb="FF3D3D3D"/>
        <rFont val="Arial"/>
        <family val="0"/>
        <charset val="1"/>
      </rPr>
      <t xml:space="preserve">3</t>
    </r>
    <r>
      <rPr>
        <sz val="9"/>
        <color rgb="FF3D3D3D"/>
        <rFont val="Noto Sans CJK SC"/>
        <family val="2"/>
      </rPr>
      <t xml:space="preserve">：四大业务单元的相对高度，云内存 </t>
    </r>
    <r>
      <rPr>
        <sz val="9"/>
        <color rgb="FF3D3D3D"/>
        <rFont val="Arial"/>
        <family val="0"/>
        <charset val="1"/>
      </rPr>
      <t xml:space="preserve">+ </t>
    </r>
    <r>
      <rPr>
        <sz val="9"/>
        <color rgb="FF3D3D3D"/>
        <rFont val="Noto Sans CJK SC"/>
        <family val="2"/>
      </rPr>
      <t xml:space="preserve">核心数据中心两块是利润发动机。｜图 </t>
    </r>
    <r>
      <rPr>
        <sz val="9"/>
        <color rgb="FF3D3D3D"/>
        <rFont val="Arial"/>
        <family val="0"/>
        <charset val="1"/>
      </rPr>
      <t xml:space="preserve">4</t>
    </r>
    <r>
      <rPr>
        <sz val="9"/>
        <color rgb="FF3D3D3D"/>
        <rFont val="Noto Sans CJK SC"/>
        <family val="2"/>
      </rPr>
      <t xml:space="preserve">：红柱（资本开支）是 </t>
    </r>
    <r>
      <rPr>
        <sz val="9"/>
        <color rgb="FF3D3D3D"/>
        <rFont val="Arial"/>
        <family val="0"/>
        <charset val="1"/>
      </rPr>
      <t xml:space="preserve">MU </t>
    </r>
    <r>
      <rPr>
        <sz val="9"/>
        <color rgb="FF3D3D3D"/>
        <rFont val="Noto Sans CJK SC"/>
        <family val="2"/>
      </rPr>
      <t xml:space="preserve">与轻资产模式最直观的差别——它在收入下行时不会同步缩小。｜图 </t>
    </r>
    <r>
      <rPr>
        <sz val="9"/>
        <color rgb="FF3D3D3D"/>
        <rFont val="Arial"/>
        <family val="0"/>
        <charset val="1"/>
      </rPr>
      <t xml:space="preserve">5</t>
    </r>
    <r>
      <rPr>
        <sz val="9"/>
        <color rgb="FF3D3D3D"/>
        <rFont val="Noto Sans CJK SC"/>
        <family val="2"/>
      </rPr>
      <t xml:space="preserve">：每股收益的形状。注意 </t>
    </r>
    <r>
      <rPr>
        <sz val="9"/>
        <color rgb="FF3D3D3D"/>
        <rFont val="Arial"/>
        <family val="0"/>
        <charset val="1"/>
      </rPr>
      <t xml:space="preserve">FY26 Q4 </t>
    </r>
    <r>
      <rPr>
        <sz val="9"/>
        <color rgb="FF3D3D3D"/>
        <rFont val="Noto Sans CJK SC"/>
        <family val="2"/>
      </rPr>
      <t xml:space="preserve">为指引值，尚未实际披露。</t>
    </r>
  </si>
  <si>
    <r>
      <rPr>
        <b val="true"/>
        <sz val="16"/>
        <color rgb="FFFFFFFF"/>
        <rFont val="Arial"/>
        <family val="0"/>
        <charset val="1"/>
      </rPr>
      <t xml:space="preserve">BEAR · MU </t>
    </r>
    <r>
      <rPr>
        <b val="true"/>
        <sz val="16"/>
        <color rgb="FFFFFFFF"/>
        <rFont val="Noto Sans CJK SC"/>
        <family val="2"/>
      </rPr>
      <t xml:space="preserve">现金流折现模型 —— 悲观情形</t>
    </r>
  </si>
  <si>
    <r>
      <rPr>
        <i val="true"/>
        <sz val="9"/>
        <color rgb="FF7A7A7A"/>
        <rFont val="Arial"/>
        <family val="0"/>
        <charset val="1"/>
      </rPr>
      <t xml:space="preserve">FY2027 </t>
    </r>
    <r>
      <rPr>
        <i val="true"/>
        <sz val="9"/>
        <color rgb="FF7A7A7A"/>
        <rFont val="Noto Sans CJK SC"/>
        <family val="2"/>
      </rPr>
      <t xml:space="preserve">分四个季度 → </t>
    </r>
    <r>
      <rPr>
        <i val="true"/>
        <sz val="9"/>
        <color rgb="FF7A7A7A"/>
        <rFont val="Arial"/>
        <family val="0"/>
        <charset val="1"/>
      </rPr>
      <t xml:space="preserve">FY2028–FY2032 </t>
    </r>
    <r>
      <rPr>
        <i val="true"/>
        <sz val="9"/>
        <color rgb="FF7A7A7A"/>
        <rFont val="Noto Sans CJK SC"/>
        <family val="2"/>
      </rPr>
      <t xml:space="preserve">按年 → 永续  </t>
    </r>
    <r>
      <rPr>
        <i val="true"/>
        <sz val="9"/>
        <color rgb="FF7A7A7A"/>
        <rFont val="Arial"/>
        <family val="0"/>
        <charset val="1"/>
      </rPr>
      <t xml:space="preserve">|  </t>
    </r>
    <r>
      <rPr>
        <i val="true"/>
        <sz val="9"/>
        <color rgb="FF7A7A7A"/>
        <rFont val="Noto Sans CJK SC"/>
        <family val="2"/>
      </rPr>
      <t xml:space="preserve">自由现金流口径：</t>
    </r>
    <r>
      <rPr>
        <i val="true"/>
        <sz val="9"/>
        <color rgb="FF7A7A7A"/>
        <rFont val="Arial"/>
        <family val="0"/>
        <charset val="1"/>
      </rPr>
      <t xml:space="preserve">FCFF</t>
    </r>
    <r>
      <rPr>
        <i val="true"/>
        <sz val="9"/>
        <color rgb="FF7A7A7A"/>
        <rFont val="Noto Sans CJK SC"/>
        <family val="2"/>
      </rPr>
      <t xml:space="preserve">（资本开支扣除 </t>
    </r>
    <r>
      <rPr>
        <i val="true"/>
        <sz val="9"/>
        <color rgb="FF7A7A7A"/>
        <rFont val="Arial"/>
        <family val="0"/>
        <charset val="1"/>
      </rPr>
      <t xml:space="preserve">CHIPS </t>
    </r>
    <r>
      <rPr>
        <i val="true"/>
        <sz val="9"/>
        <color rgb="FF7A7A7A"/>
        <rFont val="Noto Sans CJK SC"/>
        <family val="2"/>
      </rPr>
      <t xml:space="preserve">补贴后）  </t>
    </r>
    <r>
      <rPr>
        <i val="true"/>
        <sz val="9"/>
        <color rgb="FF7A7A7A"/>
        <rFont val="Arial"/>
        <family val="0"/>
        <charset val="1"/>
      </rPr>
      <t xml:space="preserve">|  ▼ </t>
    </r>
    <r>
      <rPr>
        <i val="true"/>
        <sz val="9"/>
        <color rgb="FF7A7A7A"/>
        <rFont val="Noto Sans CJK SC"/>
        <family val="2"/>
      </rPr>
      <t xml:space="preserve">全部参数由本表底部的参数控制台滑标驱动</t>
    </r>
  </si>
  <si>
    <r>
      <rPr>
        <b val="true"/>
        <sz val="11"/>
        <color rgb="FFFFFFFF"/>
        <rFont val="Arial"/>
        <family val="0"/>
        <charset val="1"/>
      </rPr>
      <t xml:space="preserve">00  </t>
    </r>
    <r>
      <rPr>
        <b val="true"/>
        <sz val="11"/>
        <color rgb="FFFFFFFF"/>
        <rFont val="Noto Sans CJK SC"/>
        <family val="2"/>
      </rPr>
      <t xml:space="preserve">本情形的论点：这套数字建立在什么判断之上</t>
    </r>
  </si>
  <si>
    <r>
      <rPr>
        <sz val="9"/>
        <color rgb="FF3D3D3D"/>
        <rFont val="Noto Sans CJK SC"/>
        <family val="2"/>
      </rPr>
      <t xml:space="preserve">承接《缺口的算术》：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在 </t>
    </r>
    <r>
      <rPr>
        <sz val="9"/>
        <color rgb="FF3D3D3D"/>
        <rFont val="Arial"/>
        <family val="0"/>
        <charset val="1"/>
      </rPr>
      <t xml:space="preserve">2027 </t>
    </r>
    <r>
      <rPr>
        <sz val="9"/>
        <color rgb="FF3D3D3D"/>
        <rFont val="Noto Sans CJK SC"/>
        <family val="2"/>
      </rPr>
      <t xml:space="preserve">年先转过剩，</t>
    </r>
    <r>
      <rPr>
        <sz val="9"/>
        <color rgb="FF3D3D3D"/>
        <rFont val="Arial"/>
        <family val="0"/>
        <charset val="1"/>
      </rPr>
      <t xml:space="preserve">DRAM </t>
    </r>
    <r>
      <rPr>
        <sz val="9"/>
        <color rgb="FF3D3D3D"/>
        <rFont val="Noto Sans CJK SC"/>
        <family val="2"/>
      </rPr>
      <t xml:space="preserve">随后跟上。</t>
    </r>
    <r>
      <rPr>
        <sz val="9"/>
        <color rgb="FF3D3D3D"/>
        <rFont val="Arial"/>
        <family val="0"/>
        <charset val="1"/>
      </rPr>
      <t xml:space="preserve">SCA </t>
    </r>
    <r>
      <rPr>
        <sz val="9"/>
        <color rgb="FF3D3D3D"/>
        <rFont val="Noto Sans CJK SC"/>
        <family val="2"/>
      </rPr>
      <t xml:space="preserve">虽锁定约 </t>
    </r>
    <r>
      <rPr>
        <sz val="9"/>
        <color rgb="FF3D3D3D"/>
        <rFont val="Arial"/>
        <family val="0"/>
        <charset val="1"/>
      </rPr>
      <t xml:space="preserve">20% </t>
    </r>
    <r>
      <rPr>
        <sz val="9"/>
        <color rgb="FF3D3D3D"/>
        <rFont val="Noto Sans CJK SC"/>
        <family val="2"/>
      </rPr>
      <t xml:space="preserve">的 </t>
    </r>
    <r>
      <rPr>
        <sz val="9"/>
        <color rgb="FF3D3D3D"/>
        <rFont val="Arial"/>
        <family val="0"/>
        <charset val="1"/>
      </rPr>
      <t xml:space="preserve">DRAM </t>
    </r>
    <r>
      <rPr>
        <sz val="9"/>
        <color rgb="FF3D3D3D"/>
        <rFont val="Noto Sans CJK SC"/>
        <family val="2"/>
      </rPr>
      <t xml:space="preserve">量与三分之一的 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量，但意味着还有约 </t>
    </r>
    <r>
      <rPr>
        <sz val="9"/>
        <color rgb="FF3D3D3D"/>
        <rFont val="Arial"/>
        <family val="0"/>
        <charset val="1"/>
      </rPr>
      <t xml:space="preserve">80% </t>
    </r>
    <r>
      <rPr>
        <sz val="9"/>
        <color rgb="FF3D3D3D"/>
        <rFont val="Noto Sans CJK SC"/>
        <family val="2"/>
      </rPr>
      <t xml:space="preserve">的 </t>
    </r>
    <r>
      <rPr>
        <sz val="9"/>
        <color rgb="FF3D3D3D"/>
        <rFont val="Arial"/>
        <family val="0"/>
        <charset val="1"/>
      </rPr>
      <t xml:space="preserve">DRAM </t>
    </r>
    <r>
      <rPr>
        <sz val="9"/>
        <color rgb="FF3D3D3D"/>
        <rFont val="Noto Sans CJK SC"/>
        <family val="2"/>
      </rPr>
      <t xml:space="preserve">敞口在合约价重定价时无保护。本情形假设合约价在 </t>
    </r>
    <r>
      <rPr>
        <sz val="9"/>
        <color rgb="FF3D3D3D"/>
        <rFont val="Arial"/>
        <family val="0"/>
        <charset val="1"/>
      </rPr>
      <t xml:space="preserve">FY27 </t>
    </r>
    <r>
      <rPr>
        <sz val="9"/>
        <color rgb="FF3D3D3D"/>
        <rFont val="Noto Sans CJK SC"/>
        <family val="2"/>
      </rPr>
      <t xml:space="preserve">下半年见顶回落，</t>
    </r>
    <r>
      <rPr>
        <sz val="9"/>
        <color rgb="FF3D3D3D"/>
        <rFont val="Arial"/>
        <family val="0"/>
        <charset val="1"/>
      </rPr>
      <t xml:space="preserve">FY28 </t>
    </r>
    <r>
      <rPr>
        <sz val="9"/>
        <color rgb="FF3D3D3D"/>
        <rFont val="Noto Sans CJK SC"/>
        <family val="2"/>
      </rPr>
      <t xml:space="preserve">出现典型的存储下行周期——而 </t>
    </r>
    <r>
      <rPr>
        <sz val="9"/>
        <color rgb="FF3D3D3D"/>
        <rFont val="Arial"/>
        <family val="0"/>
        <charset val="1"/>
      </rPr>
      <t xml:space="preserve">MU </t>
    </r>
    <r>
      <rPr>
        <sz val="9"/>
        <color rgb="FF3D3D3D"/>
        <rFont val="Noto Sans CJK SC"/>
        <family val="2"/>
      </rPr>
      <t xml:space="preserve">的固定成本（</t>
    </r>
    <r>
      <rPr>
        <sz val="9"/>
        <color rgb="FF3D3D3D"/>
        <rFont val="Arial"/>
        <family val="0"/>
        <charset val="1"/>
      </rPr>
      <t xml:space="preserve">FY26 </t>
    </r>
    <r>
      <rPr>
        <sz val="9"/>
        <color rgb="FF3D3D3D"/>
        <rFont val="Noto Sans CJK SC"/>
        <family val="2"/>
      </rPr>
      <t xml:space="preserve">资本开支约 </t>
    </r>
    <r>
      <rPr>
        <sz val="9"/>
        <color rgb="FF3D3D3D"/>
        <rFont val="Arial"/>
        <family val="0"/>
        <charset val="1"/>
      </rPr>
      <t xml:space="preserve">$270 </t>
    </r>
    <r>
      <rPr>
        <sz val="9"/>
        <color rgb="FF3D3D3D"/>
        <rFont val="Noto Sans CJK SC"/>
        <family val="2"/>
      </rPr>
      <t xml:space="preserve">亿、折旧摊销约 </t>
    </r>
    <r>
      <rPr>
        <sz val="9"/>
        <color rgb="FF3D3D3D"/>
        <rFont val="Arial"/>
        <family val="0"/>
        <charset val="1"/>
      </rPr>
      <t xml:space="preserve">$94 </t>
    </r>
    <r>
      <rPr>
        <sz val="9"/>
        <color rgb="FF3D3D3D"/>
        <rFont val="Noto Sans CJK SC"/>
        <family val="2"/>
      </rPr>
      <t xml:space="preserve">亿）在下行年不会同步缩减。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</si>
  <si>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1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FY27 </t>
    </r>
    <r>
      <rPr>
        <sz val="9"/>
        <color rgb="FF303030"/>
        <rFont val="Noto Sans CJK SC"/>
        <family val="2"/>
      </rPr>
      <t xml:space="preserve">下半年 </t>
    </r>
    <r>
      <rPr>
        <sz val="9"/>
        <color rgb="FF303030"/>
        <rFont val="Arial"/>
        <family val="0"/>
        <charset val="1"/>
      </rPr>
      <t xml:space="preserve">DRAM </t>
    </r>
    <r>
      <rPr>
        <sz val="9"/>
        <color rgb="FF303030"/>
        <rFont val="Noto Sans CJK SC"/>
        <family val="2"/>
      </rPr>
      <t xml:space="preserve">合约价环比转负，</t>
    </r>
    <r>
      <rPr>
        <sz val="9"/>
        <color rgb="FF303030"/>
        <rFont val="Arial"/>
        <family val="0"/>
        <charset val="1"/>
      </rPr>
      <t xml:space="preserve">Q4 </t>
    </r>
    <r>
      <rPr>
        <sz val="9"/>
        <color rgb="FF303030"/>
        <rFont val="Noto Sans CJK SC"/>
        <family val="2"/>
      </rPr>
      <t xml:space="preserve">收入回到 </t>
    </r>
    <r>
      <rPr>
        <sz val="9"/>
        <color rgb="FF303030"/>
        <rFont val="Arial"/>
        <family val="0"/>
        <charset val="1"/>
      </rPr>
      <t xml:space="preserve">$330 </t>
    </r>
    <r>
      <rPr>
        <sz val="9"/>
        <color rgb="FF303030"/>
        <rFont val="Noto Sans CJK SC"/>
        <family val="2"/>
      </rPr>
      <t xml:space="preserve">亿（约为 </t>
    </r>
    <r>
      <rPr>
        <sz val="9"/>
        <color rgb="FF303030"/>
        <rFont val="Arial"/>
        <family val="0"/>
        <charset val="1"/>
      </rPr>
      <t xml:space="preserve">FY26 Q4 </t>
    </r>
    <r>
      <rPr>
        <sz val="9"/>
        <color rgb="FF303030"/>
        <rFont val="Noto Sans CJK SC"/>
        <family val="2"/>
      </rPr>
      <t xml:space="preserve">指引的 </t>
    </r>
    <r>
      <rPr>
        <sz val="9"/>
        <color rgb="FF303030"/>
        <rFont val="Arial"/>
        <family val="0"/>
        <charset val="1"/>
      </rPr>
      <t xml:space="preserve">66%</t>
    </r>
    <r>
      <rPr>
        <sz val="9"/>
        <color rgb="FF303030"/>
        <rFont val="Noto Sans CJK SC"/>
        <family val="2"/>
      </rPr>
      <t xml:space="preserve">）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</si>
  <si>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2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FY28 </t>
    </r>
    <r>
      <rPr>
        <sz val="9"/>
        <color rgb="FF303030"/>
        <rFont val="Noto Sans CJK SC"/>
        <family val="2"/>
      </rPr>
      <t xml:space="preserve">收入 −</t>
    </r>
    <r>
      <rPr>
        <sz val="9"/>
        <color rgb="FF303030"/>
        <rFont val="Arial"/>
        <family val="0"/>
        <charset val="1"/>
      </rPr>
      <t xml:space="preserve">35%</t>
    </r>
    <r>
      <rPr>
        <sz val="9"/>
        <color rgb="FF303030"/>
        <rFont val="Noto Sans CJK SC"/>
        <family val="2"/>
      </rPr>
      <t xml:space="preserve">、毛利率回到 </t>
    </r>
    <r>
      <rPr>
        <sz val="9"/>
        <color rgb="FF303030"/>
        <rFont val="Arial"/>
        <family val="0"/>
        <charset val="1"/>
      </rPr>
      <t xml:space="preserve">38%——</t>
    </r>
    <r>
      <rPr>
        <sz val="9"/>
        <color rgb="FF303030"/>
        <rFont val="Noto Sans CJK SC"/>
        <family val="2"/>
      </rPr>
      <t xml:space="preserve">接近 </t>
    </r>
    <r>
      <rPr>
        <sz val="9"/>
        <color rgb="FF303030"/>
        <rFont val="Arial"/>
        <family val="0"/>
        <charset val="1"/>
      </rPr>
      <t xml:space="preserve">MU FY2025 </t>
    </r>
    <r>
      <rPr>
        <sz val="9"/>
        <color rgb="FF303030"/>
        <rFont val="Noto Sans CJK SC"/>
        <family val="2"/>
      </rPr>
      <t xml:space="preserve">的 </t>
    </r>
    <r>
      <rPr>
        <sz val="9"/>
        <color rgb="FF303030"/>
        <rFont val="Arial"/>
        <family val="0"/>
        <charset val="1"/>
      </rPr>
      <t xml:space="preserve">40.2%</t>
    </r>
    <r>
      <rPr>
        <sz val="9"/>
        <color rgb="FF303030"/>
        <rFont val="Noto Sans CJK SC"/>
        <family val="2"/>
      </rPr>
      <t xml:space="preserve">，即「超级周期之前的正常年份」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</si>
  <si>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3</t>
    </r>
    <r>
      <rPr>
        <sz val="9"/>
        <color rgb="FF303030"/>
        <rFont val="Noto Sans CJK SC"/>
        <family val="2"/>
      </rPr>
      <t xml:space="preserve">．★ 资本开支的刚性是 </t>
    </r>
    <r>
      <rPr>
        <sz val="9"/>
        <color rgb="FF303030"/>
        <rFont val="Arial"/>
        <family val="0"/>
        <charset val="1"/>
      </rPr>
      <t xml:space="preserve">MU </t>
    </r>
    <r>
      <rPr>
        <sz val="9"/>
        <color rgb="FF303030"/>
        <rFont val="Noto Sans CJK SC"/>
        <family val="2"/>
      </rPr>
      <t xml:space="preserve">与 </t>
    </r>
    <r>
      <rPr>
        <sz val="9"/>
        <color rgb="FF303030"/>
        <rFont val="Arial"/>
        <family val="0"/>
        <charset val="1"/>
      </rPr>
      <t xml:space="preserve">SNDK </t>
    </r>
    <r>
      <rPr>
        <sz val="9"/>
        <color rgb="FF303030"/>
        <rFont val="Noto Sans CJK SC"/>
        <family val="2"/>
      </rPr>
      <t xml:space="preserve">最大的不同：收入腰斩时资本开支率会被动飙到 </t>
    </r>
    <r>
      <rPr>
        <sz val="9"/>
        <color rgb="FF303030"/>
        <rFont val="Arial"/>
        <family val="0"/>
        <charset val="1"/>
      </rPr>
      <t xml:space="preserve">23% </t>
    </r>
    <r>
      <rPr>
        <sz val="9"/>
        <color rgb="FF303030"/>
        <rFont val="Noto Sans CJK SC"/>
        <family val="2"/>
      </rPr>
      <t xml:space="preserve">以上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</si>
  <si>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4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WACC </t>
    </r>
    <r>
      <rPr>
        <sz val="9"/>
        <color rgb="FF303030"/>
        <rFont val="Noto Sans CJK SC"/>
        <family val="2"/>
      </rPr>
      <t xml:space="preserve">用 </t>
    </r>
    <r>
      <rPr>
        <sz val="9"/>
        <color rgb="FF303030"/>
        <rFont val="Arial"/>
        <family val="0"/>
        <charset val="1"/>
      </rPr>
      <t xml:space="preserve">13%</t>
    </r>
    <r>
      <rPr>
        <sz val="9"/>
        <color rgb="FF303030"/>
        <rFont val="Noto Sans CJK SC"/>
        <family val="2"/>
      </rPr>
      <t xml:space="preserve">（周期底部风险溢价上升），永续增长 </t>
    </r>
    <r>
      <rPr>
        <sz val="9"/>
        <color rgb="FF303030"/>
        <rFont val="Arial"/>
        <family val="0"/>
        <charset val="1"/>
      </rPr>
      <t xml:space="preserve">2.5%</t>
    </r>
  </si>
  <si>
    <r>
      <rPr>
        <b val="true"/>
        <sz val="11"/>
        <color rgb="FFFFFFFF"/>
        <rFont val="Arial"/>
        <family val="0"/>
        <charset val="1"/>
      </rPr>
      <t xml:space="preserve">01  FY2027 </t>
    </r>
    <r>
      <rPr>
        <b val="true"/>
        <sz val="11"/>
        <color rgb="FFFFFFFF"/>
        <rFont val="Noto Sans CJK SC"/>
        <family val="2"/>
      </rPr>
      <t xml:space="preserve">季度预测（先用季度把最近的可见度做实，再转年度）</t>
    </r>
  </si>
  <si>
    <t xml:space="preserve">FY27 Q1</t>
  </si>
  <si>
    <t xml:space="preserve">FY27 Q2</t>
  </si>
  <si>
    <t xml:space="preserve">FY27 Q3</t>
  </si>
  <si>
    <t xml:space="preserve">FY27 Q4</t>
  </si>
  <si>
    <r>
      <rPr>
        <b val="true"/>
        <sz val="9"/>
        <color rgb="FF16305B"/>
        <rFont val="Arial"/>
        <family val="0"/>
        <charset val="1"/>
      </rPr>
      <t xml:space="preserve">FY2027 </t>
    </r>
    <r>
      <rPr>
        <b val="true"/>
        <sz val="9"/>
        <color rgb="FF16305B"/>
        <rFont val="Noto Sans CJK SC"/>
        <family val="2"/>
      </rPr>
      <t xml:space="preserve">合计</t>
    </r>
  </si>
  <si>
    <t xml:space="preserve">变量怎么来的</t>
  </si>
  <si>
    <t xml:space="preserve">营业收入</t>
  </si>
  <si>
    <r>
      <rPr>
        <sz val="8"/>
        <color rgb="FF404040"/>
        <rFont val="Arial"/>
        <family val="0"/>
        <charset val="1"/>
      </rPr>
      <t xml:space="preserve">Q1 </t>
    </r>
    <r>
      <rPr>
        <sz val="8"/>
        <color rgb="FF404040"/>
        <rFont val="Noto Sans CJK SC"/>
        <family val="2"/>
      </rPr>
      <t xml:space="preserve">＝ 控制台滑标（官方指引 </t>
    </r>
    <r>
      <rPr>
        <sz val="8"/>
        <color rgb="FF404040"/>
        <rFont val="Arial"/>
        <family val="0"/>
        <charset val="1"/>
      </rPr>
      <t xml:space="preserve">$10.3–10.8B</t>
    </r>
    <r>
      <rPr>
        <sz val="8"/>
        <color rgb="FF404040"/>
        <rFont val="Noto Sans CJK SC"/>
        <family val="2"/>
      </rPr>
      <t xml:space="preserve">）；</t>
    </r>
    <r>
      <rPr>
        <sz val="8"/>
        <color rgb="FF404040"/>
        <rFont val="Arial"/>
        <family val="0"/>
        <charset val="1"/>
      </rPr>
      <t xml:space="preserve">Q2–Q4 </t>
    </r>
    <r>
      <rPr>
        <sz val="8"/>
        <color rgb="FF404040"/>
        <rFont val="Noto Sans CJK SC"/>
        <family val="2"/>
      </rPr>
      <t xml:space="preserve">＝ 上一季 </t>
    </r>
    <r>
      <rPr>
        <sz val="8"/>
        <color rgb="FF404040"/>
        <rFont val="Arial"/>
        <family val="0"/>
        <charset val="1"/>
      </rPr>
      <t xml:space="preserve">×(1 + </t>
    </r>
    <r>
      <rPr>
        <sz val="8"/>
        <color rgb="FF404040"/>
        <rFont val="Noto Sans CJK SC"/>
        <family val="2"/>
      </rPr>
      <t xml:space="preserve">情形环比增速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滑标平移</t>
    </r>
    <r>
      <rPr>
        <sz val="8"/>
        <color rgb="FF40404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</si>
  <si>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　环比增速 </t>
    </r>
    <r>
      <rPr>
        <sz val="9"/>
        <color rgb="FF000000"/>
        <rFont val="Arial"/>
        <family val="0"/>
        <charset val="1"/>
      </rPr>
      <t xml:space="preserve">QoQ</t>
    </r>
  </si>
  <si>
    <r>
      <rPr>
        <sz val="8"/>
        <color rgb="FF404040"/>
        <rFont val="Arial"/>
        <family val="0"/>
        <charset val="1"/>
      </rPr>
      <t xml:space="preserve">Q1 </t>
    </r>
    <r>
      <rPr>
        <sz val="8"/>
        <color rgb="FF404040"/>
        <rFont val="Noto Sans CJK SC"/>
        <family val="2"/>
      </rPr>
      <t xml:space="preserve">的环比基数是 </t>
    </r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的 </t>
    </r>
    <r>
      <rPr>
        <sz val="8"/>
        <color rgb="FF404040"/>
        <rFont val="Arial"/>
        <family val="0"/>
        <charset val="1"/>
      </rPr>
      <t xml:space="preserve">$8,965M</t>
    </r>
    <r>
      <rPr>
        <sz val="8"/>
        <color rgb="FF404040"/>
        <rFont val="Noto Sans CJK SC"/>
        <family val="2"/>
      </rPr>
      <t xml:space="preserve">（不是 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全年）；</t>
    </r>
    <r>
      <rPr>
        <sz val="8"/>
        <color rgb="FF404040"/>
        <rFont val="Arial"/>
        <family val="0"/>
        <charset val="1"/>
      </rPr>
      <t xml:space="preserve">Q2–Q4 </t>
    </r>
    <r>
      <rPr>
        <sz val="8"/>
        <color rgb="FF404040"/>
        <rFont val="Noto Sans CJK SC"/>
        <family val="2"/>
      </rPr>
      <t xml:space="preserve">为上一季</t>
    </r>
  </si>
  <si>
    <t xml:space="preserve">毛利率</t>
  </si>
  <si>
    <r>
      <rPr>
        <sz val="8"/>
        <color rgb="FF404040"/>
        <rFont val="Noto Sans CJK SC"/>
        <family val="2"/>
      </rPr>
      <t xml:space="preserve">情形设定的季度毛利率路径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控制台「毛利率平移」，上下限锁在 </t>
    </r>
    <r>
      <rPr>
        <sz val="8"/>
        <color rgb="FF404040"/>
        <rFont val="Arial"/>
        <family val="0"/>
        <charset val="1"/>
      </rPr>
      <t xml:space="preserve">5%–92%</t>
    </r>
  </si>
  <si>
    <t xml:space="preserve">毛利</t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</si>
  <si>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毛利率</t>
    </r>
  </si>
  <si>
    <t xml:space="preserve">营业费用</t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</si>
  <si>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控制台「营业费用率」。公司 </t>
    </r>
    <r>
      <rPr>
        <sz val="8"/>
        <color rgb="FF404040"/>
        <rFont val="Arial"/>
        <family val="0"/>
        <charset val="1"/>
      </rPr>
      <t xml:space="preserve">FY27 Q1 GAAP </t>
    </r>
    <r>
      <rPr>
        <sz val="8"/>
        <color rgb="FF404040"/>
        <rFont val="Noto Sans CJK SC"/>
        <family val="2"/>
      </rPr>
      <t xml:space="preserve">指引为 </t>
    </r>
    <r>
      <rPr>
        <sz val="8"/>
        <color rgb="FF404040"/>
        <rFont val="Arial"/>
        <family val="0"/>
        <charset val="1"/>
      </rPr>
      <t xml:space="preserve">$574–614M</t>
    </r>
  </si>
  <si>
    <r>
      <rPr>
        <b val="true"/>
        <sz val="9"/>
        <color rgb="FF16305B"/>
        <rFont val="Noto Sans CJK SC"/>
        <family val="2"/>
      </rPr>
      <t xml:space="preserve">营业利润 </t>
    </r>
    <r>
      <rPr>
        <b val="true"/>
        <sz val="9"/>
        <color rgb="FF16305B"/>
        <rFont val="Arial"/>
        <family val="0"/>
        <charset val="1"/>
      </rPr>
      <t xml:space="preserve">EBIT</t>
    </r>
  </si>
  <si>
    <t xml:space="preserve">＝ 毛利 − 营业费用</t>
  </si>
  <si>
    <t xml:space="preserve">　营业利润率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</si>
  <si>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EBIT ÷ </t>
    </r>
    <r>
      <rPr>
        <sz val="8"/>
        <color rgb="FF404040"/>
        <rFont val="Noto Sans CJK SC"/>
        <family val="2"/>
      </rPr>
      <t xml:space="preserve">收入</t>
    </r>
  </si>
  <si>
    <t xml:space="preserve">所得税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</si>
  <si>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EBIT × </t>
    </r>
    <r>
      <rPr>
        <sz val="8"/>
        <color rgb="FF404040"/>
        <rFont val="Noto Sans CJK SC"/>
        <family val="2"/>
      </rPr>
      <t xml:space="preserve">控制台「有效税率」（</t>
    </r>
    <r>
      <rPr>
        <sz val="8"/>
        <color rgb="FF404040"/>
        <rFont val="Arial"/>
        <family val="0"/>
        <charset val="1"/>
      </rPr>
      <t xml:space="preserve">FCFF </t>
    </r>
    <r>
      <rPr>
        <sz val="8"/>
        <color rgb="FF404040"/>
        <rFont val="Noto Sans CJK SC"/>
        <family val="2"/>
      </rPr>
      <t xml:space="preserve">口径按 </t>
    </r>
    <r>
      <rPr>
        <sz val="8"/>
        <color rgb="FF404040"/>
        <rFont val="Arial"/>
        <family val="0"/>
        <charset val="1"/>
      </rPr>
      <t xml:space="preserve">EBIT </t>
    </r>
    <r>
      <rPr>
        <sz val="8"/>
        <color rgb="FF404040"/>
        <rFont val="Noto Sans CJK SC"/>
        <family val="2"/>
      </rPr>
      <t xml:space="preserve">计税，不含利息）</t>
    </r>
  </si>
  <si>
    <r>
      <rPr>
        <b val="true"/>
        <sz val="9"/>
        <color rgb="FF16305B"/>
        <rFont val="Noto Sans CJK SC"/>
        <family val="2"/>
      </rPr>
      <t xml:space="preserve">税后经营利润 </t>
    </r>
    <r>
      <rPr>
        <b val="true"/>
        <sz val="9"/>
        <color rgb="FF16305B"/>
        <rFont val="Arial"/>
        <family val="0"/>
        <charset val="1"/>
      </rPr>
      <t xml:space="preserve">NOPAT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</si>
  <si>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EBIT − </t>
    </r>
    <r>
      <rPr>
        <sz val="8"/>
        <color rgb="FF404040"/>
        <rFont val="Noto Sans CJK SC"/>
        <family val="2"/>
      </rPr>
      <t xml:space="preserve">所得税</t>
    </r>
  </si>
  <si>
    <r>
      <rPr>
        <sz val="9"/>
        <color rgb="FF000000"/>
        <rFont val="Noto Sans CJK SC"/>
        <family val="2"/>
      </rPr>
      <t xml:space="preserve">＋ 折旧摊销 </t>
    </r>
    <r>
      <rPr>
        <sz val="9"/>
        <color rgb="FF000000"/>
        <rFont val="Arial"/>
        <family val="0"/>
        <charset val="1"/>
      </rPr>
      <t xml:space="preserve">D&amp;A</t>
    </r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</si>
  <si>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控制台「折旧摊销率」。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前九个月 </t>
    </r>
    <r>
      <rPr>
        <sz val="8"/>
        <color rgb="FF404040"/>
        <rFont val="Arial"/>
        <family val="0"/>
        <charset val="1"/>
      </rPr>
      <t xml:space="preserve">$6,862M</t>
    </r>
    <r>
      <rPr>
        <sz val="8"/>
        <color rgb="FF404040"/>
        <rFont val="Noto Sans CJK SC"/>
        <family val="2"/>
      </rPr>
      <t xml:space="preserve">，全年约 </t>
    </r>
    <r>
      <rPr>
        <sz val="8"/>
        <color rgb="FF404040"/>
        <rFont val="Arial"/>
        <family val="0"/>
        <charset val="1"/>
      </rPr>
      <t xml:space="preserve">$94 </t>
    </r>
    <r>
      <rPr>
        <sz val="8"/>
        <color rgb="FF404040"/>
        <rFont val="Noto Sans CJK SC"/>
        <family val="2"/>
      </rPr>
      <t xml:space="preserve">亿（占收入 </t>
    </r>
    <r>
      <rPr>
        <sz val="8"/>
        <color rgb="FF404040"/>
        <rFont val="Arial"/>
        <family val="0"/>
        <charset val="1"/>
      </rPr>
      <t xml:space="preserve">7.3%</t>
    </r>
    <r>
      <rPr>
        <sz val="8"/>
        <color rgb="FF404040"/>
        <rFont val="Noto Sans CJK SC"/>
        <family val="2"/>
      </rPr>
      <t xml:space="preserve">）。★ </t>
    </r>
    <r>
      <rPr>
        <sz val="8"/>
        <color rgb="FF404040"/>
        <rFont val="Arial"/>
        <family val="0"/>
        <charset val="1"/>
      </rPr>
      <t xml:space="preserve">MU </t>
    </r>
    <r>
      <rPr>
        <sz val="8"/>
        <color rgb="FF404040"/>
        <rFont val="Noto Sans CJK SC"/>
        <family val="2"/>
      </rPr>
      <t xml:space="preserve">自建晶圆厂，折旧全部落在自己报表上</t>
    </r>
  </si>
  <si>
    <t xml:space="preserve">− 资本开支（总额）</t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</si>
  <si>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控制台「资本开支率」。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约 </t>
    </r>
    <r>
      <rPr>
        <sz val="8"/>
        <color rgb="FF404040"/>
        <rFont val="Arial"/>
        <family val="0"/>
        <charset val="1"/>
      </rPr>
      <t xml:space="preserve">$270 </t>
    </r>
    <r>
      <rPr>
        <sz val="8"/>
        <color rgb="FF404040"/>
        <rFont val="Noto Sans CJK SC"/>
        <family val="2"/>
      </rPr>
      <t xml:space="preserve">亿；管理层已指引 </t>
    </r>
    <r>
      <rPr>
        <sz val="8"/>
        <color rgb="FF404040"/>
        <rFont val="Arial"/>
        <family val="0"/>
        <charset val="1"/>
      </rPr>
      <t xml:space="preserve">FY27 </t>
    </r>
    <r>
      <rPr>
        <sz val="8"/>
        <color rgb="FF404040"/>
        <rFont val="Noto Sans CJK SC"/>
        <family val="2"/>
      </rPr>
      <t xml:space="preserve">季度资本开支高于 </t>
    </r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的约 </t>
    </r>
    <r>
      <rPr>
        <sz val="8"/>
        <color rgb="FF404040"/>
        <rFont val="Arial"/>
        <family val="0"/>
        <charset val="1"/>
      </rPr>
      <t xml:space="preserve">$100 </t>
    </r>
    <r>
      <rPr>
        <sz val="8"/>
        <color rgb="FF404040"/>
        <rFont val="Noto Sans CJK SC"/>
        <family val="2"/>
      </rPr>
      <t xml:space="preserve">亿</t>
    </r>
    <r>
      <rPr>
        <sz val="8"/>
        <color rgb="FF404040"/>
        <rFont val="Arial"/>
        <family val="0"/>
        <charset val="1"/>
      </rPr>
      <t xml:space="preserve">/</t>
    </r>
    <r>
      <rPr>
        <sz val="8"/>
        <color rgb="FF404040"/>
        <rFont val="Noto Sans CJK SC"/>
        <family val="2"/>
      </rPr>
      <t xml:space="preserve">季</t>
    </r>
  </si>
  <si>
    <r>
      <rPr>
        <sz val="9"/>
        <color rgb="FF000000"/>
        <rFont val="Noto Sans CJK SC"/>
        <family val="2"/>
      </rPr>
      <t xml:space="preserve">＋ </t>
    </r>
    <r>
      <rPr>
        <sz val="9"/>
        <color rgb="FF000000"/>
        <rFont val="Arial"/>
        <family val="0"/>
        <charset val="1"/>
      </rPr>
      <t xml:space="preserve">CHIPS </t>
    </r>
    <r>
      <rPr>
        <sz val="9"/>
        <color rgb="FF000000"/>
        <rFont val="Noto Sans CJK SC"/>
        <family val="2"/>
      </rPr>
      <t xml:space="preserve">政府补贴抵扣</t>
    </r>
  </si>
  <si>
    <r>
      <rPr>
        <sz val="8"/>
        <color rgb="FF404040"/>
        <rFont val="Noto Sans CJK SC"/>
        <family val="2"/>
      </rPr>
      <t xml:space="preserve">＝ 资本开支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控制台「政府补贴抵扣比例」。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前九个月收到 </t>
    </r>
    <r>
      <rPr>
        <sz val="8"/>
        <color rgb="FF404040"/>
        <rFont val="Arial"/>
        <family val="0"/>
        <charset val="1"/>
      </rPr>
      <t xml:space="preserve">$2,989M</t>
    </r>
    <r>
      <rPr>
        <sz val="8"/>
        <color rgb="FF404040"/>
        <rFont val="Noto Sans CJK SC"/>
        <family val="2"/>
      </rPr>
      <t xml:space="preserve">，占同期资本开支 </t>
    </r>
    <r>
      <rPr>
        <sz val="8"/>
        <color rgb="FF404040"/>
        <rFont val="Arial"/>
        <family val="0"/>
        <charset val="1"/>
      </rPr>
      <t xml:space="preserve">15.2%</t>
    </r>
  </si>
  <si>
    <t xml:space="preserve">营运资本余额</t>
  </si>
  <si>
    <r>
      <rPr>
        <sz val="8"/>
        <color rgb="FF404040"/>
        <rFont val="Noto Sans CJK SC"/>
        <family val="2"/>
      </rPr>
      <t xml:space="preserve">＝ 控制台「营运资本占年化收入比」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当季收入 </t>
    </r>
    <r>
      <rPr>
        <sz val="8"/>
        <color rgb="FF404040"/>
        <rFont val="Arial"/>
        <family val="0"/>
        <charset val="1"/>
      </rPr>
      <t xml:space="preserve">× 4</t>
    </r>
    <r>
      <rPr>
        <sz val="8"/>
        <color rgb="FF404040"/>
        <rFont val="Noto Sans CJK SC"/>
        <family val="2"/>
      </rPr>
      <t xml:space="preserve">。期初取 </t>
    </r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的年化收入基准</t>
    </r>
  </si>
  <si>
    <r>
      <rPr>
        <sz val="9"/>
        <color rgb="FF000000"/>
        <rFont val="Noto Sans CJK SC"/>
        <family val="2"/>
      </rPr>
      <t xml:space="preserve">− 营运资本增加 </t>
    </r>
    <r>
      <rPr>
        <sz val="9"/>
        <color rgb="FF000000"/>
        <rFont val="Arial"/>
        <family val="0"/>
        <charset val="1"/>
      </rPr>
      <t xml:space="preserve">ΔNWC</t>
    </r>
  </si>
  <si>
    <t xml:space="preserve">＝ 本季余额 − 上季余额。余额法，不再用「占收入增量比」</t>
  </si>
  <si>
    <r>
      <rPr>
        <b val="true"/>
        <sz val="9"/>
        <color rgb="FF16305B"/>
        <rFont val="Noto Sans CJK SC"/>
        <family val="2"/>
      </rPr>
      <t xml:space="preserve">＝ 自由现金流 </t>
    </r>
    <r>
      <rPr>
        <b val="true"/>
        <sz val="9"/>
        <color rgb="FF16305B"/>
        <rFont val="Arial"/>
        <family val="0"/>
        <charset val="1"/>
      </rPr>
      <t xml:space="preserve">FCFF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</si>
  <si>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NOPAT + D&amp;A − </t>
    </r>
    <r>
      <rPr>
        <sz val="8"/>
        <color rgb="FF404040"/>
        <rFont val="Noto Sans CJK SC"/>
        <family val="2"/>
      </rPr>
      <t xml:space="preserve">资本开支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政府补贴 − </t>
    </r>
    <r>
      <rPr>
        <sz val="8"/>
        <color rgb="FF404040"/>
        <rFont val="Arial"/>
        <family val="0"/>
        <charset val="1"/>
      </rPr>
      <t xml:space="preserve">ΔNWC</t>
    </r>
  </si>
  <si>
    <r>
      <rPr>
        <sz val="9"/>
        <color rgb="FF3D3D3D"/>
        <rFont val="Noto Sans CJK SC"/>
        <family val="2"/>
      </rPr>
      <t xml:space="preserve">口径说明：这里算的是 </t>
    </r>
    <r>
      <rPr>
        <sz val="9"/>
        <color rgb="FF3D3D3D"/>
        <rFont val="Arial"/>
        <family val="0"/>
        <charset val="1"/>
      </rPr>
      <t xml:space="preserve">FCFF</t>
    </r>
    <r>
      <rPr>
        <sz val="9"/>
        <color rgb="FF3D3D3D"/>
        <rFont val="Noto Sans CJK SC"/>
        <family val="2"/>
      </rPr>
      <t xml:space="preserve">（企业自由现金流），所以税按 </t>
    </r>
    <r>
      <rPr>
        <sz val="9"/>
        <color rgb="FF3D3D3D"/>
        <rFont val="Arial"/>
        <family val="0"/>
        <charset val="1"/>
      </rPr>
      <t xml:space="preserve">EBIT </t>
    </r>
    <r>
      <rPr>
        <sz val="9"/>
        <color rgb="FF3D3D3D"/>
        <rFont val="Noto Sans CJK SC"/>
        <family val="2"/>
      </rPr>
      <t xml:space="preserve">计、不扣利息——利息的价值已经体现在折现率里。公司目前零负债，</t>
    </r>
    <r>
      <rPr>
        <sz val="9"/>
        <color rgb="FF3D3D3D"/>
        <rFont val="Arial"/>
        <family val="0"/>
        <charset val="1"/>
      </rPr>
      <t xml:space="preserve">FCFF </t>
    </r>
    <r>
      <rPr>
        <sz val="9"/>
        <color rgb="FF3D3D3D"/>
        <rFont val="Noto Sans CJK SC"/>
        <family val="2"/>
      </rPr>
      <t xml:space="preserve">与 </t>
    </r>
    <r>
      <rPr>
        <sz val="9"/>
        <color rgb="FF3D3D3D"/>
        <rFont val="Arial"/>
        <family val="0"/>
        <charset val="1"/>
      </rPr>
      <t xml:space="preserve">FCFE </t>
    </r>
    <r>
      <rPr>
        <sz val="9"/>
        <color rgb="FF3D3D3D"/>
        <rFont val="Noto Sans CJK SC"/>
        <family val="2"/>
      </rPr>
      <t xml:space="preserve">的差异只剩利息收入。</t>
    </r>
  </si>
  <si>
    <r>
      <rPr>
        <b val="true"/>
        <sz val="11"/>
        <color rgb="FFFFFFFF"/>
        <rFont val="Arial"/>
        <family val="0"/>
        <charset val="1"/>
      </rPr>
      <t xml:space="preserve">02  FY2028–FY2032 </t>
    </r>
    <r>
      <rPr>
        <b val="true"/>
        <sz val="11"/>
        <color rgb="FFFFFFFF"/>
        <rFont val="Noto Sans CJK SC"/>
        <family val="2"/>
      </rPr>
      <t xml:space="preserve">年度预测 </t>
    </r>
    <r>
      <rPr>
        <b val="true"/>
        <sz val="11"/>
        <color rgb="FFFFFFFF"/>
        <rFont val="Arial"/>
        <family val="0"/>
        <charset val="1"/>
      </rPr>
      <t xml:space="preserve">+ </t>
    </r>
    <r>
      <rPr>
        <b val="true"/>
        <sz val="11"/>
        <color rgb="FFFFFFFF"/>
        <rFont val="Noto Sans CJK SC"/>
        <family val="2"/>
      </rPr>
      <t xml:space="preserve">永续</t>
    </r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</si>
  <si>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</si>
  <si>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</si>
  <si>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</si>
  <si>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</si>
  <si>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</si>
  <si>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</si>
  <si>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永续期</t>
  </si>
  <si>
    <r>
      <rPr>
        <sz val="8"/>
        <color rgb="FF404040"/>
        <rFont val="Arial"/>
        <family val="0"/>
        <charset val="1"/>
      </rPr>
      <t xml:space="preserve">FY27 </t>
    </r>
    <r>
      <rPr>
        <sz val="8"/>
        <color rgb="FF404040"/>
        <rFont val="Noto Sans CJK SC"/>
        <family val="2"/>
      </rPr>
      <t xml:space="preserve">取季度合计；</t>
    </r>
    <r>
      <rPr>
        <sz val="8"/>
        <color rgb="FF404040"/>
        <rFont val="Arial"/>
        <family val="0"/>
        <charset val="1"/>
      </rPr>
      <t xml:space="preserve">FY28 </t>
    </r>
    <r>
      <rPr>
        <sz val="8"/>
        <color rgb="FF404040"/>
        <rFont val="Noto Sans CJK SC"/>
        <family val="2"/>
      </rPr>
      <t xml:space="preserve">＝ 情形设定增速；</t>
    </r>
    <r>
      <rPr>
        <sz val="8"/>
        <color rgb="FF404040"/>
        <rFont val="Arial"/>
        <family val="0"/>
        <charset val="1"/>
      </rPr>
      <t xml:space="preserve">FY29–32 </t>
    </r>
    <r>
      <rPr>
        <sz val="8"/>
        <color rgb="FF404040"/>
        <rFont val="Noto Sans CJK SC"/>
        <family val="2"/>
      </rPr>
      <t xml:space="preserve">＝ 情形增速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控制台「长期增速平移」</t>
    </r>
  </si>
  <si>
    <r>
      <rPr>
        <sz val="9"/>
        <color rgb="FF000000"/>
        <rFont val="Noto Sans CJK SC"/>
        <family val="2"/>
      </rPr>
      <t xml:space="preserve">　收入增速 </t>
    </r>
    <r>
      <rPr>
        <sz val="9"/>
        <color rgb="FF000000"/>
        <rFont val="Arial"/>
        <family val="0"/>
        <charset val="1"/>
      </rPr>
      <t xml:space="preserve">YoY</t>
    </r>
  </si>
  <si>
    <r>
      <rPr>
        <sz val="8"/>
        <color rgb="FF404040"/>
        <rFont val="Noto Sans CJK SC"/>
        <family val="2"/>
      </rPr>
      <t xml:space="preserve">逐年同比。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实际为 </t>
    </r>
    <r>
      <rPr>
        <sz val="8"/>
        <color rgb="FF404040"/>
        <rFont val="Arial"/>
        <family val="0"/>
        <charset val="1"/>
      </rPr>
      <t xml:space="preserve">+175%</t>
    </r>
  </si>
  <si>
    <r>
      <rPr>
        <sz val="8"/>
        <color rgb="FF404040"/>
        <rFont val="Noto Sans CJK SC"/>
        <family val="2"/>
      </rPr>
      <t xml:space="preserve">情形设定的年度毛利率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控制台「毛利率平移」；</t>
    </r>
    <r>
      <rPr>
        <sz val="8"/>
        <color rgb="FF404040"/>
        <rFont val="Arial"/>
        <family val="0"/>
        <charset val="1"/>
      </rPr>
      <t xml:space="preserve">FY32 </t>
    </r>
    <r>
      <rPr>
        <sz val="8"/>
        <color rgb="FF404040"/>
        <rFont val="Noto Sans CJK SC"/>
        <family val="2"/>
      </rPr>
      <t xml:space="preserve">直接取控制台「终局毛利率」</t>
    </r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</si>
  <si>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控制台「营业费用率」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</si>
  <si>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EBIT ÷ </t>
    </r>
    <r>
      <rPr>
        <sz val="8"/>
        <color rgb="FF404040"/>
        <rFont val="Noto Sans CJK SC"/>
        <family val="2"/>
      </rPr>
      <t xml:space="preserve">收入。可与投资者日目标「约 </t>
    </r>
    <r>
      <rPr>
        <sz val="8"/>
        <color rgb="FF404040"/>
        <rFont val="Arial"/>
        <family val="0"/>
        <charset val="1"/>
      </rPr>
      <t xml:space="preserve">75%</t>
    </r>
    <r>
      <rPr>
        <sz val="8"/>
        <color rgb="FF404040"/>
        <rFont val="Noto Sans CJK SC"/>
        <family val="2"/>
      </rPr>
      <t xml:space="preserve">」对照</t>
    </r>
  </si>
  <si>
    <r>
      <rPr>
        <sz val="9"/>
        <color rgb="FF000000"/>
        <rFont val="Noto Sans CJK SC"/>
        <family val="2"/>
      </rPr>
      <t xml:space="preserve">税后经营利润 </t>
    </r>
    <r>
      <rPr>
        <sz val="9"/>
        <color rgb="FF000000"/>
        <rFont val="Arial"/>
        <family val="0"/>
        <charset val="1"/>
      </rPr>
      <t xml:space="preserve">NOPAT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</si>
  <si>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EBIT ×(1 − </t>
    </r>
    <r>
      <rPr>
        <sz val="8"/>
        <color rgb="FF404040"/>
        <rFont val="Noto Sans CJK SC"/>
        <family val="2"/>
      </rPr>
      <t xml:space="preserve">有效税率</t>
    </r>
    <r>
      <rPr>
        <sz val="8"/>
        <color rgb="FF404040"/>
        <rFont val="Arial"/>
        <family val="0"/>
        <charset val="1"/>
      </rPr>
      <t xml:space="preserve">)</t>
    </r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</si>
  <si>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控制台「折旧摊销率」。★ 折旧跟随资产基数而非收入，收入下行年该比例会被动上升</t>
    </r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</si>
  <si>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控制台「资本开支率」</t>
    </r>
  </si>
  <si>
    <r>
      <rPr>
        <sz val="8"/>
        <color rgb="FF404040"/>
        <rFont val="Noto Sans CJK SC"/>
        <family val="2"/>
      </rPr>
      <t xml:space="preserve">＝ 资本开支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控制台「政府补贴抵扣比例」</t>
    </r>
  </si>
  <si>
    <r>
      <rPr>
        <sz val="8"/>
        <color rgb="FF404040"/>
        <rFont val="Noto Sans CJK SC"/>
        <family val="2"/>
      </rPr>
      <t xml:space="preserve">＝ 控制台「营运资本占年化收入比」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当年收入。期初取 </t>
    </r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年化收入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同一比例</t>
    </r>
  </si>
  <si>
    <t xml:space="preserve">＝ 本年余额 − 上年余额（余额法）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</si>
  <si>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NOPAT + D&amp;A − </t>
    </r>
    <r>
      <rPr>
        <sz val="8"/>
        <color rgb="FF404040"/>
        <rFont val="Noto Sans CJK SC"/>
        <family val="2"/>
      </rPr>
      <t xml:space="preserve">资本开支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政府补贴 − </t>
    </r>
    <r>
      <rPr>
        <sz val="8"/>
        <color rgb="FF404040"/>
        <rFont val="Arial"/>
        <family val="0"/>
        <charset val="1"/>
      </rPr>
      <t xml:space="preserve">ΔNWC</t>
    </r>
    <r>
      <rPr>
        <sz val="8"/>
        <color rgb="FF404040"/>
        <rFont val="Noto Sans CJK SC"/>
        <family val="2"/>
      </rPr>
      <t xml:space="preserve">。★ 估值采用的是这一行，不是季度块</t>
    </r>
  </si>
  <si>
    <r>
      <rPr>
        <sz val="9"/>
        <color rgb="FF000000"/>
        <rFont val="Noto Sans CJK SC"/>
        <family val="2"/>
      </rPr>
      <t xml:space="preserve">　</t>
    </r>
    <r>
      <rPr>
        <sz val="9"/>
        <color rgb="FF000000"/>
        <rFont val="Arial"/>
        <family val="0"/>
        <charset val="1"/>
      </rPr>
      <t xml:space="preserve">FCFF </t>
    </r>
    <r>
      <rPr>
        <sz val="9"/>
        <color rgb="FF000000"/>
        <rFont val="Noto Sans CJK SC"/>
        <family val="2"/>
      </rPr>
      <t xml:space="preserve">利润率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</si>
  <si>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FCFF ÷ </t>
    </r>
    <r>
      <rPr>
        <sz val="8"/>
        <color rgb="FF404040"/>
        <rFont val="Noto Sans CJK SC"/>
        <family val="2"/>
      </rPr>
      <t xml:space="preserve">收入。可与投资者日「调整后自由现金流率约 </t>
    </r>
    <r>
      <rPr>
        <sz val="8"/>
        <color rgb="FF404040"/>
        <rFont val="Arial"/>
        <family val="0"/>
        <charset val="1"/>
      </rPr>
      <t xml:space="preserve">50%</t>
    </r>
    <r>
      <rPr>
        <sz val="8"/>
        <color rgb="FF404040"/>
        <rFont val="Noto Sans CJK SC"/>
        <family val="2"/>
      </rPr>
      <t xml:space="preserve">」对照（口径不同，见溯源表）</t>
    </r>
  </si>
  <si>
    <t xml:space="preserve">折现期（年，期中折现）</t>
  </si>
  <si>
    <t xml:space="preserve">—</t>
  </si>
  <si>
    <r>
      <rPr>
        <sz val="8"/>
        <color rgb="FF404040"/>
        <rFont val="Noto Sans CJK SC"/>
        <family val="2"/>
      </rPr>
      <t xml:space="preserve">期中折现法：第 </t>
    </r>
    <r>
      <rPr>
        <sz val="8"/>
        <color rgb="FF404040"/>
        <rFont val="Arial"/>
        <family val="0"/>
        <charset val="1"/>
      </rPr>
      <t xml:space="preserve">n </t>
    </r>
    <r>
      <rPr>
        <sz val="8"/>
        <color rgb="FF404040"/>
        <rFont val="Noto Sans CJK SC"/>
        <family val="2"/>
      </rPr>
      <t xml:space="preserve">年的折现期为 </t>
    </r>
    <r>
      <rPr>
        <sz val="8"/>
        <color rgb="FF404040"/>
        <rFont val="Arial"/>
        <family val="0"/>
        <charset val="1"/>
      </rPr>
      <t xml:space="preserve">n − 0.5</t>
    </r>
    <r>
      <rPr>
        <sz val="8"/>
        <color rgb="FF404040"/>
        <rFont val="Noto Sans CJK SC"/>
        <family val="2"/>
      </rPr>
      <t xml:space="preserve">，假设现金流在年内均匀发生</t>
    </r>
  </si>
  <si>
    <t xml:space="preserve">折现因子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</si>
  <si>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1 ÷ (1 + WACC)^</t>
    </r>
    <r>
      <rPr>
        <sz val="8"/>
        <color rgb="FF404040"/>
        <rFont val="Noto Sans CJK SC"/>
        <family val="2"/>
      </rPr>
      <t xml:space="preserve">折现期</t>
    </r>
  </si>
  <si>
    <r>
      <rPr>
        <b val="true"/>
        <sz val="9"/>
        <color rgb="FF16305B"/>
        <rFont val="Noto Sans CJK SC"/>
        <family val="2"/>
      </rPr>
      <t xml:space="preserve">折现后 </t>
    </r>
    <r>
      <rPr>
        <b val="true"/>
        <sz val="9"/>
        <color rgb="FF16305B"/>
        <rFont val="Arial"/>
        <family val="0"/>
        <charset val="1"/>
      </rPr>
      <t xml:space="preserve">FCFF </t>
    </r>
    <r>
      <rPr>
        <b val="true"/>
        <sz val="9"/>
        <color rgb="FF16305B"/>
        <rFont val="Noto Sans CJK SC"/>
        <family val="2"/>
      </rPr>
      <t xml:space="preserve">现值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</si>
  <si>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FCFF × </t>
    </r>
    <r>
      <rPr>
        <sz val="8"/>
        <color rgb="FF404040"/>
        <rFont val="Noto Sans CJK SC"/>
        <family val="2"/>
      </rPr>
      <t xml:space="preserve">折现因子</t>
    </r>
  </si>
  <si>
    <r>
      <rPr>
        <b val="true"/>
        <sz val="11"/>
        <color rgb="FFFFFFFF"/>
        <rFont val="Arial"/>
        <family val="0"/>
        <charset val="1"/>
      </rPr>
      <t xml:space="preserve">03  </t>
    </r>
    <r>
      <rPr>
        <b val="true"/>
        <sz val="11"/>
        <color rgb="FFFFFFFF"/>
        <rFont val="Noto Sans CJK SC"/>
        <family val="2"/>
      </rPr>
      <t xml:space="preserve">折现率 </t>
    </r>
    <r>
      <rPr>
        <b val="true"/>
        <sz val="11"/>
        <color rgb="FFFFFFFF"/>
        <rFont val="Arial"/>
        <family val="0"/>
        <charset val="1"/>
      </rPr>
      <t xml:space="preserve">WACC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MU </t>
    </r>
    <r>
      <rPr>
        <b val="true"/>
        <sz val="11"/>
        <color rgb="FFFFFFFF"/>
        <rFont val="Noto Sans CJK SC"/>
        <family val="2"/>
      </rPr>
      <t xml:space="preserve">为净现金结构，</t>
    </r>
    <r>
      <rPr>
        <b val="true"/>
        <sz val="11"/>
        <color rgb="FFFFFFFF"/>
        <rFont val="Arial"/>
        <family val="0"/>
        <charset val="1"/>
      </rPr>
      <t xml:space="preserve">WACC ≈ </t>
    </r>
    <r>
      <rPr>
        <b val="true"/>
        <sz val="11"/>
        <color rgb="FFFFFFFF"/>
        <rFont val="Noto Sans CJK SC"/>
        <family val="2"/>
      </rPr>
      <t xml:space="preserve">股权成本）</t>
    </r>
  </si>
  <si>
    <t xml:space="preserve">参数</t>
  </si>
  <si>
    <t xml:space="preserve">取值</t>
  </si>
  <si>
    <t xml:space="preserve">来源与说明</t>
  </si>
  <si>
    <r>
      <rPr>
        <sz val="8"/>
        <color rgb="FF404040"/>
        <rFont val="Arial"/>
        <family val="0"/>
        <charset val="1"/>
      </rPr>
      <t xml:space="preserve">10 </t>
    </r>
    <r>
      <rPr>
        <sz val="8"/>
        <color rgb="FF404040"/>
        <rFont val="Noto Sans CJK SC"/>
        <family val="2"/>
      </rPr>
      <t xml:space="preserve">年期美国国债收益率，取 </t>
    </r>
    <r>
      <rPr>
        <sz val="8"/>
        <color rgb="FF404040"/>
        <rFont val="Arial"/>
        <family val="0"/>
        <charset val="1"/>
      </rPr>
      <t xml:space="preserve">4.20%</t>
    </r>
  </si>
  <si>
    <r>
      <rPr>
        <sz val="8"/>
        <color rgb="FF404040"/>
        <rFont val="Noto Sans CJK SC"/>
        <family val="2"/>
      </rPr>
      <t xml:space="preserve">美国成熟市场长期 </t>
    </r>
    <r>
      <rPr>
        <sz val="8"/>
        <color rgb="FF404040"/>
        <rFont val="Arial"/>
        <family val="0"/>
        <charset val="1"/>
      </rPr>
      <t xml:space="preserve">ERP</t>
    </r>
    <r>
      <rPr>
        <sz val="8"/>
        <color rgb="FF404040"/>
        <rFont val="Noto Sans CJK SC"/>
        <family val="2"/>
      </rPr>
      <t xml:space="preserve">，取 </t>
    </r>
    <r>
      <rPr>
        <sz val="8"/>
        <color rgb="FF404040"/>
        <rFont val="Arial"/>
        <family val="0"/>
        <charset val="1"/>
      </rPr>
      <t xml:space="preserve">5.00%</t>
    </r>
  </si>
  <si>
    <r>
      <rPr>
        <b val="true"/>
        <sz val="9"/>
        <color rgb="FF000000"/>
        <rFont val="Noto Sans CJK SC"/>
        <family val="2"/>
      </rPr>
      <t xml:space="preserve">贝塔 </t>
    </r>
    <r>
      <rPr>
        <b val="true"/>
        <sz val="9"/>
        <color rgb="FF000000"/>
        <rFont val="Arial"/>
        <family val="0"/>
        <charset val="1"/>
      </rPr>
      <t xml:space="preserve">β</t>
    </r>
    <r>
      <rPr>
        <b val="true"/>
        <sz val="9"/>
        <color rgb="FF000000"/>
        <rFont val="Noto Sans CJK SC"/>
        <family val="2"/>
      </rPr>
      <t xml:space="preserve">（隐含）</t>
    </r>
  </si>
  <si>
    <r>
      <rPr>
        <sz val="8"/>
        <color rgb="FF404040"/>
        <rFont val="Noto Sans CJK SC"/>
        <family val="2"/>
      </rPr>
      <t xml:space="preserve">★ 由控制台 </t>
    </r>
    <r>
      <rPr>
        <sz val="8"/>
        <color rgb="FF404040"/>
        <rFont val="Arial"/>
        <family val="0"/>
        <charset val="1"/>
      </rPr>
      <t xml:space="preserve">WACC </t>
    </r>
    <r>
      <rPr>
        <sz val="8"/>
        <color rgb="FF404040"/>
        <rFont val="Noto Sans CJK SC"/>
        <family val="2"/>
      </rPr>
      <t xml:space="preserve">反解：</t>
    </r>
    <r>
      <rPr>
        <sz val="8"/>
        <color rgb="FF404040"/>
        <rFont val="Arial"/>
        <family val="0"/>
        <charset val="1"/>
      </rPr>
      <t xml:space="preserve">β = (WACC − Rf) ÷ ERP</t>
    </r>
    <r>
      <rPr>
        <sz val="8"/>
        <color rgb="FF404040"/>
        <rFont val="Noto Sans CJK SC"/>
        <family val="2"/>
      </rPr>
      <t xml:space="preserve">。</t>
    </r>
    <r>
      <rPr>
        <sz val="8"/>
        <color rgb="FF404040"/>
        <rFont val="Arial"/>
        <family val="0"/>
        <charset val="1"/>
      </rPr>
      <t xml:space="preserve">MU </t>
    </r>
    <r>
      <rPr>
        <sz val="8"/>
        <color rgb="FF404040"/>
        <rFont val="Noto Sans CJK SC"/>
        <family val="2"/>
      </rPr>
      <t xml:space="preserve">有足够长的交易历史，但 </t>
    </r>
    <r>
      <rPr>
        <sz val="8"/>
        <color rgb="FF404040"/>
        <rFont val="Arial"/>
        <family val="0"/>
        <charset val="1"/>
      </rPr>
      <t xml:space="preserve">52 </t>
    </r>
    <r>
      <rPr>
        <sz val="8"/>
        <color rgb="FF404040"/>
        <rFont val="Noto Sans CJK SC"/>
        <family val="2"/>
      </rPr>
      <t xml:space="preserve">周振幅 </t>
    </r>
    <r>
      <rPr>
        <sz val="8"/>
        <color rgb="FF404040"/>
        <rFont val="Arial"/>
        <family val="0"/>
        <charset val="1"/>
      </rPr>
      <t xml:space="preserve">$114.25–$1,255.00 </t>
    </r>
    <r>
      <rPr>
        <sz val="8"/>
        <color rgb="FF404040"/>
        <rFont val="Noto Sans CJK SC"/>
        <family val="2"/>
      </rPr>
      <t xml:space="preserve">使得任何时点的回归 </t>
    </r>
    <r>
      <rPr>
        <sz val="8"/>
        <color rgb="FF404040"/>
        <rFont val="Arial"/>
        <family val="0"/>
        <charset val="1"/>
      </rPr>
      <t xml:space="preserve">β </t>
    </r>
    <r>
      <rPr>
        <sz val="8"/>
        <color rgb="FF404040"/>
        <rFont val="Noto Sans CJK SC"/>
        <family val="2"/>
      </rPr>
      <t xml:space="preserve">都高度依赖窗口选择，因此本模型的做法是直接设定 </t>
    </r>
    <r>
      <rPr>
        <sz val="8"/>
        <color rgb="FF404040"/>
        <rFont val="Arial"/>
        <family val="0"/>
        <charset val="1"/>
      </rPr>
      <t xml:space="preserve">WACC</t>
    </r>
    <r>
      <rPr>
        <sz val="8"/>
        <color rgb="FF404040"/>
        <rFont val="Noto Sans CJK SC"/>
        <family val="2"/>
      </rPr>
      <t xml:space="preserve">、反算隐含 </t>
    </r>
    <r>
      <rPr>
        <sz val="8"/>
        <color rgb="FF404040"/>
        <rFont val="Arial"/>
        <family val="0"/>
        <charset val="1"/>
      </rPr>
      <t xml:space="preserve">β </t>
    </r>
    <r>
      <rPr>
        <sz val="8"/>
        <color rgb="FF404040"/>
        <rFont val="Noto Sans CJK SC"/>
        <family val="2"/>
      </rPr>
      <t xml:space="preserve">供你判断合理性。</t>
    </r>
  </si>
  <si>
    <r>
      <rPr>
        <b val="true"/>
        <sz val="9"/>
        <color rgb="FF000000"/>
        <rFont val="Noto Sans CJK SC"/>
        <family val="2"/>
      </rPr>
      <t xml:space="preserve">股权成本 </t>
    </r>
    <r>
      <rPr>
        <b val="true"/>
        <sz val="9"/>
        <color rgb="FF000000"/>
        <rFont val="Arial"/>
        <family val="0"/>
        <charset val="1"/>
      </rPr>
      <t xml:space="preserve">Ke = WACC</t>
    </r>
  </si>
  <si>
    <t xml:space="preserve">控制台滑标直接给定</t>
  </si>
  <si>
    <r>
      <rPr>
        <b val="true"/>
        <sz val="9"/>
        <color rgb="FF000000"/>
        <rFont val="Noto Sans CJK SC"/>
        <family val="2"/>
      </rPr>
      <t xml:space="preserve">有息负债 </t>
    </r>
    <r>
      <rPr>
        <b val="true"/>
        <sz val="9"/>
        <color rgb="FF000000"/>
        <rFont val="Arial"/>
        <family val="0"/>
        <charset val="1"/>
      </rPr>
      <t xml:space="preserve">/ </t>
    </r>
    <r>
      <rPr>
        <b val="true"/>
        <sz val="9"/>
        <color rgb="FF000000"/>
        <rFont val="Noto Sans CJK SC"/>
        <family val="2"/>
      </rPr>
      <t xml:space="preserve">总资本</t>
    </r>
  </si>
  <si>
    <r>
      <rPr>
        <sz val="8"/>
        <color rgb="FF404040"/>
        <rFont val="Noto Sans CJK SC"/>
        <family val="2"/>
      </rPr>
      <t xml:space="preserve">＝ 有息负债 </t>
    </r>
    <r>
      <rPr>
        <sz val="8"/>
        <color rgb="FF404040"/>
        <rFont val="Arial"/>
        <family val="0"/>
        <charset val="1"/>
      </rPr>
      <t xml:space="preserve">$5,722M ÷</t>
    </r>
    <r>
      <rPr>
        <sz val="8"/>
        <color rgb="FF404040"/>
        <rFont val="Noto Sans CJK SC"/>
        <family val="2"/>
      </rPr>
      <t xml:space="preserve">（有息负债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市值 </t>
    </r>
    <r>
      <rPr>
        <sz val="8"/>
        <color rgb="FF404040"/>
        <rFont val="Arial"/>
        <family val="0"/>
        <charset val="1"/>
      </rPr>
      <t xml:space="preserve">$1.02 </t>
    </r>
    <r>
      <rPr>
        <sz val="8"/>
        <color rgb="FF404040"/>
        <rFont val="Noto Sans CJK SC"/>
        <family val="2"/>
      </rPr>
      <t xml:space="preserve">万亿）。</t>
    </r>
    <r>
      <rPr>
        <sz val="8"/>
        <color rgb="FF404040"/>
        <rFont val="Arial"/>
        <family val="0"/>
        <charset val="1"/>
      </rPr>
      <t xml:space="preserve">MU </t>
    </r>
    <r>
      <rPr>
        <sz val="8"/>
        <color rgb="FF404040"/>
        <rFont val="Noto Sans CJK SC"/>
        <family val="2"/>
      </rPr>
      <t xml:space="preserve">已从 </t>
    </r>
    <r>
      <rPr>
        <sz val="8"/>
        <color rgb="FF404040"/>
        <rFont val="Arial"/>
        <family val="0"/>
        <charset val="1"/>
      </rPr>
      <t xml:space="preserve">FY25 </t>
    </r>
    <r>
      <rPr>
        <sz val="8"/>
        <color rgb="FF404040"/>
        <rFont val="Noto Sans CJK SC"/>
        <family val="2"/>
      </rPr>
      <t xml:space="preserve">末的 </t>
    </r>
    <r>
      <rPr>
        <sz val="8"/>
        <color rgb="FF404040"/>
        <rFont val="Arial"/>
        <family val="0"/>
        <charset val="1"/>
      </rPr>
      <t xml:space="preserve">$145.8 </t>
    </r>
    <r>
      <rPr>
        <sz val="8"/>
        <color rgb="FF404040"/>
        <rFont val="Noto Sans CJK SC"/>
        <family val="2"/>
      </rPr>
      <t xml:space="preserve">亿债务降到 </t>
    </r>
    <r>
      <rPr>
        <sz val="8"/>
        <color rgb="FF404040"/>
        <rFont val="Arial"/>
        <family val="0"/>
        <charset val="1"/>
      </rPr>
      <t xml:space="preserve">$57.2 </t>
    </r>
    <r>
      <rPr>
        <sz val="8"/>
        <color rgb="FF404040"/>
        <rFont val="Noto Sans CJK SC"/>
        <family val="2"/>
      </rPr>
      <t xml:space="preserve">亿，加权平均到期日 </t>
    </r>
    <r>
      <rPr>
        <sz val="8"/>
        <color rgb="FF404040"/>
        <rFont val="Arial"/>
        <family val="0"/>
        <charset val="1"/>
      </rPr>
      <t xml:space="preserve">2034 </t>
    </r>
    <r>
      <rPr>
        <sz val="8"/>
        <color rgb="FF404040"/>
        <rFont val="Noto Sans CJK SC"/>
        <family val="2"/>
      </rPr>
      <t xml:space="preserve">年 </t>
    </r>
    <r>
      <rPr>
        <sz val="8"/>
        <color rgb="FF404040"/>
        <rFont val="Arial"/>
        <family val="0"/>
        <charset val="1"/>
      </rPr>
      <t xml:space="preserve">8 </t>
    </r>
    <r>
      <rPr>
        <sz val="8"/>
        <color rgb="FF404040"/>
        <rFont val="Noto Sans CJK SC"/>
        <family val="2"/>
      </rPr>
      <t xml:space="preserve">月。占总资本不足 </t>
    </r>
    <r>
      <rPr>
        <sz val="8"/>
        <color rgb="FF404040"/>
        <rFont val="Arial"/>
        <family val="0"/>
        <charset val="1"/>
      </rPr>
      <t xml:space="preserve">1%</t>
    </r>
    <r>
      <rPr>
        <sz val="8"/>
        <color rgb="FF404040"/>
        <rFont val="Noto Sans CJK SC"/>
        <family val="2"/>
      </rPr>
      <t xml:space="preserve">，对 </t>
    </r>
    <r>
      <rPr>
        <sz val="8"/>
        <color rgb="FF404040"/>
        <rFont val="Arial"/>
        <family val="0"/>
        <charset val="1"/>
      </rPr>
      <t xml:space="preserve">WACC </t>
    </r>
    <r>
      <rPr>
        <sz val="8"/>
        <color rgb="FF404040"/>
        <rFont val="Noto Sans CJK SC"/>
        <family val="2"/>
      </rPr>
      <t xml:space="preserve">的影响可忽略，故直接用 </t>
    </r>
    <r>
      <rPr>
        <sz val="8"/>
        <color rgb="FF404040"/>
        <rFont val="Arial"/>
        <family val="0"/>
        <charset val="1"/>
      </rPr>
      <t xml:space="preserve">Ke </t>
    </r>
    <r>
      <rPr>
        <sz val="8"/>
        <color rgb="FF404040"/>
        <rFont val="Noto Sans CJK SC"/>
        <family val="2"/>
      </rPr>
      <t xml:space="preserve">近似 </t>
    </r>
    <r>
      <rPr>
        <sz val="8"/>
        <color rgb="FF404040"/>
        <rFont val="Arial"/>
        <family val="0"/>
        <charset val="1"/>
      </rPr>
      <t xml:space="preserve">WACC</t>
    </r>
    <r>
      <rPr>
        <sz val="8"/>
        <color rgb="FF404040"/>
        <rFont val="Noto Sans CJK SC"/>
        <family val="2"/>
      </rPr>
      <t xml:space="preserve">。</t>
    </r>
  </si>
  <si>
    <t xml:space="preserve">净现金（现金及投资 − 有息负债）</t>
  </si>
  <si>
    <r>
      <rPr>
        <sz val="8"/>
        <color rgb="FF404040"/>
        <rFont val="Noto Sans CJK SC"/>
        <family val="2"/>
      </rPr>
      <t xml:space="preserve">现金及可交易投资 </t>
    </r>
    <r>
      <rPr>
        <sz val="8"/>
        <color rgb="FF404040"/>
        <rFont val="Arial"/>
        <family val="0"/>
        <charset val="1"/>
      </rPr>
      <t xml:space="preserve">$30,155M − </t>
    </r>
    <r>
      <rPr>
        <sz val="8"/>
        <color rgb="FF404040"/>
        <rFont val="Noto Sans CJK SC"/>
        <family val="2"/>
      </rPr>
      <t xml:space="preserve">有息负债 </t>
    </r>
    <r>
      <rPr>
        <sz val="8"/>
        <color rgb="FF404040"/>
        <rFont val="Arial"/>
        <family val="0"/>
        <charset val="1"/>
      </rPr>
      <t xml:space="preserve">$5,722M</t>
    </r>
    <r>
      <rPr>
        <sz val="8"/>
        <color rgb="FF404040"/>
        <rFont val="Noto Sans CJK SC"/>
        <family val="2"/>
      </rPr>
      <t xml:space="preserve">。在下方估值桥中单独加回。</t>
    </r>
  </si>
  <si>
    <r>
      <rPr>
        <b val="true"/>
        <sz val="11"/>
        <color rgb="FFFFFFFF"/>
        <rFont val="Arial"/>
        <family val="0"/>
        <charset val="1"/>
      </rPr>
      <t xml:space="preserve">04  </t>
    </r>
    <r>
      <rPr>
        <b val="true"/>
        <sz val="11"/>
        <color rgb="FFFFFFFF"/>
        <rFont val="Noto Sans CJK SC"/>
        <family val="2"/>
      </rPr>
      <t xml:space="preserve">估值：从终值到每股内在价值</t>
    </r>
  </si>
  <si>
    <t xml:space="preserve">步骤</t>
  </si>
  <si>
    <t xml:space="preserve">金额（百万美元）</t>
  </si>
  <si>
    <t xml:space="preserve">计算方式与说明</t>
  </si>
  <si>
    <r>
      <rPr>
        <b val="true"/>
        <sz val="9"/>
        <color rgb="FF16305B"/>
        <rFont val="Noto Sans CJK SC"/>
        <family val="2"/>
      </rPr>
      <t xml:space="preserve">① 预测期 </t>
    </r>
    <r>
      <rPr>
        <b val="true"/>
        <sz val="9"/>
        <color rgb="FF16305B"/>
        <rFont val="Arial"/>
        <family val="0"/>
        <charset val="1"/>
      </rPr>
      <t xml:space="preserve">FCFF </t>
    </r>
    <r>
      <rPr>
        <b val="true"/>
        <sz val="9"/>
        <color rgb="FF16305B"/>
        <rFont val="Noto Sans CJK SC"/>
        <family val="2"/>
      </rPr>
      <t xml:space="preserve">现值合计</t>
    </r>
  </si>
  <si>
    <r>
      <rPr>
        <sz val="8"/>
        <color rgb="FF404040"/>
        <rFont val="Arial"/>
        <family val="0"/>
        <charset val="1"/>
      </rPr>
      <t xml:space="preserve">FY2027–FY2032 </t>
    </r>
    <r>
      <rPr>
        <sz val="8"/>
        <color rgb="FF404040"/>
        <rFont val="Noto Sans CJK SC"/>
        <family val="2"/>
      </rPr>
      <t xml:space="preserve">六年折现值加总（期中折现）</t>
    </r>
  </si>
  <si>
    <r>
      <rPr>
        <b val="true"/>
        <sz val="9"/>
        <color rgb="FF16305B"/>
        <rFont val="Noto Sans CJK SC"/>
        <family val="2"/>
      </rPr>
      <t xml:space="preserve">② 终值 </t>
    </r>
    <r>
      <rPr>
        <b val="true"/>
        <sz val="9"/>
        <color rgb="FF16305B"/>
        <rFont val="Arial"/>
        <family val="0"/>
        <charset val="1"/>
      </rPr>
      <t xml:space="preserve">TV</t>
    </r>
    <r>
      <rPr>
        <b val="true"/>
        <sz val="9"/>
        <color rgb="FF16305B"/>
        <rFont val="Noto Sans CJK SC"/>
        <family val="2"/>
      </rPr>
      <t xml:space="preserve">（永续增长法）</t>
    </r>
  </si>
  <si>
    <r>
      <rPr>
        <sz val="8"/>
        <color rgb="FF404040"/>
        <rFont val="Noto Sans CJK SC"/>
        <family val="2"/>
      </rPr>
      <t xml:space="preserve">＝ 永续期 </t>
    </r>
    <r>
      <rPr>
        <sz val="8"/>
        <color rgb="FF404040"/>
        <rFont val="Arial"/>
        <family val="0"/>
        <charset val="1"/>
      </rPr>
      <t xml:space="preserve">FCFF ÷ (WACC − g)</t>
    </r>
    <r>
      <rPr>
        <sz val="8"/>
        <color rgb="FF404040"/>
        <rFont val="Noto Sans CJK SC"/>
        <family val="2"/>
      </rPr>
      <t xml:space="preserve">。★ 若 </t>
    </r>
    <r>
      <rPr>
        <sz val="8"/>
        <color rgb="FF404040"/>
        <rFont val="Arial"/>
        <family val="0"/>
        <charset val="1"/>
      </rPr>
      <t xml:space="preserve">WACC ≤ g </t>
    </r>
    <r>
      <rPr>
        <sz val="8"/>
        <color rgb="FF404040"/>
        <rFont val="Noto Sans CJK SC"/>
        <family val="2"/>
      </rPr>
      <t xml:space="preserve">公式失效，控制台已把 </t>
    </r>
    <r>
      <rPr>
        <sz val="8"/>
        <color rgb="FF404040"/>
        <rFont val="Arial"/>
        <family val="0"/>
        <charset val="1"/>
      </rPr>
      <t xml:space="preserve">g </t>
    </r>
    <r>
      <rPr>
        <sz val="8"/>
        <color rgb="FF404040"/>
        <rFont val="Noto Sans CJK SC"/>
        <family val="2"/>
      </rPr>
      <t xml:space="preserve">上限设在 </t>
    </r>
    <r>
      <rPr>
        <sz val="8"/>
        <color rgb="FF404040"/>
        <rFont val="Arial"/>
        <family val="0"/>
        <charset val="1"/>
      </rPr>
      <t xml:space="preserve">6%</t>
    </r>
  </si>
  <si>
    <r>
      <rPr>
        <b val="true"/>
        <sz val="9"/>
        <color rgb="FF16305B"/>
        <rFont val="Noto Sans CJK SC"/>
        <family val="2"/>
      </rPr>
      <t xml:space="preserve">③ 终值现值 </t>
    </r>
    <r>
      <rPr>
        <b val="true"/>
        <sz val="9"/>
        <color rgb="FF16305B"/>
        <rFont val="Arial"/>
        <family val="0"/>
        <charset val="1"/>
      </rPr>
      <t xml:space="preserve">PV(TV)</t>
    </r>
  </si>
  <si>
    <r>
      <rPr>
        <sz val="8"/>
        <color rgb="FF404040"/>
        <rFont val="Noto Sans CJK SC"/>
        <family val="2"/>
      </rPr>
      <t xml:space="preserve">用 </t>
    </r>
    <r>
      <rPr>
        <sz val="8"/>
        <color rgb="FF404040"/>
        <rFont val="Arial"/>
        <family val="0"/>
        <charset val="1"/>
      </rPr>
      <t xml:space="preserve">FY32 </t>
    </r>
    <r>
      <rPr>
        <sz val="8"/>
        <color rgb="FF404040"/>
        <rFont val="Noto Sans CJK SC"/>
        <family val="2"/>
      </rPr>
      <t xml:space="preserve">的折现因子再折半年，与期中折现保持一致</t>
    </r>
  </si>
  <si>
    <t xml:space="preserve">④ 终值占企业价值比重</t>
  </si>
  <si>
    <t xml:space="preserve">★ 这个比例越高，说明估值越依赖你对永续期的猜测，而不是可见的现金流</t>
  </si>
  <si>
    <r>
      <rPr>
        <b val="true"/>
        <sz val="9"/>
        <color rgb="FF16305B"/>
        <rFont val="Noto Sans CJK SC"/>
        <family val="2"/>
      </rPr>
      <t xml:space="preserve">⑤ 企业价值 </t>
    </r>
    <r>
      <rPr>
        <b val="true"/>
        <sz val="9"/>
        <color rgb="FF16305B"/>
        <rFont val="Arial"/>
        <family val="0"/>
        <charset val="1"/>
      </rPr>
      <t xml:space="preserve">EV</t>
    </r>
  </si>
  <si>
    <r>
      <rPr>
        <sz val="8"/>
        <color rgb="FF404040"/>
        <rFont val="Noto Sans CJK SC"/>
        <family val="2"/>
      </rPr>
      <t xml:space="preserve">＝ ① </t>
    </r>
    <r>
      <rPr>
        <sz val="8"/>
        <color rgb="FF404040"/>
        <rFont val="Arial"/>
        <family val="0"/>
        <charset val="1"/>
      </rPr>
      <t xml:space="preserve">+ ③</t>
    </r>
  </si>
  <si>
    <t xml:space="preserve">⑥ ＋ 现金及可交易投资</t>
  </si>
  <si>
    <r>
      <rPr>
        <sz val="8"/>
        <color rgb="FF404040"/>
        <rFont val="Arial"/>
        <family val="0"/>
        <charset val="1"/>
      </rPr>
      <t xml:space="preserve">FY26 Q3</t>
    </r>
    <r>
      <rPr>
        <sz val="8"/>
        <color rgb="FF404040"/>
        <rFont val="Noto Sans CJK SC"/>
        <family val="2"/>
      </rPr>
      <t xml:space="preserve">末 </t>
    </r>
    <r>
      <rPr>
        <sz val="8"/>
        <color rgb="FF404040"/>
        <rFont val="Arial"/>
        <family val="0"/>
        <charset val="1"/>
      </rPr>
      <t xml:space="preserve">$30,155M</t>
    </r>
    <r>
      <rPr>
        <sz val="8"/>
        <color rgb="FF404040"/>
        <rFont val="Noto Sans CJK SC"/>
        <family val="2"/>
      </rPr>
      <t xml:space="preserve">（现金 </t>
    </r>
    <r>
      <rPr>
        <sz val="8"/>
        <color rgb="FF404040"/>
        <rFont val="Arial"/>
        <family val="0"/>
        <charset val="1"/>
      </rPr>
      <t xml:space="preserve">24,995 + </t>
    </r>
    <r>
      <rPr>
        <sz val="8"/>
        <color rgb="FF404040"/>
        <rFont val="Noto Sans CJK SC"/>
        <family val="2"/>
      </rPr>
      <t xml:space="preserve">短期投资 </t>
    </r>
    <r>
      <rPr>
        <sz val="8"/>
        <color rgb="FF404040"/>
        <rFont val="Arial"/>
        <family val="0"/>
        <charset val="1"/>
      </rPr>
      <t xml:space="preserve">1,027 + </t>
    </r>
    <r>
      <rPr>
        <sz val="8"/>
        <color rgb="FF404040"/>
        <rFont val="Noto Sans CJK SC"/>
        <family val="2"/>
      </rPr>
      <t xml:space="preserve">长期可交易投资 </t>
    </r>
    <r>
      <rPr>
        <sz val="8"/>
        <color rgb="FF404040"/>
        <rFont val="Arial"/>
        <family val="0"/>
        <charset val="1"/>
      </rPr>
      <t xml:space="preserve">4,106 + </t>
    </r>
    <r>
      <rPr>
        <sz val="8"/>
        <color rgb="FF404040"/>
        <rFont val="Noto Sans CJK SC"/>
        <family val="2"/>
      </rPr>
      <t xml:space="preserve">受限现金 </t>
    </r>
    <r>
      <rPr>
        <sz val="8"/>
        <color rgb="FF404040"/>
        <rFont val="Arial"/>
        <family val="0"/>
        <charset val="1"/>
      </rPr>
      <t xml:space="preserve">27</t>
    </r>
    <r>
      <rPr>
        <sz val="8"/>
        <color rgb="FF404040"/>
        <rFont val="Noto Sans CJK SC"/>
        <family val="2"/>
      </rPr>
      <t xml:space="preserve">）</t>
    </r>
  </si>
  <si>
    <r>
      <rPr>
        <b val="true"/>
        <sz val="9"/>
        <color rgb="FF16305B"/>
        <rFont val="Noto Sans CJK SC"/>
        <family val="2"/>
      </rPr>
      <t xml:space="preserve">⑦ ＋ 政府补贴应收</t>
    </r>
    <r>
      <rPr>
        <b val="true"/>
        <sz val="9"/>
        <color rgb="FF16305B"/>
        <rFont val="Arial"/>
        <family val="0"/>
        <charset val="1"/>
      </rPr>
      <t xml:space="preserve">/</t>
    </r>
    <r>
      <rPr>
        <b val="true"/>
        <sz val="9"/>
        <color rgb="FF16305B"/>
        <rFont val="Noto Sans CJK SC"/>
        <family val="2"/>
      </rPr>
      <t xml:space="preserve">其他非经营资产</t>
    </r>
  </si>
  <si>
    <r>
      <rPr>
        <sz val="8"/>
        <color rgb="FF404040"/>
        <rFont val="Arial"/>
        <family val="0"/>
        <charset val="1"/>
      </rPr>
      <t xml:space="preserve">MU </t>
    </r>
    <r>
      <rPr>
        <sz val="8"/>
        <color rgb="FF404040"/>
        <rFont val="Noto Sans CJK SC"/>
        <family val="2"/>
      </rPr>
      <t xml:space="preserve">的现金及可交易投资已包含短期与长期投资，此处不再重复计入，置 </t>
    </r>
    <r>
      <rPr>
        <sz val="8"/>
        <color rgb="FF404040"/>
        <rFont val="Arial"/>
        <family val="0"/>
        <charset val="1"/>
      </rPr>
      <t xml:space="preserve">0</t>
    </r>
  </si>
  <si>
    <t xml:space="preserve">⑧ − 有息负债</t>
  </si>
  <si>
    <r>
      <rPr>
        <sz val="8"/>
        <color rgb="FF404040"/>
        <rFont val="Arial"/>
        <family val="0"/>
        <charset val="1"/>
      </rPr>
      <t xml:space="preserve">FY26 Q3</t>
    </r>
    <r>
      <rPr>
        <sz val="8"/>
        <color rgb="FF404040"/>
        <rFont val="Noto Sans CJK SC"/>
        <family val="2"/>
      </rPr>
      <t xml:space="preserve">末 </t>
    </r>
    <r>
      <rPr>
        <sz val="8"/>
        <color rgb="FF404040"/>
        <rFont val="Arial"/>
        <family val="0"/>
        <charset val="1"/>
      </rPr>
      <t xml:space="preserve">$5,722M</t>
    </r>
    <r>
      <rPr>
        <sz val="8"/>
        <color rgb="FF404040"/>
        <rFont val="Noto Sans CJK SC"/>
        <family val="2"/>
      </rPr>
      <t xml:space="preserve">。已从 </t>
    </r>
    <r>
      <rPr>
        <sz val="8"/>
        <color rgb="FF404040"/>
        <rFont val="Arial"/>
        <family val="0"/>
        <charset val="1"/>
      </rPr>
      <t xml:space="preserve">FY25 </t>
    </r>
    <r>
      <rPr>
        <sz val="8"/>
        <color rgb="FF404040"/>
        <rFont val="Noto Sans CJK SC"/>
        <family val="2"/>
      </rPr>
      <t xml:space="preserve">末的 </t>
    </r>
    <r>
      <rPr>
        <sz val="8"/>
        <color rgb="FF404040"/>
        <rFont val="Arial"/>
        <family val="0"/>
        <charset val="1"/>
      </rPr>
      <t xml:space="preserve">$14,577M </t>
    </r>
    <r>
      <rPr>
        <sz val="8"/>
        <color rgb="FF404040"/>
        <rFont val="Noto Sans CJK SC"/>
        <family val="2"/>
      </rPr>
      <t xml:space="preserve">大幅下降，加权平均到期日 </t>
    </r>
    <r>
      <rPr>
        <sz val="8"/>
        <color rgb="FF404040"/>
        <rFont val="Arial"/>
        <family val="0"/>
        <charset val="1"/>
      </rPr>
      <t xml:space="preserve">2034 </t>
    </r>
    <r>
      <rPr>
        <sz val="8"/>
        <color rgb="FF404040"/>
        <rFont val="Noto Sans CJK SC"/>
        <family val="2"/>
      </rPr>
      <t xml:space="preserve">年 </t>
    </r>
    <r>
      <rPr>
        <sz val="8"/>
        <color rgb="FF404040"/>
        <rFont val="Arial"/>
        <family val="0"/>
        <charset val="1"/>
      </rPr>
      <t xml:space="preserve">8 </t>
    </r>
    <r>
      <rPr>
        <sz val="8"/>
        <color rgb="FF404040"/>
        <rFont val="Noto Sans CJK SC"/>
        <family val="2"/>
      </rPr>
      <t xml:space="preserve">月</t>
    </r>
  </si>
  <si>
    <t xml:space="preserve">⑨ 股权价值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</si>
  <si>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EV + </t>
    </r>
    <r>
      <rPr>
        <sz val="8"/>
        <color rgb="FF404040"/>
        <rFont val="Noto Sans CJK SC"/>
        <family val="2"/>
      </rPr>
      <t xml:space="preserve">净现金</t>
    </r>
  </si>
  <si>
    <t xml:space="preserve">⑩ 摊薄股数（百万股）</t>
  </si>
  <si>
    <r>
      <rPr>
        <sz val="8"/>
        <color rgb="FF404040"/>
        <rFont val="Noto Sans CJK SC"/>
        <family val="2"/>
      </rPr>
      <t xml:space="preserve">公司 </t>
    </r>
    <r>
      <rPr>
        <sz val="8"/>
        <color rgb="FF404040"/>
        <rFont val="Arial"/>
        <family val="0"/>
        <charset val="1"/>
      </rPr>
      <t xml:space="preserve">FY27 Q1 </t>
    </r>
    <r>
      <rPr>
        <sz val="8"/>
        <color rgb="FF404040"/>
        <rFont val="Noto Sans CJK SC"/>
        <family val="2"/>
      </rPr>
      <t xml:space="preserve">指引「约 </t>
    </r>
    <r>
      <rPr>
        <sz val="8"/>
        <color rgb="FF404040"/>
        <rFont val="Arial"/>
        <family val="0"/>
        <charset val="1"/>
      </rPr>
      <t xml:space="preserve">155</t>
    </r>
    <r>
      <rPr>
        <sz val="8"/>
        <color rgb="FF404040"/>
        <rFont val="Noto Sans CJK SC"/>
        <family val="2"/>
      </rPr>
      <t xml:space="preserve">」</t>
    </r>
  </si>
  <si>
    <t xml:space="preserve">⑪ 每股内在价值</t>
  </si>
  <si>
    <r>
      <rPr>
        <sz val="8"/>
        <color rgb="FF404040"/>
        <rFont val="Noto Sans CJK SC"/>
        <family val="2"/>
      </rPr>
      <t xml:space="preserve">＝ 股权价值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摊薄股数</t>
    </r>
  </si>
  <si>
    <t xml:space="preserve">⑫ 当前股价</t>
  </si>
  <si>
    <r>
      <rPr>
        <sz val="8"/>
        <color rgb="FF404040"/>
        <rFont val="Arial"/>
        <family val="0"/>
        <charset val="1"/>
      </rPr>
      <t xml:space="preserve">2026-08-26 </t>
    </r>
    <r>
      <rPr>
        <sz val="8"/>
        <color rgb="FF404040"/>
        <rFont val="Noto Sans CJK SC"/>
        <family val="2"/>
      </rPr>
      <t xml:space="preserve">盘中 </t>
    </r>
    <r>
      <rPr>
        <sz val="8"/>
        <color rgb="FF404040"/>
        <rFont val="Arial"/>
        <family val="0"/>
        <charset val="1"/>
      </rPr>
      <t xml:space="preserve">$1,500.17</t>
    </r>
  </si>
  <si>
    <r>
      <rPr>
        <b val="true"/>
        <sz val="10"/>
        <color rgb="FFFFFFFF"/>
        <rFont val="Noto Sans CJK SC"/>
        <family val="2"/>
      </rPr>
      <t xml:space="preserve">⑬ 相对现价的上行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下行</t>
    </r>
  </si>
  <si>
    <r>
      <rPr>
        <sz val="8"/>
        <color rgb="FF404040"/>
        <rFont val="Noto Sans CJK SC"/>
        <family val="2"/>
      </rPr>
      <t xml:space="preserve">★ 正数 </t>
    </r>
    <r>
      <rPr>
        <sz val="8"/>
        <color rgb="FF404040"/>
        <rFont val="Arial"/>
        <family val="0"/>
        <charset val="1"/>
      </rPr>
      <t xml:space="preserve">= </t>
    </r>
    <r>
      <rPr>
        <sz val="8"/>
        <color rgb="FF404040"/>
        <rFont val="Noto Sans CJK SC"/>
        <family val="2"/>
      </rPr>
      <t xml:space="preserve">模型认为被低估；负数 </t>
    </r>
    <r>
      <rPr>
        <sz val="8"/>
        <color rgb="FF404040"/>
        <rFont val="Arial"/>
        <family val="0"/>
        <charset val="1"/>
      </rPr>
      <t xml:space="preserve">= </t>
    </r>
    <r>
      <rPr>
        <sz val="8"/>
        <color rgb="FF404040"/>
        <rFont val="Noto Sans CJK SC"/>
        <family val="2"/>
      </rPr>
      <t xml:space="preserve">被高估</t>
    </r>
  </si>
  <si>
    <r>
      <rPr>
        <sz val="9"/>
        <color rgb="FF3D3D3D"/>
        <rFont val="Noto Sans CJK SC"/>
        <family val="2"/>
      </rPr>
      <t xml:space="preserve">★ 请先看第 ④ 行「终值占企业价值比重」再看第 ⑬ 行的结论。对一个处在周期顶点的存储公司，如果终值占比超过 </t>
    </r>
    <r>
      <rPr>
        <sz val="9"/>
        <color rgb="FF3D3D3D"/>
        <rFont val="Arial"/>
        <family val="0"/>
        <charset val="1"/>
      </rPr>
      <t xml:space="preserve">70%</t>
    </r>
    <r>
      <rPr>
        <sz val="9"/>
        <color rgb="FF3D3D3D"/>
        <rFont val="Noto Sans CJK SC"/>
        <family val="2"/>
      </rPr>
      <t xml:space="preserve">，那么这个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实际上不是在给现金流定价，而是在给你对 </t>
    </r>
    <r>
      <rPr>
        <sz val="9"/>
        <color rgb="FF3D3D3D"/>
        <rFont val="Arial"/>
        <family val="0"/>
        <charset val="1"/>
      </rPr>
      <t xml:space="preserve">2032 </t>
    </r>
    <r>
      <rPr>
        <sz val="9"/>
        <color rgb="FF3D3D3D"/>
        <rFont val="Noto Sans CJK SC"/>
        <family val="2"/>
      </rPr>
      <t xml:space="preserve">年之后 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行业格局的猜测定价。</t>
    </r>
  </si>
  <si>
    <r>
      <rPr>
        <b val="true"/>
        <sz val="11"/>
        <color rgb="FFFFFFFF"/>
        <rFont val="Arial"/>
        <family val="0"/>
        <charset val="1"/>
      </rPr>
      <t xml:space="preserve">05  </t>
    </r>
    <r>
      <rPr>
        <b val="true"/>
        <sz val="11"/>
        <color rgb="FFFFFFFF"/>
        <rFont val="Noto Sans CJK SC"/>
        <family val="2"/>
      </rPr>
      <t xml:space="preserve">交叉验证：退出倍数法与相对估值</t>
    </r>
  </si>
  <si>
    <t xml:space="preserve">方法</t>
  </si>
  <si>
    <t xml:space="preserve">关键输入</t>
  </si>
  <si>
    <t xml:space="preserve">隐含结果</t>
  </si>
  <si>
    <r>
      <rPr>
        <b val="true"/>
        <sz val="9"/>
        <color rgb="FF000000"/>
        <rFont val="Noto Sans CJK SC"/>
        <family val="2"/>
      </rPr>
      <t xml:space="preserve">永续增长法隐含的退出 </t>
    </r>
    <r>
      <rPr>
        <b val="true"/>
        <sz val="9"/>
        <color rgb="FF000000"/>
        <rFont val="Arial"/>
        <family val="0"/>
        <charset val="1"/>
      </rPr>
      <t xml:space="preserve">EV/EBITDA</t>
    </r>
  </si>
  <si>
    <r>
      <rPr>
        <sz val="8"/>
        <color rgb="FF404040"/>
        <rFont val="Noto Sans CJK SC"/>
        <family val="2"/>
      </rPr>
      <t xml:space="preserve">＝ 终值 </t>
    </r>
    <r>
      <rPr>
        <sz val="8"/>
        <color rgb="FF404040"/>
        <rFont val="Arial"/>
        <family val="0"/>
        <charset val="1"/>
      </rPr>
      <t xml:space="preserve">÷ FY32 EBITDA</t>
    </r>
    <r>
      <rPr>
        <sz val="8"/>
        <color rgb="FF404040"/>
        <rFont val="Noto Sans CJK SC"/>
        <family val="2"/>
      </rPr>
      <t xml:space="preserve">。若这个倍数远高于半导体行业常见的 </t>
    </r>
    <r>
      <rPr>
        <sz val="8"/>
        <color rgb="FF404040"/>
        <rFont val="Arial"/>
        <family val="0"/>
        <charset val="1"/>
      </rPr>
      <t xml:space="preserve">8–14x</t>
    </r>
    <r>
      <rPr>
        <sz val="8"/>
        <color rgb="FF404040"/>
        <rFont val="Noto Sans CJK SC"/>
        <family val="2"/>
      </rPr>
      <t xml:space="preserve">，说明永续增长率给得过于激进</t>
    </r>
  </si>
  <si>
    <r>
      <rPr>
        <b val="true"/>
        <sz val="9"/>
        <color rgb="FF000000"/>
        <rFont val="Noto Sans CJK SC"/>
        <family val="2"/>
      </rPr>
      <t xml:space="preserve">永续增长法隐含的退出 </t>
    </r>
    <r>
      <rPr>
        <b val="true"/>
        <sz val="9"/>
        <color rgb="FF000000"/>
        <rFont val="Arial"/>
        <family val="0"/>
        <charset val="1"/>
      </rPr>
      <t xml:space="preserve">EV/</t>
    </r>
    <r>
      <rPr>
        <b val="true"/>
        <sz val="9"/>
        <color rgb="FF000000"/>
        <rFont val="Noto Sans CJK SC"/>
        <family val="2"/>
      </rPr>
      <t xml:space="preserve">收入</t>
    </r>
  </si>
  <si>
    <r>
      <rPr>
        <sz val="8"/>
        <color rgb="FF404040"/>
        <rFont val="Noto Sans CJK SC"/>
        <family val="2"/>
      </rPr>
      <t xml:space="preserve">＝ 终值 </t>
    </r>
    <r>
      <rPr>
        <sz val="8"/>
        <color rgb="FF404040"/>
        <rFont val="Arial"/>
        <family val="0"/>
        <charset val="1"/>
      </rPr>
      <t xml:space="preserve">÷ FY32 </t>
    </r>
    <r>
      <rPr>
        <sz val="8"/>
        <color rgb="FF404040"/>
        <rFont val="Noto Sans CJK SC"/>
        <family val="2"/>
      </rPr>
      <t xml:space="preserve">收入</t>
    </r>
  </si>
  <si>
    <r>
      <rPr>
        <b val="true"/>
        <sz val="9"/>
        <color rgb="FF000000"/>
        <rFont val="Noto Sans CJK SC"/>
        <family val="2"/>
      </rPr>
      <t xml:space="preserve">本模型每股价值 </t>
    </r>
    <r>
      <rPr>
        <b val="true"/>
        <sz val="9"/>
        <color rgb="FF000000"/>
        <rFont val="Arial"/>
        <family val="0"/>
        <charset val="1"/>
      </rPr>
      <t xml:space="preserve">÷ FY27 </t>
    </r>
    <r>
      <rPr>
        <b val="true"/>
        <sz val="9"/>
        <color rgb="FF000000"/>
        <rFont val="Noto Sans CJK SC"/>
        <family val="2"/>
      </rPr>
      <t xml:space="preserve">每股 </t>
    </r>
    <r>
      <rPr>
        <b val="true"/>
        <sz val="9"/>
        <color rgb="FF000000"/>
        <rFont val="Arial"/>
        <family val="0"/>
        <charset val="1"/>
      </rPr>
      <t xml:space="preserve">FCFF</t>
    </r>
  </si>
  <si>
    <r>
      <rPr>
        <sz val="8"/>
        <color rgb="FF404040"/>
        <rFont val="Noto Sans CJK SC"/>
        <family val="2"/>
      </rPr>
      <t xml:space="preserve">把内在价值换算成 </t>
    </r>
    <r>
      <rPr>
        <sz val="8"/>
        <color rgb="FF404040"/>
        <rFont val="Arial"/>
        <family val="0"/>
        <charset val="1"/>
      </rPr>
      <t xml:space="preserve">FY27 </t>
    </r>
    <r>
      <rPr>
        <sz val="8"/>
        <color rgb="FF404040"/>
        <rFont val="Noto Sans CJK SC"/>
        <family val="2"/>
      </rPr>
      <t xml:space="preserve">自由现金流的倍数，便于与同业横比</t>
    </r>
  </si>
  <si>
    <r>
      <rPr>
        <b val="true"/>
        <sz val="9"/>
        <color rgb="FF000000"/>
        <rFont val="Noto Sans CJK SC"/>
        <family val="2"/>
      </rPr>
      <t xml:space="preserve">当前股价隐含的 </t>
    </r>
    <r>
      <rPr>
        <b val="true"/>
        <sz val="9"/>
        <color rgb="FF000000"/>
        <rFont val="Arial"/>
        <family val="0"/>
        <charset val="1"/>
      </rPr>
      <t xml:space="preserve">FY27 P/FCFF</t>
    </r>
  </si>
  <si>
    <r>
      <rPr>
        <sz val="8"/>
        <color rgb="FF404040"/>
        <rFont val="Noto Sans CJK SC"/>
        <family val="2"/>
      </rPr>
      <t xml:space="preserve">市场正在为 </t>
    </r>
    <r>
      <rPr>
        <sz val="8"/>
        <color rgb="FF404040"/>
        <rFont val="Arial"/>
        <family val="0"/>
        <charset val="1"/>
      </rPr>
      <t xml:space="preserve">FY27 </t>
    </r>
    <r>
      <rPr>
        <sz val="8"/>
        <color rgb="FF404040"/>
        <rFont val="Noto Sans CJK SC"/>
        <family val="2"/>
      </rPr>
      <t xml:space="preserve">的自由现金流付多少倍</t>
    </r>
  </si>
  <si>
    <r>
      <rPr>
        <b val="true"/>
        <sz val="9"/>
        <color rgb="FF000000"/>
        <rFont val="Noto Sans CJK SC"/>
        <family val="2"/>
      </rPr>
      <t xml:space="preserve">当前市值 </t>
    </r>
    <r>
      <rPr>
        <b val="true"/>
        <sz val="9"/>
        <color rgb="FF000000"/>
        <rFont val="Arial"/>
        <family val="0"/>
        <charset val="1"/>
      </rPr>
      <t xml:space="preserve">÷ </t>
    </r>
    <r>
      <rPr>
        <b val="true"/>
        <sz val="9"/>
        <color rgb="FF000000"/>
        <rFont val="Noto Sans CJK SC"/>
        <family val="2"/>
      </rPr>
      <t xml:space="preserve">本模型股权价值</t>
    </r>
  </si>
  <si>
    <r>
      <rPr>
        <sz val="8"/>
        <color rgb="FF404040"/>
        <rFont val="Noto Sans CJK SC"/>
        <family val="2"/>
      </rPr>
      <t xml:space="preserve">大于 </t>
    </r>
    <r>
      <rPr>
        <sz val="8"/>
        <color rgb="FF404040"/>
        <rFont val="Arial"/>
        <family val="0"/>
        <charset val="1"/>
      </rPr>
      <t xml:space="preserve">1 = </t>
    </r>
    <r>
      <rPr>
        <sz val="8"/>
        <color rgb="FF404040"/>
        <rFont val="Noto Sans CJK SC"/>
        <family val="2"/>
      </rPr>
      <t xml:space="preserve">市场比模型乐观</t>
    </r>
  </si>
  <si>
    <r>
      <rPr>
        <b val="true"/>
        <sz val="11"/>
        <color rgb="FFFFFFFF"/>
        <rFont val="Arial"/>
        <family val="0"/>
        <charset val="1"/>
      </rPr>
      <t xml:space="preserve">06  </t>
    </r>
    <r>
      <rPr>
        <b val="true"/>
        <sz val="11"/>
        <color rgb="FFFFFFFF"/>
        <rFont val="Noto Sans CJK SC"/>
        <family val="2"/>
      </rPr>
      <t xml:space="preserve">回购与每股收益：</t>
    </r>
    <r>
      <rPr>
        <b val="true"/>
        <sz val="11"/>
        <color rgb="FFFFFFFF"/>
        <rFont val="Arial"/>
        <family val="0"/>
        <charset val="1"/>
      </rPr>
      <t xml:space="preserve">EPS × P/E </t>
    </r>
    <r>
      <rPr>
        <b val="true"/>
        <sz val="11"/>
        <color rgb="FFFFFFFF"/>
        <rFont val="Noto Sans CJK SC"/>
        <family val="2"/>
      </rPr>
      <t xml:space="preserve">交叉估值（与 </t>
    </r>
    <r>
      <rPr>
        <b val="true"/>
        <sz val="11"/>
        <color rgb="FFFFFFFF"/>
        <rFont val="Arial"/>
        <family val="0"/>
        <charset val="1"/>
      </rPr>
      <t xml:space="preserve">DCF </t>
    </r>
    <r>
      <rPr>
        <b val="true"/>
        <sz val="11"/>
        <color rgb="FFFFFFFF"/>
        <rFont val="Noto Sans CJK SC"/>
        <family val="2"/>
      </rPr>
      <t xml:space="preserve">并排看）</t>
    </r>
  </si>
  <si>
    <r>
      <rPr>
        <sz val="9"/>
        <color rgb="FF3D3D3D"/>
        <rFont val="Noto Sans CJK SC"/>
        <family val="2"/>
      </rPr>
      <t xml:space="preserve">为什么要做这一块：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给的是「整个企业值多少钱」，它对回购是中性的——按公允价值回购既不创造也不毁灭价值。但管理层已承诺把 </t>
    </r>
    <r>
      <rPr>
        <sz val="9"/>
        <color rgb="FF3D3D3D"/>
        <rFont val="Arial"/>
        <family val="0"/>
        <charset val="1"/>
      </rPr>
      <t xml:space="preserve">100% </t>
    </r>
    <r>
      <rPr>
        <sz val="9"/>
        <color rgb="FF3D3D3D"/>
        <rFont val="Noto Sans CJK SC"/>
        <family val="2"/>
      </rPr>
      <t xml:space="preserve">的剩余现金用于回购，股数会大幅下降，所以从「持有不卖的股东」角度看，每股口径会变。这一节把回购显式建模：股数逐年递减 → 经营性 </t>
    </r>
    <r>
      <rPr>
        <sz val="9"/>
        <color rgb="FF3D3D3D"/>
        <rFont val="Arial"/>
        <family val="0"/>
        <charset val="1"/>
      </rPr>
      <t xml:space="preserve">EPS </t>
    </r>
    <r>
      <rPr>
        <sz val="9"/>
        <color rgb="FF3D3D3D"/>
        <rFont val="Noto Sans CJK SC"/>
        <family val="2"/>
      </rPr>
      <t xml:space="preserve">抬升 → 用当年的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给一个价格 → 折回今天，再与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的结果并排比较。</t>
    </r>
  </si>
  <si>
    <r>
      <rPr>
        <sz val="9"/>
        <color rgb="FF3D3D3D"/>
        <rFont val="Noto Sans CJK SC"/>
        <family val="2"/>
      </rPr>
      <t xml:space="preserve">★ 关于 </t>
    </r>
    <r>
      <rPr>
        <sz val="9"/>
        <color rgb="FF3D3D3D"/>
        <rFont val="Arial"/>
        <family val="0"/>
        <charset val="1"/>
      </rPr>
      <t xml:space="preserve">P/E</t>
    </r>
    <r>
      <rPr>
        <sz val="9"/>
        <color rgb="FF3D3D3D"/>
        <rFont val="Noto Sans CJK SC"/>
        <family val="2"/>
      </rPr>
      <t xml:space="preserve">：本节不再用同一个倍数乘所有年份。</t>
    </r>
    <r>
      <rPr>
        <sz val="9"/>
        <color rgb="FF3D3D3D"/>
        <rFont val="Arial"/>
        <family val="0"/>
        <charset val="1"/>
      </rPr>
      <t xml:space="preserve">FY2027</t>
    </r>
    <r>
      <rPr>
        <sz val="9"/>
        <color rgb="FF3D3D3D"/>
        <rFont val="Noto Sans CJK SC"/>
        <family val="2"/>
      </rPr>
      <t xml:space="preserve">、</t>
    </r>
    <r>
      <rPr>
        <sz val="9"/>
        <color rgb="FF3D3D3D"/>
        <rFont val="Arial"/>
        <family val="0"/>
        <charset val="1"/>
      </rPr>
      <t xml:space="preserve">FY2028</t>
    </r>
    <r>
      <rPr>
        <sz val="9"/>
        <color rgb="FF3D3D3D"/>
        <rFont val="Noto Sans CJK SC"/>
        <family val="2"/>
      </rPr>
      <t xml:space="preserve">、</t>
    </r>
    <r>
      <rPr>
        <sz val="9"/>
        <color rgb="FF3D3D3D"/>
        <rFont val="Arial"/>
        <family val="0"/>
        <charset val="1"/>
      </rPr>
      <t xml:space="preserve">FY2032 </t>
    </r>
    <r>
      <rPr>
        <sz val="9"/>
        <color rgb="FF3D3D3D"/>
        <rFont val="Noto Sans CJK SC"/>
        <family val="2"/>
      </rPr>
      <t xml:space="preserve">各有独立滑标，</t>
    </r>
    <r>
      <rPr>
        <sz val="9"/>
        <color rgb="FF3D3D3D"/>
        <rFont val="Arial"/>
        <family val="0"/>
        <charset val="1"/>
      </rPr>
      <t xml:space="preserve">FY29–FY31 </t>
    </r>
    <r>
      <rPr>
        <sz val="9"/>
        <color rgb="FF3D3D3D"/>
        <rFont val="Noto Sans CJK SC"/>
        <family val="2"/>
      </rPr>
      <t xml:space="preserve">在 </t>
    </r>
    <r>
      <rPr>
        <sz val="9"/>
        <color rgb="FF3D3D3D"/>
        <rFont val="Arial"/>
        <family val="0"/>
        <charset val="1"/>
      </rPr>
      <t xml:space="preserve">FY28 </t>
    </r>
    <r>
      <rPr>
        <sz val="9"/>
        <color rgb="FF3D3D3D"/>
        <rFont val="Noto Sans CJK SC"/>
        <family val="2"/>
      </rPr>
      <t xml:space="preserve">与 </t>
    </r>
    <r>
      <rPr>
        <sz val="9"/>
        <color rgb="FF3D3D3D"/>
        <rFont val="Arial"/>
        <family val="0"/>
        <charset val="1"/>
      </rPr>
      <t xml:space="preserve">FY32 </t>
    </r>
    <r>
      <rPr>
        <sz val="9"/>
        <color rgb="FF3D3D3D"/>
        <rFont val="Noto Sans CJK SC"/>
        <family val="2"/>
      </rPr>
      <t xml:space="preserve">之间线性过渡。原因是周期股的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与盈利反向：盈利高点（</t>
    </r>
    <r>
      <rPr>
        <sz val="9"/>
        <color rgb="FF3D3D3D"/>
        <rFont val="Arial"/>
        <family val="0"/>
        <charset val="1"/>
      </rPr>
      <t xml:space="preserve">FY27</t>
    </r>
    <r>
      <rPr>
        <sz val="9"/>
        <color rgb="FF3D3D3D"/>
        <rFont val="Noto Sans CJK SC"/>
        <family val="2"/>
      </rPr>
      <t xml:space="preserve">）市场给的倍数最低，盈利回落年（</t>
    </r>
    <r>
      <rPr>
        <sz val="9"/>
        <color rgb="FF3D3D3D"/>
        <rFont val="Arial"/>
        <family val="0"/>
        <charset val="1"/>
      </rPr>
      <t xml:space="preserve">FY28</t>
    </r>
    <r>
      <rPr>
        <sz val="9"/>
        <color rgb="FF3D3D3D"/>
        <rFont val="Noto Sans CJK SC"/>
        <family val="2"/>
      </rPr>
      <t xml:space="preserve">）分母掉得比股价快、倍数反而扩张，终局年（</t>
    </r>
    <r>
      <rPr>
        <sz val="9"/>
        <color rgb="FF3D3D3D"/>
        <rFont val="Arial"/>
        <family val="0"/>
        <charset val="1"/>
      </rPr>
      <t xml:space="preserve">FY32</t>
    </r>
    <r>
      <rPr>
        <sz val="9"/>
        <color rgb="FF3D3D3D"/>
        <rFont val="Noto Sans CJK SC"/>
        <family val="2"/>
      </rPr>
      <t xml:space="preserve">）回到正常中枢。用一个固定倍数乘所有年份，会系统性高估高点年份的目标价。</t>
    </r>
  </si>
  <si>
    <r>
      <rPr>
        <sz val="9"/>
        <color rgb="FF3D3D3D"/>
        <rFont val="Noto Sans CJK SC"/>
        <family val="2"/>
      </rPr>
      <t xml:space="preserve">★ 关于回购均价：＝ 当前股价 </t>
    </r>
    <r>
      <rPr>
        <sz val="9"/>
        <color rgb="FF3D3D3D"/>
        <rFont val="Arial"/>
        <family val="0"/>
        <charset val="1"/>
      </rPr>
      <t xml:space="preserve">× </t>
    </r>
    <r>
      <rPr>
        <sz val="9"/>
        <color rgb="FF3D3D3D"/>
        <rFont val="Noto Sans CJK SC"/>
        <family val="2"/>
      </rPr>
      <t xml:space="preserve">倍数 </t>
    </r>
    <r>
      <rPr>
        <sz val="9"/>
        <color rgb="FF3D3D3D"/>
        <rFont val="Arial"/>
        <family val="0"/>
        <charset val="1"/>
      </rPr>
      <t xml:space="preserve">×(1+WACC)^(t−0.5)</t>
    </r>
    <r>
      <rPr>
        <sz val="9"/>
        <color rgb="FF3D3D3D"/>
        <rFont val="Noto Sans CJK SC"/>
        <family val="2"/>
      </rPr>
      <t xml:space="preserve">。让回购价按折现率复利，是「市场对股票定价合理」的中性假设。如果假设股价六年不动，模型会机械地算出巨额增厚——那是假的。有了这个设定，当 </t>
    </r>
    <r>
      <rPr>
        <sz val="9"/>
        <color rgb="FF3D3D3D"/>
        <rFont val="Arial"/>
        <family val="0"/>
        <charset val="1"/>
      </rPr>
      <t xml:space="preserve">FY32 </t>
    </r>
    <r>
      <rPr>
        <sz val="9"/>
        <color rgb="FF3D3D3D"/>
        <rFont val="Noto Sans CJK SC"/>
        <family val="2"/>
      </rPr>
      <t xml:space="preserve">的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等于「本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隐含的退出 </t>
    </r>
    <r>
      <rPr>
        <sz val="9"/>
        <color rgb="FF3D3D3D"/>
        <rFont val="Arial"/>
        <family val="0"/>
        <charset val="1"/>
      </rPr>
      <t xml:space="preserve">P/E</t>
    </r>
    <r>
      <rPr>
        <sz val="9"/>
        <color rgb="FF3D3D3D"/>
        <rFont val="Noto Sans CJK SC"/>
        <family val="2"/>
      </rPr>
      <t xml:space="preserve">」时，两种方法应当收敛。</t>
    </r>
  </si>
  <si>
    <t xml:space="preserve">科目</t>
  </si>
  <si>
    <r>
      <rPr>
        <sz val="9"/>
        <color rgb="FF000000"/>
        <rFont val="Noto Sans CJK SC"/>
        <family val="2"/>
      </rPr>
      <t xml:space="preserve">自由现金流 </t>
    </r>
    <r>
      <rPr>
        <sz val="9"/>
        <color rgb="FF000000"/>
        <rFont val="Arial"/>
        <family val="0"/>
        <charset val="1"/>
      </rPr>
      <t xml:space="preserve">FCFF</t>
    </r>
  </si>
  <si>
    <t xml:space="preserve">链接自上方年度预测表</t>
  </si>
  <si>
    <r>
      <rPr>
        <sz val="9"/>
        <color rgb="FF000000"/>
        <rFont val="Arial"/>
        <family val="0"/>
        <charset val="1"/>
      </rPr>
      <t xml:space="preserve">× </t>
    </r>
    <r>
      <rPr>
        <sz val="9"/>
        <color rgb="FF000000"/>
        <rFont val="Noto Sans CJK SC"/>
        <family val="2"/>
      </rPr>
      <t xml:space="preserve">回购比例</t>
    </r>
  </si>
  <si>
    <r>
      <rPr>
        <sz val="8"/>
        <color rgb="FF404040"/>
        <rFont val="Noto Sans CJK SC"/>
        <family val="2"/>
      </rPr>
      <t xml:space="preserve">本节内控制台滑标，默认 </t>
    </r>
    <r>
      <rPr>
        <sz val="8"/>
        <color rgb="FF404040"/>
        <rFont val="Arial"/>
        <family val="0"/>
        <charset val="1"/>
      </rPr>
      <t xml:space="preserve">100%</t>
    </r>
    <r>
      <rPr>
        <sz val="8"/>
        <color rgb="FF404040"/>
        <rFont val="Noto Sans CJK SC"/>
        <family val="2"/>
      </rPr>
      <t xml:space="preserve">（管理层承诺返还 </t>
    </r>
    <r>
      <rPr>
        <sz val="8"/>
        <color rgb="FF404040"/>
        <rFont val="Arial"/>
        <family val="0"/>
        <charset val="1"/>
      </rPr>
      <t xml:space="preserve">100% </t>
    </r>
    <r>
      <rPr>
        <sz val="8"/>
        <color rgb="FF404040"/>
        <rFont val="Noto Sans CJK SC"/>
        <family val="2"/>
      </rPr>
      <t xml:space="preserve">剩余现金）</t>
    </r>
  </si>
  <si>
    <t xml:space="preserve">＝ 用于回购的金额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</si>
  <si>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MAX(0, FCFF × </t>
    </r>
    <r>
      <rPr>
        <sz val="8"/>
        <color rgb="FF404040"/>
        <rFont val="Noto Sans CJK SC"/>
        <family val="2"/>
      </rPr>
      <t xml:space="preserve">回购比例</t>
    </r>
    <r>
      <rPr>
        <sz val="8"/>
        <color rgb="FF404040"/>
        <rFont val="Arial"/>
        <family val="0"/>
        <charset val="1"/>
      </rPr>
      <t xml:space="preserve">)</t>
    </r>
    <r>
      <rPr>
        <sz val="8"/>
        <color rgb="FF404040"/>
        <rFont val="Noto Sans CJK SC"/>
        <family val="2"/>
      </rPr>
      <t xml:space="preserve">。</t>
    </r>
    <r>
      <rPr>
        <sz val="8"/>
        <color rgb="FF404040"/>
        <rFont val="Arial"/>
        <family val="0"/>
        <charset val="1"/>
      </rPr>
      <t xml:space="preserve">FCFF </t>
    </r>
    <r>
      <rPr>
        <sz val="8"/>
        <color rgb="FF404040"/>
        <rFont val="Noto Sans CJK SC"/>
        <family val="2"/>
      </rPr>
      <t xml:space="preserve">为负时不回购</t>
    </r>
  </si>
  <si>
    <r>
      <rPr>
        <sz val="9"/>
        <color rgb="FF000000"/>
        <rFont val="Noto Sans CJK SC"/>
        <family val="2"/>
      </rPr>
      <t xml:space="preserve">回购均价（美元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股）</t>
    </r>
  </si>
  <si>
    <r>
      <rPr>
        <sz val="8"/>
        <color rgb="FF404040"/>
        <rFont val="Noto Sans CJK SC"/>
        <family val="2"/>
      </rPr>
      <t xml:space="preserve">＝ 当前股价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本节滑标倍数 </t>
    </r>
    <r>
      <rPr>
        <sz val="8"/>
        <color rgb="FF404040"/>
        <rFont val="Arial"/>
        <family val="0"/>
        <charset val="1"/>
      </rPr>
      <t xml:space="preserve">×(1+WACC)^(t−0.5)</t>
    </r>
  </si>
  <si>
    <t xml:space="preserve">− 回购注销股数（百万股）</t>
  </si>
  <si>
    <r>
      <rPr>
        <sz val="8"/>
        <color rgb="FF404040"/>
        <rFont val="Noto Sans CJK SC"/>
        <family val="2"/>
      </rPr>
      <t xml:space="preserve">＝ 回购金额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回购均价</t>
    </r>
  </si>
  <si>
    <t xml:space="preserve">＋ 股权激励新增股数（百万股）</t>
  </si>
  <si>
    <r>
      <rPr>
        <sz val="8"/>
        <color rgb="FF404040"/>
        <rFont val="Noto Sans CJK SC"/>
        <family val="2"/>
      </rPr>
      <t xml:space="preserve">＝ 收入 </t>
    </r>
    <r>
      <rPr>
        <sz val="8"/>
        <color rgb="FF404040"/>
        <rFont val="Arial"/>
        <family val="0"/>
        <charset val="1"/>
      </rPr>
      <t xml:space="preserve">× 1.15% ÷ </t>
    </r>
    <r>
      <rPr>
        <sz val="8"/>
        <color rgb="FF404040"/>
        <rFont val="Noto Sans CJK SC"/>
        <family val="2"/>
      </rPr>
      <t xml:space="preserve">回购均价。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股份支付 </t>
    </r>
    <r>
      <rPr>
        <sz val="8"/>
        <color rgb="FF404040"/>
        <rFont val="Arial"/>
        <family val="0"/>
        <charset val="1"/>
      </rPr>
      <t xml:space="preserve">$232M ÷ </t>
    </r>
    <r>
      <rPr>
        <sz val="8"/>
        <color rgb="FF404040"/>
        <rFont val="Noto Sans CJK SC"/>
        <family val="2"/>
      </rPr>
      <t xml:space="preserve">收入 </t>
    </r>
    <r>
      <rPr>
        <sz val="8"/>
        <color rgb="FF404040"/>
        <rFont val="Arial"/>
        <family val="0"/>
        <charset val="1"/>
      </rPr>
      <t xml:space="preserve">$20,248M </t>
    </r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1.15%</t>
    </r>
  </si>
  <si>
    <t xml:space="preserve">期初摊薄股数（百万股）</t>
  </si>
  <si>
    <r>
      <rPr>
        <sz val="8"/>
        <color rgb="FF404040"/>
        <rFont val="Arial"/>
        <family val="0"/>
        <charset val="1"/>
      </rPr>
      <t xml:space="preserve">FY27 </t>
    </r>
    <r>
      <rPr>
        <sz val="8"/>
        <color rgb="FF404040"/>
        <rFont val="Noto Sans CJK SC"/>
        <family val="2"/>
      </rPr>
      <t xml:space="preserve">期初取公司指引的 </t>
    </r>
    <r>
      <rPr>
        <sz val="8"/>
        <color rgb="FF404040"/>
        <rFont val="Arial"/>
        <family val="0"/>
        <charset val="1"/>
      </rPr>
      <t xml:space="preserve">155</t>
    </r>
    <r>
      <rPr>
        <sz val="8"/>
        <color rgb="FF404040"/>
        <rFont val="Noto Sans CJK SC"/>
        <family val="2"/>
      </rPr>
      <t xml:space="preserve">；其后为上年期末</t>
    </r>
  </si>
  <si>
    <t xml:space="preserve">期末摊薄股数（百万股）</t>
  </si>
  <si>
    <r>
      <rPr>
        <sz val="8"/>
        <color rgb="FF404040"/>
        <rFont val="Noto Sans CJK SC"/>
        <family val="2"/>
      </rPr>
      <t xml:space="preserve">＝ 期初 − 回购注销 </t>
    </r>
    <r>
      <rPr>
        <sz val="8"/>
        <color rgb="FF404040"/>
        <rFont val="Arial"/>
        <family val="0"/>
        <charset val="1"/>
      </rPr>
      <t xml:space="preserve">+ </t>
    </r>
    <r>
      <rPr>
        <sz val="8"/>
        <color rgb="FF404040"/>
        <rFont val="Noto Sans CJK SC"/>
        <family val="2"/>
      </rPr>
      <t xml:space="preserve">股权激励新增，下限锁 </t>
    </r>
    <r>
      <rPr>
        <sz val="8"/>
        <color rgb="FF404040"/>
        <rFont val="Arial"/>
        <family val="0"/>
        <charset val="1"/>
      </rPr>
      <t xml:space="preserve">20</t>
    </r>
  </si>
  <si>
    <t xml:space="preserve">净现金余额</t>
  </si>
  <si>
    <r>
      <rPr>
        <sz val="8"/>
        <color rgb="FF404040"/>
        <rFont val="Noto Sans CJK SC"/>
        <family val="2"/>
      </rPr>
      <t xml:space="preserve">＝ 上期净现金 </t>
    </r>
    <r>
      <rPr>
        <sz val="8"/>
        <color rgb="FF404040"/>
        <rFont val="Arial"/>
        <family val="0"/>
        <charset val="1"/>
      </rPr>
      <t xml:space="preserve">+ FCFF − </t>
    </r>
    <r>
      <rPr>
        <sz val="8"/>
        <color rgb="FF404040"/>
        <rFont val="Noto Sans CJK SC"/>
        <family val="2"/>
      </rPr>
      <t xml:space="preserve">回购金额。★ 回购比例＜</t>
    </r>
    <r>
      <rPr>
        <sz val="8"/>
        <color rgb="FF404040"/>
        <rFont val="Arial"/>
        <family val="0"/>
        <charset val="1"/>
      </rPr>
      <t xml:space="preserve">100% </t>
    </r>
    <r>
      <rPr>
        <sz val="8"/>
        <color rgb="FF404040"/>
        <rFont val="Noto Sans CJK SC"/>
        <family val="2"/>
      </rPr>
      <t xml:space="preserve">时现金会累积，这部分价值必须计入，否则会低估</t>
    </r>
  </si>
  <si>
    <r>
      <rPr>
        <sz val="8"/>
        <color rgb="FF404040"/>
        <rFont val="Noto Sans CJK SC"/>
        <family val="2"/>
      </rPr>
      <t xml:space="preserve">链接自上方年度预测表。★ 用 </t>
    </r>
    <r>
      <rPr>
        <sz val="8"/>
        <color rgb="FF404040"/>
        <rFont val="Arial"/>
        <family val="0"/>
        <charset val="1"/>
      </rPr>
      <t xml:space="preserve">NOPAT </t>
    </r>
    <r>
      <rPr>
        <sz val="8"/>
        <color rgb="FF404040"/>
        <rFont val="Noto Sans CJK SC"/>
        <family val="2"/>
      </rPr>
      <t xml:space="preserve">而非净利润，是为了与 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同口径（不含利息）</t>
    </r>
  </si>
  <si>
    <r>
      <rPr>
        <b val="true"/>
        <sz val="9"/>
        <color rgb="FF16305B"/>
        <rFont val="Noto Sans CJK SC"/>
        <family val="2"/>
      </rPr>
      <t xml:space="preserve">经营性每股收益 </t>
    </r>
    <r>
      <rPr>
        <b val="true"/>
        <sz val="9"/>
        <color rgb="FF16305B"/>
        <rFont val="Arial"/>
        <family val="0"/>
        <charset val="1"/>
      </rPr>
      <t xml:space="preserve">EPS</t>
    </r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</si>
  <si>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NOPAT ÷ </t>
    </r>
    <r>
      <rPr>
        <sz val="8"/>
        <color rgb="FF404040"/>
        <rFont val="Noto Sans CJK SC"/>
        <family val="2"/>
      </rPr>
      <t xml:space="preserve">期末股数。用期末股数而非加权平均，因为要回答的是「那个时点每一股值多少」</t>
    </r>
  </si>
  <si>
    <t xml:space="preserve">每股净现金</t>
  </si>
  <si>
    <r>
      <rPr>
        <sz val="8"/>
        <color rgb="FF404040"/>
        <rFont val="Noto Sans CJK SC"/>
        <family val="2"/>
      </rPr>
      <t xml:space="preserve">＝ 净现金余额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期末股数</t>
    </r>
  </si>
  <si>
    <r>
      <rPr>
        <b val="true"/>
        <sz val="9"/>
        <color rgb="FF16305B"/>
        <rFont val="Noto Sans CJK SC"/>
        <family val="2"/>
      </rPr>
      <t xml:space="preserve">★ 采用的 </t>
    </r>
    <r>
      <rPr>
        <b val="true"/>
        <sz val="9"/>
        <color rgb="FF16305B"/>
        <rFont val="Arial"/>
        <family val="0"/>
        <charset val="1"/>
      </rPr>
      <t xml:space="preserve">P/E </t>
    </r>
    <r>
      <rPr>
        <b val="true"/>
        <sz val="9"/>
        <color rgb="FF16305B"/>
        <rFont val="Noto Sans CJK SC"/>
        <family val="2"/>
      </rPr>
      <t xml:space="preserve">倍数</t>
    </r>
  </si>
  <si>
    <r>
      <rPr>
        <sz val="8"/>
        <color rgb="FF404040"/>
        <rFont val="Arial"/>
        <family val="0"/>
        <charset val="1"/>
      </rPr>
      <t xml:space="preserve">FY27 / FY28 / FY32 </t>
    </r>
    <r>
      <rPr>
        <sz val="8"/>
        <color rgb="FF404040"/>
        <rFont val="Noto Sans CJK SC"/>
        <family val="2"/>
      </rPr>
      <t xml:space="preserve">各由本节独立滑标给定；</t>
    </r>
    <r>
      <rPr>
        <sz val="8"/>
        <color rgb="FF404040"/>
        <rFont val="Arial"/>
        <family val="0"/>
        <charset val="1"/>
      </rPr>
      <t xml:space="preserve">FY29–FY31 </t>
    </r>
    <r>
      <rPr>
        <sz val="8"/>
        <color rgb="FF404040"/>
        <rFont val="Noto Sans CJK SC"/>
        <family val="2"/>
      </rPr>
      <t xml:space="preserve">在 </t>
    </r>
    <r>
      <rPr>
        <sz val="8"/>
        <color rgb="FF404040"/>
        <rFont val="Arial"/>
        <family val="0"/>
        <charset val="1"/>
      </rPr>
      <t xml:space="preserve">FY28 </t>
    </r>
    <r>
      <rPr>
        <sz val="8"/>
        <color rgb="FF404040"/>
        <rFont val="Noto Sans CJK SC"/>
        <family val="2"/>
      </rPr>
      <t xml:space="preserve">与 </t>
    </r>
    <r>
      <rPr>
        <sz val="8"/>
        <color rgb="FF404040"/>
        <rFont val="Arial"/>
        <family val="0"/>
        <charset val="1"/>
      </rPr>
      <t xml:space="preserve">FY32 </t>
    </r>
    <r>
      <rPr>
        <sz val="8"/>
        <color rgb="FF404040"/>
        <rFont val="Noto Sans CJK SC"/>
        <family val="2"/>
      </rPr>
      <t xml:space="preserve">之间线性过渡（四等分）</t>
    </r>
  </si>
  <si>
    <r>
      <rPr>
        <b val="true"/>
        <sz val="9"/>
        <color rgb="FF16305B"/>
        <rFont val="Noto Sans CJK SC"/>
        <family val="2"/>
      </rPr>
      <t xml:space="preserve">隐含股价（</t>
    </r>
    <r>
      <rPr>
        <b val="true"/>
        <sz val="9"/>
        <color rgb="FF16305B"/>
        <rFont val="Arial"/>
        <family val="0"/>
        <charset val="1"/>
      </rPr>
      <t xml:space="preserve">EPS×</t>
    </r>
    <r>
      <rPr>
        <b val="true"/>
        <sz val="9"/>
        <color rgb="FF16305B"/>
        <rFont val="Noto Sans CJK SC"/>
        <family val="2"/>
      </rPr>
      <t xml:space="preserve">当年</t>
    </r>
    <r>
      <rPr>
        <b val="true"/>
        <sz val="9"/>
        <color rgb="FF16305B"/>
        <rFont val="Arial"/>
        <family val="0"/>
        <charset val="1"/>
      </rPr>
      <t xml:space="preserve">PE + </t>
    </r>
    <r>
      <rPr>
        <b val="true"/>
        <sz val="9"/>
        <color rgb="FF16305B"/>
        <rFont val="Noto Sans CJK SC"/>
        <family val="2"/>
      </rPr>
      <t xml:space="preserve">每股净现金）</t>
    </r>
  </si>
  <si>
    <r>
      <rPr>
        <sz val="8"/>
        <color rgb="FF404040"/>
        <rFont val="Noto Sans CJK SC"/>
        <family val="2"/>
      </rPr>
      <t xml:space="preserve">把现金单独加回，使本方法与 </t>
    </r>
    <r>
      <rPr>
        <sz val="8"/>
        <color rgb="FF404040"/>
        <rFont val="Arial"/>
        <family val="0"/>
        <charset val="1"/>
      </rPr>
      <t xml:space="preserve">DCF</t>
    </r>
    <r>
      <rPr>
        <sz val="8"/>
        <color rgb="FF404040"/>
        <rFont val="Noto Sans CJK SC"/>
        <family val="2"/>
      </rPr>
      <t xml:space="preserve">（</t>
    </r>
    <r>
      <rPr>
        <sz val="8"/>
        <color rgb="FF404040"/>
        <rFont val="Arial"/>
        <family val="0"/>
        <charset val="1"/>
      </rPr>
      <t xml:space="preserve">EV + </t>
    </r>
    <r>
      <rPr>
        <sz val="8"/>
        <color rgb="FF404040"/>
        <rFont val="Noto Sans CJK SC"/>
        <family val="2"/>
      </rPr>
      <t xml:space="preserve">净现金）口径一致</t>
    </r>
  </si>
  <si>
    <t xml:space="preserve">折现因子（期末折现）</t>
  </si>
  <si>
    <r>
      <rPr>
        <sz val="8"/>
        <color rgb="FF404040"/>
        <rFont val="Noto Sans CJK SC"/>
        <family val="2"/>
      </rPr>
      <t xml:space="preserve">＝ </t>
    </r>
    <r>
      <rPr>
        <sz val="8"/>
        <color rgb="FF404040"/>
        <rFont val="Arial"/>
        <family val="0"/>
        <charset val="1"/>
      </rPr>
      <t xml:space="preserve">1 ÷ (1+WACC)^t</t>
    </r>
    <r>
      <rPr>
        <sz val="8"/>
        <color rgb="FF404040"/>
        <rFont val="Noto Sans CJK SC"/>
        <family val="2"/>
      </rPr>
      <t xml:space="preserve">。股价是时点数用期末折现；上方 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的现金流是期间数用期中折现</t>
    </r>
  </si>
  <si>
    <t xml:space="preserve">折现后每股价值</t>
  </si>
  <si>
    <r>
      <rPr>
        <sz val="8"/>
        <color rgb="FF404040"/>
        <rFont val="Noto Sans CJK SC"/>
        <family val="2"/>
      </rPr>
      <t xml:space="preserve">＝ 隐含股价 </t>
    </r>
    <r>
      <rPr>
        <sz val="8"/>
        <color rgb="FF404040"/>
        <rFont val="Arial"/>
        <family val="0"/>
        <charset val="1"/>
      </rPr>
      <t xml:space="preserve">× </t>
    </r>
    <r>
      <rPr>
        <sz val="8"/>
        <color rgb="FF404040"/>
        <rFont val="Noto Sans CJK SC"/>
        <family val="2"/>
      </rPr>
      <t xml:space="preserve">折现因子</t>
    </r>
  </si>
  <si>
    <r>
      <rPr>
        <b val="true"/>
        <sz val="10"/>
        <color rgb="FFFFFFFF"/>
        <rFont val="Noto Sans CJK SC"/>
        <family val="2"/>
      </rPr>
      <t xml:space="preserve">　</t>
    </r>
    <r>
      <rPr>
        <b val="true"/>
        <sz val="10"/>
        <color rgb="FFFFFFFF"/>
        <rFont val="Arial"/>
        <family val="0"/>
        <charset val="1"/>
      </rPr>
      <t xml:space="preserve">6.1  </t>
    </r>
    <r>
      <rPr>
        <b val="true"/>
        <sz val="10"/>
        <color rgb="FFFFFFFF"/>
        <rFont val="Noto Sans CJK SC"/>
        <family val="2"/>
      </rPr>
      <t xml:space="preserve">三个关键年份的目标价：各用各的 </t>
    </r>
    <r>
      <rPr>
        <b val="true"/>
        <sz val="10"/>
        <color rgb="FFFFFFFF"/>
        <rFont val="Arial"/>
        <family val="0"/>
        <charset val="1"/>
      </rPr>
      <t xml:space="preserve">P/E</t>
    </r>
  </si>
  <si>
    <t xml:space="preserve">年份</t>
  </si>
  <si>
    <r>
      <rPr>
        <b val="true"/>
        <sz val="9"/>
        <color rgb="FF16305B"/>
        <rFont val="Noto Sans CJK SC"/>
        <family val="2"/>
      </rPr>
      <t xml:space="preserve">经营性 </t>
    </r>
    <r>
      <rPr>
        <b val="true"/>
        <sz val="9"/>
        <color rgb="FF16305B"/>
        <rFont val="Arial"/>
        <family val="0"/>
        <charset val="1"/>
      </rPr>
      <t xml:space="preserve">EPS</t>
    </r>
  </si>
  <si>
    <r>
      <rPr>
        <b val="true"/>
        <sz val="9"/>
        <color rgb="FF16305B"/>
        <rFont val="Noto Sans CJK SC"/>
        <family val="2"/>
      </rPr>
      <t xml:space="preserve">采用 </t>
    </r>
    <r>
      <rPr>
        <b val="true"/>
        <sz val="9"/>
        <color rgb="FF16305B"/>
        <rFont val="Arial"/>
        <family val="0"/>
        <charset val="1"/>
      </rPr>
      <t xml:space="preserve">P/E</t>
    </r>
  </si>
  <si>
    <t xml:space="preserve">隐含目标价</t>
  </si>
  <si>
    <t xml:space="preserve">折现期（年）</t>
  </si>
  <si>
    <r>
      <rPr>
        <b val="true"/>
        <sz val="9"/>
        <color rgb="FF16305B"/>
        <rFont val="Noto Sans CJK SC"/>
        <family val="2"/>
      </rPr>
      <t xml:space="preserve">折现后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现价 − </t>
    </r>
    <r>
      <rPr>
        <b val="true"/>
        <sz val="9"/>
        <color rgb="FF16305B"/>
        <rFont val="Arial"/>
        <family val="0"/>
        <charset val="1"/>
      </rPr>
      <t xml:space="preserve">1</t>
    </r>
  </si>
  <si>
    <t xml:space="preserve">这个数字回答什么</t>
  </si>
  <si>
    <r>
      <rPr>
        <b val="true"/>
        <sz val="10"/>
        <color rgb="FFFFFFFF"/>
        <rFont val="Arial"/>
        <family val="0"/>
        <charset val="1"/>
      </rPr>
      <t xml:space="preserve">FY2027</t>
    </r>
    <r>
      <rPr>
        <b val="true"/>
        <sz val="10"/>
        <color rgb="FFFFFFFF"/>
        <rFont val="Noto Sans CJK SC"/>
        <family val="2"/>
      </rPr>
      <t xml:space="preserve">（</t>
    </r>
    <r>
      <rPr>
        <b val="true"/>
        <sz val="10"/>
        <color rgb="FFFFFFFF"/>
        <rFont val="Arial"/>
        <family val="0"/>
        <charset val="1"/>
      </rPr>
      <t xml:space="preserve">12 </t>
    </r>
    <r>
      <rPr>
        <b val="true"/>
        <sz val="10"/>
        <color rgb="FFFFFFFF"/>
        <rFont val="Noto Sans CJK SC"/>
        <family val="2"/>
      </rPr>
      <t xml:space="preserve">个月）</t>
    </r>
  </si>
  <si>
    <r>
      <rPr>
        <sz val="8"/>
        <color rgb="FF404040"/>
        <rFont val="Noto Sans CJK SC"/>
        <family val="2"/>
      </rPr>
      <t xml:space="preserve">盈利高点年。这一行的「隐含目标价」就是 </t>
    </r>
    <r>
      <rPr>
        <sz val="8"/>
        <color rgb="FF404040"/>
        <rFont val="Arial"/>
        <family val="0"/>
        <charset val="1"/>
      </rPr>
      <t xml:space="preserve">12 </t>
    </r>
    <r>
      <rPr>
        <sz val="8"/>
        <color rgb="FF404040"/>
        <rFont val="Noto Sans CJK SC"/>
        <family val="2"/>
      </rPr>
      <t xml:space="preserve">个月目标价，可与卖方一致目标价 </t>
    </r>
    <r>
      <rPr>
        <sz val="8"/>
        <color rgb="FF404040"/>
        <rFont val="Arial"/>
        <family val="0"/>
        <charset val="1"/>
      </rPr>
      <t xml:space="preserve">$2,126 </t>
    </r>
    <r>
      <rPr>
        <sz val="8"/>
        <color rgb="FF404040"/>
        <rFont val="Noto Sans CJK SC"/>
        <family val="2"/>
      </rPr>
      <t xml:space="preserve">直接对照（</t>
    </r>
    <r>
      <rPr>
        <sz val="8"/>
        <color rgb="FF404040"/>
        <rFont val="Arial"/>
        <family val="0"/>
        <charset val="1"/>
      </rPr>
      <t xml:space="preserve">S&amp;P Global </t>
    </r>
    <r>
      <rPr>
        <sz val="8"/>
        <color rgb="FF404040"/>
        <rFont val="Noto Sans CJK SC"/>
        <family val="2"/>
      </rPr>
      <t xml:space="preserve">汇总 </t>
    </r>
    <r>
      <rPr>
        <sz val="8"/>
        <color rgb="FF404040"/>
        <rFont val="Arial"/>
        <family val="0"/>
        <charset val="1"/>
      </rPr>
      <t xml:space="preserve">24 </t>
    </r>
    <r>
      <rPr>
        <sz val="8"/>
        <color rgb="FF404040"/>
        <rFont val="Noto Sans CJK SC"/>
        <family val="2"/>
      </rPr>
      <t xml:space="preserve">家机构）</t>
    </r>
  </si>
  <si>
    <r>
      <rPr>
        <b val="true"/>
        <sz val="10"/>
        <color rgb="FFFFFFFF"/>
        <rFont val="Arial"/>
        <family val="0"/>
        <charset val="1"/>
      </rPr>
      <t xml:space="preserve">FY2028</t>
    </r>
    <r>
      <rPr>
        <b val="true"/>
        <sz val="10"/>
        <color rgb="FFFFFFFF"/>
        <rFont val="Noto Sans CJK SC"/>
        <family val="2"/>
      </rPr>
      <t xml:space="preserve">（</t>
    </r>
    <r>
      <rPr>
        <b val="true"/>
        <sz val="10"/>
        <color rgb="FFFFFFFF"/>
        <rFont val="Arial"/>
        <family val="0"/>
        <charset val="1"/>
      </rPr>
      <t xml:space="preserve">24 </t>
    </r>
    <r>
      <rPr>
        <b val="true"/>
        <sz val="10"/>
        <color rgb="FFFFFFFF"/>
        <rFont val="Noto Sans CJK SC"/>
        <family val="2"/>
      </rPr>
      <t xml:space="preserve">个月）</t>
    </r>
  </si>
  <si>
    <r>
      <rPr>
        <sz val="8"/>
        <color rgb="FF404040"/>
        <rFont val="Noto Sans CJK SC"/>
        <family val="2"/>
      </rPr>
      <t xml:space="preserve">周期转折年。</t>
    </r>
    <r>
      <rPr>
        <sz val="8"/>
        <color rgb="FF404040"/>
        <rFont val="Arial"/>
        <family val="0"/>
        <charset val="1"/>
      </rPr>
      <t xml:space="preserve">EPS </t>
    </r>
    <r>
      <rPr>
        <sz val="8"/>
        <color rgb="FF404040"/>
        <rFont val="Noto Sans CJK SC"/>
        <family val="2"/>
      </rPr>
      <t xml:space="preserve">大概率低于 </t>
    </r>
    <r>
      <rPr>
        <sz val="8"/>
        <color rgb="FF404040"/>
        <rFont val="Arial"/>
        <family val="0"/>
        <charset val="1"/>
      </rPr>
      <t xml:space="preserve">FY27</t>
    </r>
    <r>
      <rPr>
        <sz val="8"/>
        <color rgb="FF404040"/>
        <rFont val="Noto Sans CJK SC"/>
        <family val="2"/>
      </rPr>
      <t xml:space="preserve">，但 </t>
    </r>
    <r>
      <rPr>
        <sz val="8"/>
        <color rgb="FF404040"/>
        <rFont val="Arial"/>
        <family val="0"/>
        <charset val="1"/>
      </rPr>
      <t xml:space="preserve">P/E </t>
    </r>
    <r>
      <rPr>
        <sz val="8"/>
        <color rgb="FF404040"/>
        <rFont val="Noto Sans CJK SC"/>
        <family val="2"/>
      </rPr>
      <t xml:space="preserve">通常扩张——两者相乘的结果，往往比直觉更高</t>
    </r>
  </si>
  <si>
    <r>
      <rPr>
        <b val="true"/>
        <sz val="10"/>
        <color rgb="FFFFFFFF"/>
        <rFont val="Arial"/>
        <family val="0"/>
        <charset val="1"/>
      </rPr>
      <t xml:space="preserve">FY2032</t>
    </r>
    <r>
      <rPr>
        <b val="true"/>
        <sz val="10"/>
        <color rgb="FFFFFFFF"/>
        <rFont val="Noto Sans CJK SC"/>
        <family val="2"/>
      </rPr>
      <t xml:space="preserve">（终局）</t>
    </r>
  </si>
  <si>
    <r>
      <rPr>
        <sz val="8"/>
        <color rgb="FF404040"/>
        <rFont val="Noto Sans CJK SC"/>
        <family val="2"/>
      </rPr>
      <t xml:space="preserve">★ 本方法的最终答案。折现后可与上方第 </t>
    </r>
    <r>
      <rPr>
        <sz val="8"/>
        <color rgb="FF404040"/>
        <rFont val="Arial"/>
        <family val="0"/>
        <charset val="1"/>
      </rPr>
      <t xml:space="preserve">04 </t>
    </r>
    <r>
      <rPr>
        <sz val="8"/>
        <color rgb="FF404040"/>
        <rFont val="Noto Sans CJK SC"/>
        <family val="2"/>
      </rPr>
      <t xml:space="preserve">节的 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每股内在价值直接比较</t>
    </r>
  </si>
  <si>
    <r>
      <rPr>
        <sz val="9"/>
        <color rgb="FF3D3D3D"/>
        <rFont val="Noto Sans CJK SC"/>
        <family val="2"/>
      </rPr>
      <t xml:space="preserve">★ 三行的「折现后每股价值」互不相同是正常的，也是有信息量的：它们代表「如果市场在那一年按那个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给价，今天这一股值多少」。三者差得越远，说明结论对「市场什么时候、按什么倍数认账」越敏感。真正稳健的判断应当是三行方向一致。</t>
    </r>
  </si>
  <si>
    <r>
      <rPr>
        <b val="true"/>
        <sz val="10"/>
        <color rgb="FFFFFFFF"/>
        <rFont val="Noto Sans CJK SC"/>
        <family val="2"/>
      </rPr>
      <t xml:space="preserve">　</t>
    </r>
    <r>
      <rPr>
        <b val="true"/>
        <sz val="10"/>
        <color rgb="FFFFFFFF"/>
        <rFont val="Arial"/>
        <family val="0"/>
        <charset val="1"/>
      </rPr>
      <t xml:space="preserve">6.2  </t>
    </r>
    <r>
      <rPr>
        <b val="true"/>
        <sz val="10"/>
        <color rgb="FFFFFFFF"/>
        <rFont val="Noto Sans CJK SC"/>
        <family val="2"/>
      </rPr>
      <t xml:space="preserve">汇总：</t>
    </r>
    <r>
      <rPr>
        <b val="true"/>
        <sz val="10"/>
        <color rgb="FFFFFFFF"/>
        <rFont val="Arial"/>
        <family val="0"/>
        <charset val="1"/>
      </rPr>
      <t xml:space="preserve">EPS × P/E </t>
    </r>
    <r>
      <rPr>
        <b val="true"/>
        <sz val="10"/>
        <color rgb="FFFFFFFF"/>
        <rFont val="Noto Sans CJK SC"/>
        <family val="2"/>
      </rPr>
      <t xml:space="preserve">与 </t>
    </r>
    <r>
      <rPr>
        <b val="true"/>
        <sz val="10"/>
        <color rgb="FFFFFFFF"/>
        <rFont val="Arial"/>
        <family val="0"/>
        <charset val="1"/>
      </rPr>
      <t xml:space="preserve">DCF </t>
    </r>
    <r>
      <rPr>
        <b val="true"/>
        <sz val="10"/>
        <color rgb="FFFFFFFF"/>
        <rFont val="Noto Sans CJK SC"/>
        <family val="2"/>
      </rPr>
      <t xml:space="preserve">两法对照，以及回购到底是加分还是减分</t>
    </r>
  </si>
  <si>
    <t xml:space="preserve">结论</t>
  </si>
  <si>
    <r>
      <rPr>
        <b val="true"/>
        <sz val="9"/>
        <color rgb="FF16305B"/>
        <rFont val="Arial"/>
        <family val="0"/>
        <charset val="1"/>
      </rPr>
      <t xml:space="preserve">① 12 </t>
    </r>
    <r>
      <rPr>
        <b val="true"/>
        <sz val="9"/>
        <color rgb="FF16305B"/>
        <rFont val="Noto Sans CJK SC"/>
        <family val="2"/>
      </rPr>
      <t xml:space="preserve">个月目标价（</t>
    </r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隐含股价）</t>
    </r>
  </si>
  <si>
    <r>
      <rPr>
        <sz val="8"/>
        <color rgb="FF404040"/>
        <rFont val="Noto Sans CJK SC"/>
        <family val="2"/>
      </rPr>
      <t xml:space="preserve">用 </t>
    </r>
    <r>
      <rPr>
        <sz val="8"/>
        <color rgb="FF404040"/>
        <rFont val="Arial"/>
        <family val="0"/>
        <charset val="1"/>
      </rPr>
      <t xml:space="preserve">FY27 </t>
    </r>
    <r>
      <rPr>
        <sz val="8"/>
        <color rgb="FF404040"/>
        <rFont val="Noto Sans CJK SC"/>
        <family val="2"/>
      </rPr>
      <t xml:space="preserve">经营性 </t>
    </r>
    <r>
      <rPr>
        <sz val="8"/>
        <color rgb="FF404040"/>
        <rFont val="Arial"/>
        <family val="0"/>
        <charset val="1"/>
      </rPr>
      <t xml:space="preserve">EPS × FY27 </t>
    </r>
    <r>
      <rPr>
        <sz val="8"/>
        <color rgb="FF404040"/>
        <rFont val="Noto Sans CJK SC"/>
        <family val="2"/>
      </rPr>
      <t xml:space="preserve">的 </t>
    </r>
    <r>
      <rPr>
        <sz val="8"/>
        <color rgb="FF404040"/>
        <rFont val="Arial"/>
        <family val="0"/>
        <charset val="1"/>
      </rPr>
      <t xml:space="preserve">P/E</t>
    </r>
    <r>
      <rPr>
        <sz val="8"/>
        <color rgb="FF404040"/>
        <rFont val="Noto Sans CJK SC"/>
        <family val="2"/>
      </rPr>
      <t xml:space="preserve">。与卖方一致目标价 </t>
    </r>
    <r>
      <rPr>
        <sz val="8"/>
        <color rgb="FF404040"/>
        <rFont val="Arial"/>
        <family val="0"/>
        <charset val="1"/>
      </rPr>
      <t xml:space="preserve">$2,126 </t>
    </r>
    <r>
      <rPr>
        <sz val="8"/>
        <color rgb="FF404040"/>
        <rFont val="Noto Sans CJK SC"/>
        <family val="2"/>
      </rPr>
      <t xml:space="preserve">可直接对照</t>
    </r>
  </si>
  <si>
    <r>
      <rPr>
        <b val="true"/>
        <sz val="10"/>
        <color rgb="FFFFFFFF"/>
        <rFont val="Arial"/>
        <family val="0"/>
        <charset val="1"/>
      </rPr>
      <t xml:space="preserve">② EPS×P/E </t>
    </r>
    <r>
      <rPr>
        <b val="true"/>
        <sz val="10"/>
        <color rgb="FFFFFFFF"/>
        <rFont val="Noto Sans CJK SC"/>
        <family val="2"/>
      </rPr>
      <t xml:space="preserve">法每股价值</t>
    </r>
  </si>
  <si>
    <r>
      <rPr>
        <sz val="8"/>
        <color rgb="FF404040"/>
        <rFont val="Arial"/>
        <family val="0"/>
        <charset val="1"/>
      </rPr>
      <t xml:space="preserve">FY32 </t>
    </r>
    <r>
      <rPr>
        <sz val="8"/>
        <color rgb="FF404040"/>
        <rFont val="Noto Sans CJK SC"/>
        <family val="2"/>
      </rPr>
      <t xml:space="preserve">隐含股价按 </t>
    </r>
    <r>
      <rPr>
        <sz val="8"/>
        <color rgb="FF404040"/>
        <rFont val="Arial"/>
        <family val="0"/>
        <charset val="1"/>
      </rPr>
      <t xml:space="preserve">WACC </t>
    </r>
    <r>
      <rPr>
        <sz val="8"/>
        <color rgb="FF404040"/>
        <rFont val="Noto Sans CJK SC"/>
        <family val="2"/>
      </rPr>
      <t xml:space="preserve">折回今天（折现 </t>
    </r>
    <r>
      <rPr>
        <sz val="8"/>
        <color rgb="FF404040"/>
        <rFont val="Arial"/>
        <family val="0"/>
        <charset val="1"/>
      </rPr>
      <t xml:space="preserve">6 </t>
    </r>
    <r>
      <rPr>
        <sz val="8"/>
        <color rgb="FF404040"/>
        <rFont val="Noto Sans CJK SC"/>
        <family val="2"/>
      </rPr>
      <t xml:space="preserve">年）。这是本方法的最终答案</t>
    </r>
  </si>
  <si>
    <r>
      <rPr>
        <b val="true"/>
        <sz val="9"/>
        <color rgb="FF16305B"/>
        <rFont val="Arial"/>
        <family val="0"/>
        <charset val="1"/>
      </rPr>
      <t xml:space="preserve">③ DCF </t>
    </r>
    <r>
      <rPr>
        <b val="true"/>
        <sz val="9"/>
        <color rgb="FF16305B"/>
        <rFont val="Noto Sans CJK SC"/>
        <family val="2"/>
      </rPr>
      <t xml:space="preserve">法的每股内在价值</t>
    </r>
  </si>
  <si>
    <r>
      <rPr>
        <sz val="8"/>
        <color rgb="FF404040"/>
        <rFont val="Noto Sans CJK SC"/>
        <family val="2"/>
      </rPr>
      <t xml:space="preserve">链接自上方第 </t>
    </r>
    <r>
      <rPr>
        <sz val="8"/>
        <color rgb="FF404040"/>
        <rFont val="Arial"/>
        <family val="0"/>
        <charset val="1"/>
      </rPr>
      <t xml:space="preserve">04 </t>
    </r>
    <r>
      <rPr>
        <sz val="8"/>
        <color rgb="FF404040"/>
        <rFont val="Noto Sans CJK SC"/>
        <family val="2"/>
      </rPr>
      <t xml:space="preserve">节</t>
    </r>
  </si>
  <si>
    <r>
      <rPr>
        <b val="true"/>
        <sz val="9"/>
        <color rgb="FF16305B"/>
        <rFont val="Noto Sans CJK SC"/>
        <family val="2"/>
      </rPr>
      <t xml:space="preserve">④ 两法差异（② </t>
    </r>
    <r>
      <rPr>
        <b val="true"/>
        <sz val="9"/>
        <color rgb="FF16305B"/>
        <rFont val="Arial"/>
        <family val="0"/>
        <charset val="1"/>
      </rPr>
      <t xml:space="preserve">÷ ③ − 1</t>
    </r>
    <r>
      <rPr>
        <b val="true"/>
        <sz val="9"/>
        <color rgb="FF16305B"/>
        <rFont val="Noto Sans CJK SC"/>
        <family val="2"/>
      </rPr>
      <t xml:space="preserve">）</t>
    </r>
  </si>
  <si>
    <r>
      <rPr>
        <sz val="8"/>
        <color rgb="FF404040"/>
        <rFont val="Noto Sans CJK SC"/>
        <family val="2"/>
      </rPr>
      <t xml:space="preserve">★ 若接近 </t>
    </r>
    <r>
      <rPr>
        <sz val="8"/>
        <color rgb="FF404040"/>
        <rFont val="Arial"/>
        <family val="0"/>
        <charset val="1"/>
      </rPr>
      <t xml:space="preserve">0</t>
    </r>
    <r>
      <rPr>
        <sz val="8"/>
        <color rgb="FF404040"/>
        <rFont val="Noto Sans CJK SC"/>
        <family val="2"/>
      </rPr>
      <t xml:space="preserve">，说明 </t>
    </r>
    <r>
      <rPr>
        <sz val="8"/>
        <color rgb="FF404040"/>
        <rFont val="Arial"/>
        <family val="0"/>
        <charset val="1"/>
      </rPr>
      <t xml:space="preserve">FY32 </t>
    </r>
    <r>
      <rPr>
        <sz val="8"/>
        <color rgb="FF404040"/>
        <rFont val="Noto Sans CJK SC"/>
        <family val="2"/>
      </rPr>
      <t xml:space="preserve">的 </t>
    </r>
    <r>
      <rPr>
        <sz val="8"/>
        <color rgb="FF404040"/>
        <rFont val="Arial"/>
        <family val="0"/>
        <charset val="1"/>
      </rPr>
      <t xml:space="preserve">P/E </t>
    </r>
    <r>
      <rPr>
        <sz val="8"/>
        <color rgb="FF404040"/>
        <rFont val="Noto Sans CJK SC"/>
        <family val="2"/>
      </rPr>
      <t xml:space="preserve">与 </t>
    </r>
    <r>
      <rPr>
        <sz val="8"/>
        <color rgb="FF404040"/>
        <rFont val="Arial"/>
        <family val="0"/>
        <charset val="1"/>
      </rPr>
      <t xml:space="preserve">DCF </t>
    </r>
    <r>
      <rPr>
        <sz val="8"/>
        <color rgb="FF404040"/>
        <rFont val="Noto Sans CJK SC"/>
        <family val="2"/>
      </rPr>
      <t xml:space="preserve">的终值假设自洽；差异大说明两者对终局盈利能力的看法不同</t>
    </r>
  </si>
  <si>
    <r>
      <rPr>
        <b val="true"/>
        <sz val="10"/>
        <color rgb="FFFFFFFF"/>
        <rFont val="Noto Sans CJK SC"/>
        <family val="2"/>
      </rPr>
      <t xml:space="preserve">⑤ 本 </t>
    </r>
    <r>
      <rPr>
        <b val="true"/>
        <sz val="10"/>
        <color rgb="FFFFFFFF"/>
        <rFont val="Arial"/>
        <family val="0"/>
        <charset val="1"/>
      </rPr>
      <t xml:space="preserve">DCF </t>
    </r>
    <r>
      <rPr>
        <b val="true"/>
        <sz val="10"/>
        <color rgb="FFFFFFFF"/>
        <rFont val="Noto Sans CJK SC"/>
        <family val="2"/>
      </rPr>
      <t xml:space="preserve">隐含的 </t>
    </r>
    <r>
      <rPr>
        <b val="true"/>
        <sz val="10"/>
        <color rgb="FFFFFFFF"/>
        <rFont val="Arial"/>
        <family val="0"/>
        <charset val="1"/>
      </rPr>
      <t xml:space="preserve">FY32 </t>
    </r>
    <r>
      <rPr>
        <b val="true"/>
        <sz val="10"/>
        <color rgb="FFFFFFFF"/>
        <rFont val="Noto Sans CJK SC"/>
        <family val="2"/>
      </rPr>
      <t xml:space="preserve">退出 </t>
    </r>
    <r>
      <rPr>
        <b val="true"/>
        <sz val="10"/>
        <color rgb="FFFFFFFF"/>
        <rFont val="Arial"/>
        <family val="0"/>
        <charset val="1"/>
      </rPr>
      <t xml:space="preserve">P/E</t>
    </r>
  </si>
  <si>
    <r>
      <rPr>
        <sz val="8"/>
        <color rgb="FF404040"/>
        <rFont val="Noto Sans CJK SC"/>
        <family val="2"/>
      </rPr>
      <t xml:space="preserve">★★ ＝ 终值 </t>
    </r>
    <r>
      <rPr>
        <sz val="8"/>
        <color rgb="FF404040"/>
        <rFont val="Arial"/>
        <family val="0"/>
        <charset val="1"/>
      </rPr>
      <t xml:space="preserve">÷ FY32 NOPAT</t>
    </r>
    <r>
      <rPr>
        <sz val="8"/>
        <color rgb="FF404040"/>
        <rFont val="Noto Sans CJK SC"/>
        <family val="2"/>
      </rPr>
      <t xml:space="preserve">。把本节的「</t>
    </r>
    <r>
      <rPr>
        <sz val="8"/>
        <color rgb="FF404040"/>
        <rFont val="Arial"/>
        <family val="0"/>
        <charset val="1"/>
      </rPr>
      <t xml:space="preserve">FY2032 P/E</t>
    </r>
    <r>
      <rPr>
        <sz val="8"/>
        <color rgb="FF404040"/>
        <rFont val="Noto Sans CJK SC"/>
        <family val="2"/>
      </rPr>
      <t xml:space="preserve">」滑标拖到这个数，② 与 ③ 应当收敛——这是检验两套估值自洽性的最快办法</t>
    </r>
  </si>
  <si>
    <t xml:space="preserve">⑥ 六年累计回购金额</t>
  </si>
  <si>
    <r>
      <rPr>
        <sz val="8"/>
        <color rgb="FF404040"/>
        <rFont val="Noto Sans CJK SC"/>
        <family val="2"/>
      </rPr>
      <t xml:space="preserve">对照：当前剩余回购授权 </t>
    </r>
    <r>
      <rPr>
        <sz val="8"/>
        <color rgb="FF404040"/>
        <rFont val="Arial"/>
        <family val="0"/>
        <charset val="1"/>
      </rPr>
      <t xml:space="preserve">$15,500M</t>
    </r>
    <r>
      <rPr>
        <sz val="8"/>
        <color rgb="FF404040"/>
        <rFont val="Noto Sans CJK SC"/>
        <family val="2"/>
      </rPr>
      <t xml:space="preserve">。若本行远超授权，说明模型隐含董事会会持续加码</t>
    </r>
  </si>
  <si>
    <t xml:space="preserve">⑦ 六年累计注销股数（百万股）</t>
  </si>
  <si>
    <r>
      <rPr>
        <sz val="8"/>
        <color rgb="FF404040"/>
        <rFont val="Noto Sans CJK SC"/>
        <family val="2"/>
      </rPr>
      <t xml:space="preserve">占起始 </t>
    </r>
    <r>
      <rPr>
        <sz val="8"/>
        <color rgb="FF404040"/>
        <rFont val="Arial"/>
        <family val="0"/>
        <charset val="1"/>
      </rPr>
      <t xml:space="preserve">155 </t>
    </r>
    <r>
      <rPr>
        <sz val="8"/>
        <color rgb="FF404040"/>
        <rFont val="Noto Sans CJK SC"/>
        <family val="2"/>
      </rPr>
      <t xml:space="preserve">百万股的比例见下一行</t>
    </r>
  </si>
  <si>
    <r>
      <rPr>
        <b val="true"/>
        <sz val="9"/>
        <color rgb="FF16305B"/>
        <rFont val="Arial"/>
        <family val="0"/>
        <charset val="1"/>
      </rPr>
      <t xml:space="preserve">⑧ FY32 </t>
    </r>
    <r>
      <rPr>
        <b val="true"/>
        <sz val="9"/>
        <color rgb="FF16305B"/>
        <rFont val="Noto Sans CJK SC"/>
        <family val="2"/>
      </rPr>
      <t xml:space="preserve">股数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起始股数</t>
    </r>
  </si>
  <si>
    <t xml:space="preserve">回购把股本压缩到起始的多少</t>
  </si>
  <si>
    <t xml:space="preserve">⑨ 对照：若完全不回购的每股价值</t>
  </si>
  <si>
    <r>
      <rPr>
        <sz val="8"/>
        <color rgb="FF404040"/>
        <rFont val="Noto Sans CJK SC"/>
        <family val="2"/>
      </rPr>
      <t xml:space="preserve">回购比例设为 </t>
    </r>
    <r>
      <rPr>
        <sz val="8"/>
        <color rgb="FF404040"/>
        <rFont val="Arial"/>
        <family val="0"/>
        <charset val="1"/>
      </rPr>
      <t xml:space="preserve">0 </t>
    </r>
    <r>
      <rPr>
        <sz val="8"/>
        <color rgb="FF404040"/>
        <rFont val="Noto Sans CJK SC"/>
        <family val="2"/>
      </rPr>
      <t xml:space="preserve">的闭式解：股数只受股权激励稀释，现金全部累积在表内。用来隔离出回购这一项的净效果</t>
    </r>
  </si>
  <si>
    <r>
      <rPr>
        <b val="true"/>
        <sz val="10"/>
        <color rgb="FFFFFFFF"/>
        <rFont val="Noto Sans CJK SC"/>
        <family val="2"/>
      </rPr>
      <t xml:space="preserve">⑩ 回购带来的每股增厚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毁损</t>
    </r>
  </si>
  <si>
    <r>
      <rPr>
        <sz val="8"/>
        <color rgb="FF404040"/>
        <rFont val="Noto Sans CJK SC"/>
        <family val="2"/>
      </rPr>
      <t xml:space="preserve">★★★ 正数 ＝ 回购在增厚每股价值（回购均价低于内在价值）；负数 ＝ 回购在毁灭价值（回购均价高于内在价值）。这正是为什么「管理层承诺 </t>
    </r>
    <r>
      <rPr>
        <sz val="8"/>
        <color rgb="FF404040"/>
        <rFont val="Arial"/>
        <family val="0"/>
        <charset val="1"/>
      </rPr>
      <t xml:space="preserve">100% </t>
    </r>
    <r>
      <rPr>
        <sz val="8"/>
        <color rgb="FF404040"/>
        <rFont val="Noto Sans CJK SC"/>
        <family val="2"/>
      </rPr>
      <t xml:space="preserve">返还」在不同情形下的含义完全相反</t>
    </r>
  </si>
  <si>
    <r>
      <rPr>
        <b val="true"/>
        <sz val="9"/>
        <color rgb="FF16305B"/>
        <rFont val="Noto Sans CJK SC"/>
        <family val="2"/>
      </rPr>
      <t xml:space="preserve">⑪ 六年累计回购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当前市值</t>
    </r>
  </si>
  <si>
    <r>
      <rPr>
        <sz val="8"/>
        <color rgb="FF404040"/>
        <rFont val="Noto Sans CJK SC"/>
        <family val="2"/>
      </rPr>
      <t xml:space="preserve">★ 合理性检查。若远超 </t>
    </r>
    <r>
      <rPr>
        <sz val="8"/>
        <color rgb="FF404040"/>
        <rFont val="Arial"/>
        <family val="0"/>
        <charset val="1"/>
      </rPr>
      <t xml:space="preserve">100%</t>
    </r>
    <r>
      <rPr>
        <sz val="8"/>
        <color rgb="FF404040"/>
        <rFont val="Noto Sans CJK SC"/>
        <family val="2"/>
      </rPr>
      <t xml:space="preserve">，说明模型隐含公司在六年里买下超过自己一整个市值的股票——数学上成立，现实中不可能，因为市场不会在公司持续回购的同时让股价长期停在深度折价。此时 ② 只能当作「假设的极限推演」看</t>
    </r>
  </si>
  <si>
    <t xml:space="preserve">⑫ 让回购价值中性的回购价倍数</t>
  </si>
  <si>
    <r>
      <rPr>
        <sz val="8"/>
        <color rgb="FF404040"/>
        <rFont val="Noto Sans CJK SC"/>
        <family val="2"/>
      </rPr>
      <t xml:space="preserve">★★ ＝ 本模型每股内在价值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当前股价。把本节的「回购起始价 </t>
    </r>
    <r>
      <rPr>
        <sz val="8"/>
        <color rgb="FF404040"/>
        <rFont val="Arial"/>
        <family val="0"/>
        <charset val="1"/>
      </rPr>
      <t xml:space="preserve">÷ </t>
    </r>
    <r>
      <rPr>
        <sz val="8"/>
        <color rgb="FF404040"/>
        <rFont val="Noto Sans CJK SC"/>
        <family val="2"/>
      </rPr>
      <t xml:space="preserve">当前股价」拖到这个数，回购就变成价值中性，此时再把 </t>
    </r>
    <r>
      <rPr>
        <sz val="8"/>
        <color rgb="FF404040"/>
        <rFont val="Arial"/>
        <family val="0"/>
        <charset val="1"/>
      </rPr>
      <t xml:space="preserve">FY2032 P/E </t>
    </r>
    <r>
      <rPr>
        <sz val="8"/>
        <color rgb="FF404040"/>
        <rFont val="Noto Sans CJK SC"/>
        <family val="2"/>
      </rPr>
      <t xml:space="preserve">拖到第 ⑤ 行的隐含值，② 与 ③ 会收敛到几乎相同</t>
    </r>
  </si>
  <si>
    <r>
      <rPr>
        <sz val="9"/>
        <color rgb="FF3D3D3D"/>
        <rFont val="Noto Sans CJK SC"/>
        <family val="2"/>
      </rPr>
      <t xml:space="preserve">★★ 请务必先读这一段再看上面的数字。回购均价默认锚在「当前股价 </t>
    </r>
    <r>
      <rPr>
        <sz val="9"/>
        <color rgb="FF3D3D3D"/>
        <rFont val="Arial"/>
        <family val="0"/>
        <charset val="1"/>
      </rPr>
      <t xml:space="preserve">× 1.00x</t>
    </r>
    <r>
      <rPr>
        <sz val="9"/>
        <color rgb="FF3D3D3D"/>
        <rFont val="Noto Sans CJK SC"/>
        <family val="2"/>
      </rPr>
      <t xml:space="preserve">」，也就是假设市场今天的定价是对的、此后按折现率复利。这个设定只在「现价 ≈ 本模型内在价值」时才是中性的：基准情形现价 </t>
    </r>
    <r>
      <rPr>
        <sz val="9"/>
        <color rgb="FF3D3D3D"/>
        <rFont val="Arial"/>
        <family val="0"/>
        <charset val="1"/>
      </rPr>
      <t xml:space="preserve">$1,500 </t>
    </r>
    <r>
      <rPr>
        <sz val="9"/>
        <color rgb="FF3D3D3D"/>
        <rFont val="Noto Sans CJK SC"/>
        <family val="2"/>
      </rPr>
      <t xml:space="preserve">与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的 </t>
    </r>
    <r>
      <rPr>
        <sz val="9"/>
        <color rgb="FF3D3D3D"/>
        <rFont val="Arial"/>
        <family val="0"/>
        <charset val="1"/>
      </rPr>
      <t xml:space="preserve">$1,631 </t>
    </r>
    <r>
      <rPr>
        <sz val="9"/>
        <color rgb="FF3D3D3D"/>
        <rFont val="Noto Sans CJK SC"/>
        <family val="2"/>
      </rPr>
      <t xml:space="preserve">很接近，所以两法容易收敛；乐观情形若内在价值真是 </t>
    </r>
    <r>
      <rPr>
        <sz val="9"/>
        <color rgb="FF3D3D3D"/>
        <rFont val="Arial"/>
        <family val="0"/>
        <charset val="1"/>
      </rPr>
      <t xml:space="preserve">$4,000+</t>
    </r>
    <r>
      <rPr>
        <sz val="9"/>
        <color rgb="FF3D3D3D"/>
        <rFont val="Noto Sans CJK SC"/>
        <family val="2"/>
      </rPr>
      <t xml:space="preserve">，公司等于在用四折的价格连续六年回购，数学上极度增厚，但第 ⑪ 行会告诉你累计回购已超过当前市值——现实中市场不会给这个机会；悲观情形内在价值仅 </t>
    </r>
    <r>
      <rPr>
        <sz val="9"/>
        <color rgb="FF3D3D3D"/>
        <rFont val="Arial"/>
        <family val="0"/>
        <charset val="1"/>
      </rPr>
      <t xml:space="preserve">$499 </t>
    </r>
    <r>
      <rPr>
        <sz val="9"/>
        <color rgb="FF3D3D3D"/>
        <rFont val="Noto Sans CJK SC"/>
        <family val="2"/>
      </rPr>
      <t xml:space="preserve">而回购价 </t>
    </r>
    <r>
      <rPr>
        <sz val="9"/>
        <color rgb="FF3D3D3D"/>
        <rFont val="Arial"/>
        <family val="0"/>
        <charset val="1"/>
      </rPr>
      <t xml:space="preserve">$1,500 </t>
    </r>
    <r>
      <rPr>
        <sz val="9"/>
        <color rgb="FF3D3D3D"/>
        <rFont val="Noto Sans CJK SC"/>
        <family val="2"/>
      </rPr>
      <t xml:space="preserve">起步，「</t>
    </r>
    <r>
      <rPr>
        <sz val="9"/>
        <color rgb="FF3D3D3D"/>
        <rFont val="Arial"/>
        <family val="0"/>
        <charset val="1"/>
      </rPr>
      <t xml:space="preserve">100% </t>
    </r>
    <r>
      <rPr>
        <sz val="9"/>
        <color rgb="FF3D3D3D"/>
        <rFont val="Noto Sans CJK SC"/>
        <family val="2"/>
      </rPr>
      <t xml:space="preserve">返还超额现金」反而在系统性摧毁长期股东价值，第 ⑩ 行为负。所以这一节真正的用途不是给出一个数，而是回答：管理层这条资本配置承诺，在你相信的那个世界里到底是加分项还是减分项。</t>
    </r>
  </si>
  <si>
    <r>
      <rPr>
        <b val="true"/>
        <sz val="11"/>
        <color rgb="FFFFFFFF"/>
        <rFont val="Noto Sans CJK SC"/>
        <family val="2"/>
      </rPr>
      <t xml:space="preserve">　</t>
    </r>
    <r>
      <rPr>
        <b val="true"/>
        <sz val="11"/>
        <color rgb="FFFFFFFF"/>
        <rFont val="Arial"/>
        <family val="0"/>
        <charset val="1"/>
      </rPr>
      <t xml:space="preserve">6.3  </t>
    </r>
    <r>
      <rPr>
        <b val="true"/>
        <sz val="11"/>
        <color rgb="FFFFFFFF"/>
        <rFont val="Noto Sans CJK SC"/>
        <family val="2"/>
      </rPr>
      <t xml:space="preserve">本节专属参数控制台（只影响 </t>
    </r>
    <r>
      <rPr>
        <b val="true"/>
        <sz val="11"/>
        <color rgb="FFFFFFFF"/>
        <rFont val="Arial"/>
        <family val="0"/>
        <charset val="1"/>
      </rPr>
      <t xml:space="preserve">EPS × P/E </t>
    </r>
    <r>
      <rPr>
        <b val="true"/>
        <sz val="11"/>
        <color rgb="FFFFFFFF"/>
        <rFont val="Noto Sans CJK SC"/>
        <family val="2"/>
      </rPr>
      <t xml:space="preserve">估值，不影响上方 </t>
    </r>
    <r>
      <rPr>
        <b val="true"/>
        <sz val="11"/>
        <color rgb="FFFFFFFF"/>
        <rFont val="Arial"/>
        <family val="0"/>
        <charset val="1"/>
      </rPr>
      <t xml:space="preserve">DCF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</si>
  <si>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9"/>
        <color rgb="FF3D3D3D"/>
        <rFont val="Noto Sans CJK SC"/>
        <family val="2"/>
      </rPr>
      <t xml:space="preserve">这五个滑标只驱动第 </t>
    </r>
    <r>
      <rPr>
        <sz val="9"/>
        <color rgb="FF3D3D3D"/>
        <rFont val="Arial"/>
        <family val="0"/>
        <charset val="1"/>
      </rPr>
      <t xml:space="preserve">06 </t>
    </r>
    <r>
      <rPr>
        <sz val="9"/>
        <color rgb="FF3D3D3D"/>
        <rFont val="Noto Sans CJK SC"/>
        <family val="2"/>
      </rPr>
      <t xml:space="preserve">节，主控制台（第 </t>
    </r>
    <r>
      <rPr>
        <sz val="9"/>
        <color rgb="FF3D3D3D"/>
        <rFont val="Arial"/>
        <family val="0"/>
        <charset val="1"/>
      </rPr>
      <t xml:space="preserve">09 </t>
    </r>
    <r>
      <rPr>
        <sz val="9"/>
        <color rgb="FF3D3D3D"/>
        <rFont val="Noto Sans CJK SC"/>
        <family val="2"/>
      </rPr>
      <t xml:space="preserve">节）里不再重复出现。拖动后，上方 </t>
    </r>
    <r>
      <rPr>
        <sz val="9"/>
        <color rgb="FF3D3D3D"/>
        <rFont val="Arial"/>
        <family val="0"/>
        <charset val="1"/>
      </rPr>
      <t xml:space="preserve">6.1 / 6.2 </t>
    </r>
    <r>
      <rPr>
        <sz val="9"/>
        <color rgb="FF3D3D3D"/>
        <rFont val="Noto Sans CJK SC"/>
        <family val="2"/>
      </rPr>
      <t xml:space="preserve">两张表与下方两张敏感性表会立即重算。滑标用法与主控制台一致：按住中间灰色滚动条左右拖，或点两端箭头微调；也可以直接在右侧蓝色格里键入整数。</t>
    </r>
  </si>
  <si>
    <t xml:space="preserve">当前值</t>
  </si>
  <si>
    <t xml:space="preserve">◀  拖动滑标调节  ▶</t>
  </si>
  <si>
    <t xml:space="preserve">滑标链接格</t>
  </si>
  <si>
    <t xml:space="preserve">可调区间</t>
  </si>
  <si>
    <t xml:space="preserve">回购比例（占自由现金流）</t>
  </si>
  <si>
    <t xml:space="preserve">0% – 100%</t>
  </si>
  <si>
    <r>
      <rPr>
        <sz val="8"/>
        <color rgb="FF4A4A4A"/>
        <rFont val="Noto Sans CJK SC"/>
        <family val="2"/>
      </rPr>
      <t xml:space="preserve">★ 管理层在 </t>
    </r>
    <r>
      <rPr>
        <sz val="8"/>
        <color rgb="FF4A4A4A"/>
        <rFont val="Arial"/>
        <family val="0"/>
        <charset val="1"/>
      </rPr>
      <t xml:space="preserve">FY26 Q3 </t>
    </r>
    <r>
      <rPr>
        <sz val="8"/>
        <color rgb="FF4A4A4A"/>
        <rFont val="Noto Sans CJK SC"/>
        <family val="2"/>
      </rPr>
      <t xml:space="preserve">电话会明确：自 </t>
    </r>
    <r>
      <rPr>
        <sz val="8"/>
        <color rgb="FF4A4A4A"/>
        <rFont val="Arial"/>
        <family val="0"/>
        <charset val="1"/>
      </rPr>
      <t xml:space="preserve">2026 </t>
    </r>
    <r>
      <rPr>
        <sz val="8"/>
        <color rgb="FF4A4A4A"/>
        <rFont val="Noto Sans CJK SC"/>
        <family val="2"/>
      </rPr>
      <t xml:space="preserve">年 </t>
    </r>
    <r>
      <rPr>
        <sz val="8"/>
        <color rgb="FF4A4A4A"/>
        <rFont val="Arial"/>
        <family val="0"/>
        <charset val="1"/>
      </rPr>
      <t xml:space="preserve">12 </t>
    </r>
    <r>
      <rPr>
        <sz val="8"/>
        <color rgb="FF4A4A4A"/>
        <rFont val="Noto Sans CJK SC"/>
        <family val="2"/>
      </rPr>
      <t xml:space="preserve">月 </t>
    </r>
    <r>
      <rPr>
        <sz val="8"/>
        <color rgb="FF4A4A4A"/>
        <rFont val="Arial"/>
        <family val="0"/>
        <charset val="1"/>
      </rPr>
      <t xml:space="preserve">9 </t>
    </r>
    <r>
      <rPr>
        <sz val="8"/>
        <color rgb="FF4A4A4A"/>
        <rFont val="Noto Sans CJK SC"/>
        <family val="2"/>
      </rPr>
      <t xml:space="preserve">日（</t>
    </r>
    <r>
      <rPr>
        <sz val="8"/>
        <color rgb="FF4A4A4A"/>
        <rFont val="Arial"/>
        <family val="0"/>
        <charset val="1"/>
      </rPr>
      <t xml:space="preserve">CHIPS </t>
    </r>
    <r>
      <rPr>
        <sz val="8"/>
        <color rgb="FF4A4A4A"/>
        <rFont val="Noto Sans CJK SC"/>
        <family val="2"/>
      </rPr>
      <t xml:space="preserve">最终协议签署两周年）起将提高股东回报，「长期而言把 </t>
    </r>
    <r>
      <rPr>
        <sz val="8"/>
        <color rgb="FF4A4A4A"/>
        <rFont val="Arial"/>
        <family val="0"/>
        <charset val="1"/>
      </rPr>
      <t xml:space="preserve">100% </t>
    </r>
    <r>
      <rPr>
        <sz val="8"/>
        <color rgb="FF4A4A4A"/>
        <rFont val="Noto Sans CJK SC"/>
        <family val="2"/>
      </rPr>
      <t xml:space="preserve">的超额现金回馈股东」。</t>
    </r>
    <r>
      <rPr>
        <sz val="8"/>
        <color rgb="FF4A4A4A"/>
        <rFont val="Arial"/>
        <family val="0"/>
        <charset val="1"/>
      </rPr>
      <t xml:space="preserve">FY26 </t>
    </r>
    <r>
      <rPr>
        <sz val="8"/>
        <color rgb="FF4A4A4A"/>
        <rFont val="Noto Sans CJK SC"/>
        <family val="2"/>
      </rPr>
      <t xml:space="preserve">前九个月受 </t>
    </r>
    <r>
      <rPr>
        <sz val="8"/>
        <color rgb="FF4A4A4A"/>
        <rFont val="Arial"/>
        <family val="0"/>
        <charset val="1"/>
      </rPr>
      <t xml:space="preserve">CHIPS </t>
    </r>
    <r>
      <rPr>
        <sz val="8"/>
        <color rgb="FF4A4A4A"/>
        <rFont val="Noto Sans CJK SC"/>
        <family val="2"/>
      </rPr>
      <t xml:space="preserve">协议限制仅回购 </t>
    </r>
    <r>
      <rPr>
        <sz val="8"/>
        <color rgb="FF4A4A4A"/>
        <rFont val="Arial"/>
        <family val="0"/>
        <charset val="1"/>
      </rPr>
      <t xml:space="preserve">$650M</t>
    </r>
    <r>
      <rPr>
        <sz val="8"/>
        <color rgb="FF4A4A4A"/>
        <rFont val="Noto Sans CJK SC"/>
        <family val="2"/>
      </rPr>
      <t xml:space="preserve">。三个情形默认都设 </t>
    </r>
    <r>
      <rPr>
        <sz val="8"/>
        <color rgb="FF4A4A4A"/>
        <rFont val="Arial"/>
        <family val="0"/>
        <charset val="1"/>
      </rPr>
      <t xml:space="preserve">100%</t>
    </r>
    <r>
      <rPr>
        <sz val="8"/>
        <color rgb="FF4A4A4A"/>
        <rFont val="Noto Sans CJK SC"/>
        <family val="2"/>
      </rPr>
      <t xml:space="preserve">。</t>
    </r>
  </si>
  <si>
    <r>
      <rPr>
        <b val="true"/>
        <sz val="9"/>
        <color rgb="FF16305B"/>
        <rFont val="Noto Sans CJK SC"/>
        <family val="2"/>
      </rPr>
      <t xml:space="preserve">回购起始价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当前股价</t>
    </r>
  </si>
  <si>
    <t xml:space="preserve">0.40x – 2.50x</t>
  </si>
  <si>
    <r>
      <rPr>
        <sz val="8"/>
        <color rgb="FF4A4A4A"/>
        <rFont val="Noto Sans CJK SC"/>
        <family val="2"/>
      </rPr>
      <t xml:space="preserve">回购均价 ＝ 当前股价 </t>
    </r>
    <r>
      <rPr>
        <sz val="8"/>
        <color rgb="FF4A4A4A"/>
        <rFont val="Arial"/>
        <family val="0"/>
        <charset val="1"/>
      </rPr>
      <t xml:space="preserve">× </t>
    </r>
    <r>
      <rPr>
        <sz val="8"/>
        <color rgb="FF4A4A4A"/>
        <rFont val="Noto Sans CJK SC"/>
        <family val="2"/>
      </rPr>
      <t xml:space="preserve">本倍数 </t>
    </r>
    <r>
      <rPr>
        <sz val="8"/>
        <color rgb="FF4A4A4A"/>
        <rFont val="Arial"/>
        <family val="0"/>
        <charset val="1"/>
      </rPr>
      <t xml:space="preserve">×(1+WACC)^(t−0.5)</t>
    </r>
    <r>
      <rPr>
        <sz val="8"/>
        <color rgb="FF4A4A4A"/>
        <rFont val="Noto Sans CJK SC"/>
        <family val="2"/>
      </rPr>
      <t xml:space="preserve">。让回购价按折现率复利，是「市场定价合理」的中性假设；往下拉 ＝ 假设市场持续低估，回购更增厚。</t>
    </r>
  </si>
  <si>
    <r>
      <rPr>
        <b val="true"/>
        <sz val="9"/>
        <color rgb="FF16305B"/>
        <rFont val="Arial"/>
        <family val="0"/>
        <charset val="1"/>
      </rPr>
      <t xml:space="preserve">FY2027 P/E</t>
    </r>
    <r>
      <rPr>
        <b val="true"/>
        <sz val="9"/>
        <color rgb="FF16305B"/>
        <rFont val="Noto Sans CJK SC"/>
        <family val="2"/>
      </rPr>
      <t xml:space="preserve">（盈利高点）</t>
    </r>
  </si>
  <si>
    <t xml:space="preserve">2.0x – 30.0x</t>
  </si>
  <si>
    <r>
      <rPr>
        <sz val="8"/>
        <color rgb="FF4A4A4A"/>
        <rFont val="Noto Sans CJK SC"/>
        <family val="2"/>
      </rPr>
      <t xml:space="preserve">★ 按 </t>
    </r>
    <r>
      <rPr>
        <sz val="8"/>
        <color rgb="FF4A4A4A"/>
        <rFont val="Arial"/>
        <family val="0"/>
        <charset val="1"/>
      </rPr>
      <t xml:space="preserve">FY26 Q4 </t>
    </r>
    <r>
      <rPr>
        <sz val="8"/>
        <color rgb="FF4A4A4A"/>
        <rFont val="Noto Sans CJK SC"/>
        <family val="2"/>
      </rPr>
      <t xml:space="preserve">指引 </t>
    </r>
    <r>
      <rPr>
        <sz val="8"/>
        <color rgb="FF4A4A4A"/>
        <rFont val="Arial"/>
        <family val="0"/>
        <charset val="1"/>
      </rPr>
      <t xml:space="preserve">EPS $30.73 </t>
    </r>
    <r>
      <rPr>
        <sz val="8"/>
        <color rgb="FF4A4A4A"/>
        <rFont val="Noto Sans CJK SC"/>
        <family val="2"/>
      </rPr>
      <t xml:space="preserve">年化约 </t>
    </r>
    <r>
      <rPr>
        <sz val="8"/>
        <color rgb="FF4A4A4A"/>
        <rFont val="Arial"/>
        <family val="0"/>
        <charset val="1"/>
      </rPr>
      <t xml:space="preserve">$123</t>
    </r>
    <r>
      <rPr>
        <sz val="8"/>
        <color rgb="FF4A4A4A"/>
        <rFont val="Noto Sans CJK SC"/>
        <family val="2"/>
      </rPr>
      <t xml:space="preserve">，现价 </t>
    </r>
    <r>
      <rPr>
        <sz val="8"/>
        <color rgb="FF4A4A4A"/>
        <rFont val="Arial"/>
        <family val="0"/>
        <charset val="1"/>
      </rPr>
      <t xml:space="preserve">$903 </t>
    </r>
    <r>
      <rPr>
        <sz val="8"/>
        <color rgb="FF4A4A4A"/>
        <rFont val="Noto Sans CJK SC"/>
        <family val="2"/>
      </rPr>
      <t xml:space="preserve">对应约 </t>
    </r>
    <r>
      <rPr>
        <sz val="8"/>
        <color rgb="FF4A4A4A"/>
        <rFont val="Arial"/>
        <family val="0"/>
        <charset val="1"/>
      </rPr>
      <t xml:space="preserve">7.3 </t>
    </r>
    <r>
      <rPr>
        <sz val="8"/>
        <color rgb="FF4A4A4A"/>
        <rFont val="Noto Sans CJK SC"/>
        <family val="2"/>
      </rPr>
      <t xml:space="preserve">倍前瞻 </t>
    </r>
    <r>
      <rPr>
        <sz val="8"/>
        <color rgb="FF4A4A4A"/>
        <rFont val="Arial"/>
        <family val="0"/>
        <charset val="1"/>
      </rPr>
      <t xml:space="preserve">P/E</t>
    </r>
    <r>
      <rPr>
        <sz val="8"/>
        <color rgb="FF4A4A4A"/>
        <rFont val="Noto Sans CJK SC"/>
        <family val="2"/>
      </rPr>
      <t xml:space="preserve">。</t>
    </r>
    <r>
      <rPr>
        <sz val="8"/>
        <color rgb="FF4A4A4A"/>
        <rFont val="Arial"/>
        <family val="0"/>
        <charset val="1"/>
      </rPr>
      <t xml:space="preserve">MU </t>
    </r>
    <r>
      <rPr>
        <sz val="8"/>
        <color rgb="FF4A4A4A"/>
        <rFont val="Noto Sans CJK SC"/>
        <family val="2"/>
      </rPr>
      <t xml:space="preserve">在历次周期高点的市盈率都在 </t>
    </r>
    <r>
      <rPr>
        <sz val="8"/>
        <color rgb="FF4A4A4A"/>
        <rFont val="Arial"/>
        <family val="0"/>
        <charset val="1"/>
      </rPr>
      <t xml:space="preserve">4–8 </t>
    </r>
    <r>
      <rPr>
        <sz val="8"/>
        <color rgb="FF4A4A4A"/>
        <rFont val="Noto Sans CJK SC"/>
        <family val="2"/>
      </rPr>
      <t xml:space="preserve">倍——存储股在盈利高点被给低倍数是常态，不要把 </t>
    </r>
    <r>
      <rPr>
        <sz val="8"/>
        <color rgb="FF4A4A4A"/>
        <rFont val="Arial"/>
        <family val="0"/>
        <charset val="1"/>
      </rPr>
      <t xml:space="preserve">20 </t>
    </r>
    <r>
      <rPr>
        <sz val="8"/>
        <color rgb="FF4A4A4A"/>
        <rFont val="Noto Sans CJK SC"/>
        <family val="2"/>
      </rPr>
      <t xml:space="preserve">倍套到高点年份上。</t>
    </r>
  </si>
  <si>
    <r>
      <rPr>
        <b val="true"/>
        <sz val="9"/>
        <color rgb="FF16305B"/>
        <rFont val="Arial"/>
        <family val="0"/>
        <charset val="1"/>
      </rPr>
      <t xml:space="preserve">FY2028 P/E</t>
    </r>
    <r>
      <rPr>
        <b val="true"/>
        <sz val="9"/>
        <color rgb="FF16305B"/>
        <rFont val="Noto Sans CJK SC"/>
        <family val="2"/>
      </rPr>
      <t xml:space="preserve">（周期转折年）</t>
    </r>
  </si>
  <si>
    <r>
      <rPr>
        <sz val="8"/>
        <color rgb="FF4A4A4A"/>
        <rFont val="Noto Sans CJK SC"/>
        <family val="2"/>
      </rPr>
      <t xml:space="preserve">周期转折年。盈利下滑时 </t>
    </r>
    <r>
      <rPr>
        <sz val="8"/>
        <color rgb="FF4A4A4A"/>
        <rFont val="Arial"/>
        <family val="0"/>
        <charset val="1"/>
      </rPr>
      <t xml:space="preserve">P/E </t>
    </r>
    <r>
      <rPr>
        <sz val="8"/>
        <color rgb="FF4A4A4A"/>
        <rFont val="Noto Sans CJK SC"/>
        <family val="2"/>
      </rPr>
      <t xml:space="preserve">通常先扩张（分母掉得比股价快），所以这一档一般高于 </t>
    </r>
    <r>
      <rPr>
        <sz val="8"/>
        <color rgb="FF4A4A4A"/>
        <rFont val="Arial"/>
        <family val="0"/>
        <charset val="1"/>
      </rPr>
      <t xml:space="preserve">FY27</t>
    </r>
    <r>
      <rPr>
        <sz val="8"/>
        <color rgb="FF4A4A4A"/>
        <rFont val="Noto Sans CJK SC"/>
        <family val="2"/>
      </rPr>
      <t xml:space="preserve">。</t>
    </r>
    <r>
      <rPr>
        <sz val="8"/>
        <color rgb="FF4A4A4A"/>
        <rFont val="Arial"/>
        <family val="0"/>
        <charset val="1"/>
      </rPr>
      <t xml:space="preserve">MU </t>
    </r>
    <r>
      <rPr>
        <sz val="8"/>
        <color rgb="FF4A4A4A"/>
        <rFont val="Noto Sans CJK SC"/>
        <family val="2"/>
      </rPr>
      <t xml:space="preserve">在 </t>
    </r>
    <r>
      <rPr>
        <sz val="8"/>
        <color rgb="FF4A4A4A"/>
        <rFont val="Arial"/>
        <family val="0"/>
        <charset val="1"/>
      </rPr>
      <t xml:space="preserve">FY2023 </t>
    </r>
    <r>
      <rPr>
        <sz val="8"/>
        <color rgb="FF4A4A4A"/>
        <rFont val="Noto Sans CJK SC"/>
        <family val="2"/>
      </rPr>
      <t xml:space="preserve">亏损年 </t>
    </r>
    <r>
      <rPr>
        <sz val="8"/>
        <color rgb="FF4A4A4A"/>
        <rFont val="Arial"/>
        <family val="0"/>
        <charset val="1"/>
      </rPr>
      <t xml:space="preserve">P/E </t>
    </r>
    <r>
      <rPr>
        <sz val="8"/>
        <color rgb="FF4A4A4A"/>
        <rFont val="Noto Sans CJK SC"/>
        <family val="2"/>
      </rPr>
      <t xml:space="preserve">无意义、</t>
    </r>
    <r>
      <rPr>
        <sz val="8"/>
        <color rgb="FF4A4A4A"/>
        <rFont val="Arial"/>
        <family val="0"/>
        <charset val="1"/>
      </rPr>
      <t xml:space="preserve">FY2024 </t>
    </r>
    <r>
      <rPr>
        <sz val="8"/>
        <color rgb="FF4A4A4A"/>
        <rFont val="Noto Sans CJK SC"/>
        <family val="2"/>
      </rPr>
      <t xml:space="preserve">复苏年一度超过 </t>
    </r>
    <r>
      <rPr>
        <sz val="8"/>
        <color rgb="FF4A4A4A"/>
        <rFont val="Arial"/>
        <family val="0"/>
        <charset val="1"/>
      </rPr>
      <t xml:space="preserve">30 </t>
    </r>
    <r>
      <rPr>
        <sz val="8"/>
        <color rgb="FF4A4A4A"/>
        <rFont val="Noto Sans CJK SC"/>
        <family val="2"/>
      </rPr>
      <t xml:space="preserve">倍。</t>
    </r>
    <r>
      <rPr>
        <sz val="8"/>
        <color rgb="FF4A4A4A"/>
        <rFont val="Arial"/>
        <family val="0"/>
        <charset val="1"/>
      </rPr>
      <t xml:space="preserve">FY29–FY31 </t>
    </r>
    <r>
      <rPr>
        <sz val="8"/>
        <color rgb="FF4A4A4A"/>
        <rFont val="Noto Sans CJK SC"/>
        <family val="2"/>
      </rPr>
      <t xml:space="preserve">的 </t>
    </r>
    <r>
      <rPr>
        <sz val="8"/>
        <color rgb="FF4A4A4A"/>
        <rFont val="Arial"/>
        <family val="0"/>
        <charset val="1"/>
      </rPr>
      <t xml:space="preserve">P/E </t>
    </r>
    <r>
      <rPr>
        <sz val="8"/>
        <color rgb="FF4A4A4A"/>
        <rFont val="Noto Sans CJK SC"/>
        <family val="2"/>
      </rPr>
      <t xml:space="preserve">在本档与 </t>
    </r>
    <r>
      <rPr>
        <sz val="8"/>
        <color rgb="FF4A4A4A"/>
        <rFont val="Arial"/>
        <family val="0"/>
        <charset val="1"/>
      </rPr>
      <t xml:space="preserve">FY32 </t>
    </r>
    <r>
      <rPr>
        <sz val="8"/>
        <color rgb="FF4A4A4A"/>
        <rFont val="Noto Sans CJK SC"/>
        <family val="2"/>
      </rPr>
      <t xml:space="preserve">之间线性过渡。</t>
    </r>
  </si>
  <si>
    <r>
      <rPr>
        <b val="true"/>
        <sz val="9"/>
        <color rgb="FF16305B"/>
        <rFont val="Arial"/>
        <family val="0"/>
        <charset val="1"/>
      </rPr>
      <t xml:space="preserve">FY2032 P/E</t>
    </r>
    <r>
      <rPr>
        <b val="true"/>
        <sz val="9"/>
        <color rgb="FF16305B"/>
        <rFont val="Noto Sans CJK SC"/>
        <family val="2"/>
      </rPr>
      <t xml:space="preserve">（终局</t>
    </r>
    <r>
      <rPr>
        <b val="true"/>
        <sz val="9"/>
        <color rgb="FF16305B"/>
        <rFont val="Arial"/>
        <family val="0"/>
        <charset val="1"/>
      </rPr>
      <t xml:space="preserve">/</t>
    </r>
    <r>
      <rPr>
        <b val="true"/>
        <sz val="9"/>
        <color rgb="FF16305B"/>
        <rFont val="Noto Sans CJK SC"/>
        <family val="2"/>
      </rPr>
      <t xml:space="preserve">退出）</t>
    </r>
  </si>
  <si>
    <r>
      <rPr>
        <sz val="8"/>
        <color rgb="FF4A4A4A"/>
        <rFont val="Noto Sans CJK SC"/>
        <family val="2"/>
      </rPr>
      <t xml:space="preserve">★ 终局倍数。下方汇总第 ⑤ 行会算出「本 </t>
    </r>
    <r>
      <rPr>
        <sz val="8"/>
        <color rgb="FF4A4A4A"/>
        <rFont val="Arial"/>
        <family val="0"/>
        <charset val="1"/>
      </rPr>
      <t xml:space="preserve">DCF </t>
    </r>
    <r>
      <rPr>
        <sz val="8"/>
        <color rgb="FF4A4A4A"/>
        <rFont val="Noto Sans CJK SC"/>
        <family val="2"/>
      </rPr>
      <t xml:space="preserve">隐含的退出 </t>
    </r>
    <r>
      <rPr>
        <sz val="8"/>
        <color rgb="FF4A4A4A"/>
        <rFont val="Arial"/>
        <family val="0"/>
        <charset val="1"/>
      </rPr>
      <t xml:space="preserve">P/E</t>
    </r>
    <r>
      <rPr>
        <sz val="8"/>
        <color rgb="FF4A4A4A"/>
        <rFont val="Noto Sans CJK SC"/>
        <family val="2"/>
      </rPr>
      <t xml:space="preserve">」——把这一档拖到那个数，</t>
    </r>
    <r>
      <rPr>
        <sz val="8"/>
        <color rgb="FF4A4A4A"/>
        <rFont val="Arial"/>
        <family val="0"/>
        <charset val="1"/>
      </rPr>
      <t xml:space="preserve">EPS×P/E </t>
    </r>
    <r>
      <rPr>
        <sz val="8"/>
        <color rgb="FF4A4A4A"/>
        <rFont val="Noto Sans CJK SC"/>
        <family val="2"/>
      </rPr>
      <t xml:space="preserve">与 </t>
    </r>
    <r>
      <rPr>
        <sz val="8"/>
        <color rgb="FF4A4A4A"/>
        <rFont val="Arial"/>
        <family val="0"/>
        <charset val="1"/>
      </rPr>
      <t xml:space="preserve">DCF </t>
    </r>
    <r>
      <rPr>
        <sz val="8"/>
        <color rgb="FF4A4A4A"/>
        <rFont val="Noto Sans CJK SC"/>
        <family val="2"/>
      </rPr>
      <t xml:space="preserve">两法应当收敛。</t>
    </r>
    <r>
      <rPr>
        <sz val="8"/>
        <color rgb="FF4A4A4A"/>
        <rFont val="Arial"/>
        <family val="0"/>
        <charset val="1"/>
      </rPr>
      <t xml:space="preserve">MU </t>
    </r>
    <r>
      <rPr>
        <sz val="8"/>
        <color rgb="FF4A4A4A"/>
        <rFont val="Noto Sans CJK SC"/>
        <family val="2"/>
      </rPr>
      <t xml:space="preserve">穿越周期的中位 </t>
    </r>
    <r>
      <rPr>
        <sz val="8"/>
        <color rgb="FF4A4A4A"/>
        <rFont val="Arial"/>
        <family val="0"/>
        <charset val="1"/>
      </rPr>
      <t xml:space="preserve">P/E </t>
    </r>
    <r>
      <rPr>
        <sz val="8"/>
        <color rgb="FF4A4A4A"/>
        <rFont val="Noto Sans CJK SC"/>
        <family val="2"/>
      </rPr>
      <t xml:space="preserve">约 </t>
    </r>
    <r>
      <rPr>
        <sz val="8"/>
        <color rgb="FF4A4A4A"/>
        <rFont val="Arial"/>
        <family val="0"/>
        <charset val="1"/>
      </rPr>
      <t xml:space="preserve">10–14 </t>
    </r>
    <r>
      <rPr>
        <sz val="8"/>
        <color rgb="FF4A4A4A"/>
        <rFont val="Noto Sans CJK SC"/>
        <family val="2"/>
      </rPr>
      <t xml:space="preserve">倍。</t>
    </r>
  </si>
  <si>
    <r>
      <rPr>
        <b val="true"/>
        <sz val="9"/>
        <color rgb="FFFFFFFF"/>
        <rFont val="Noto Sans CJK SC"/>
        <family val="2"/>
      </rPr>
      <t xml:space="preserve">敏感性表 </t>
    </r>
    <r>
      <rPr>
        <b val="true"/>
        <sz val="9"/>
        <color rgb="FFFFFFFF"/>
        <rFont val="Arial"/>
        <family val="0"/>
        <charset val="1"/>
      </rPr>
      <t xml:space="preserve">C · EPS×P/E </t>
    </r>
    <r>
      <rPr>
        <b val="true"/>
        <sz val="9"/>
        <color rgb="FFFFFFFF"/>
        <rFont val="Noto Sans CJK SC"/>
        <family val="2"/>
      </rPr>
      <t xml:space="preserve">法的每股价值：</t>
    </r>
    <r>
      <rPr>
        <b val="true"/>
        <sz val="9"/>
        <color rgb="FFFFFFFF"/>
        <rFont val="Arial"/>
        <family val="0"/>
        <charset val="1"/>
      </rPr>
      <t xml:space="preserve">FY2032 P/E</t>
    </r>
    <r>
      <rPr>
        <b val="true"/>
        <sz val="9"/>
        <color rgb="FFFFFFFF"/>
        <rFont val="Noto Sans CJK SC"/>
        <family val="2"/>
      </rPr>
      <t xml:space="preserve">（行）</t>
    </r>
    <r>
      <rPr>
        <b val="true"/>
        <sz val="9"/>
        <color rgb="FFFFFFFF"/>
        <rFont val="Arial"/>
        <family val="0"/>
        <charset val="1"/>
      </rPr>
      <t xml:space="preserve">× </t>
    </r>
    <r>
      <rPr>
        <b val="true"/>
        <sz val="9"/>
        <color rgb="FFFFFFFF"/>
        <rFont val="Noto Sans CJK SC"/>
        <family val="2"/>
      </rPr>
      <t xml:space="preserve">回购比例（列）</t>
    </r>
  </si>
  <si>
    <r>
      <rPr>
        <b val="true"/>
        <sz val="9"/>
        <color rgb="FF16305B"/>
        <rFont val="Arial"/>
        <family val="0"/>
        <charset val="1"/>
      </rPr>
      <t xml:space="preserve">FY32 P/E </t>
    </r>
    <r>
      <rPr>
        <b val="true"/>
        <sz val="9"/>
        <color rgb="FF16305B"/>
        <rFont val="Noto Sans CJK SC"/>
        <family val="2"/>
      </rPr>
      <t xml:space="preserve">＼ 回购比例</t>
    </r>
  </si>
  <si>
    <r>
      <rPr>
        <sz val="9"/>
        <color rgb="FF3D3D3D"/>
        <rFont val="Noto Sans CJK SC"/>
        <family val="2"/>
      </rPr>
      <t xml:space="preserve">怎么读：从左到右是回购比例从 </t>
    </r>
    <r>
      <rPr>
        <sz val="9"/>
        <color rgb="FF3D3D3D"/>
        <rFont val="Arial"/>
        <family val="0"/>
        <charset val="1"/>
      </rPr>
      <t xml:space="preserve">0 </t>
    </r>
    <r>
      <rPr>
        <sz val="9"/>
        <color rgb="FF3D3D3D"/>
        <rFont val="Noto Sans CJK SC"/>
        <family val="2"/>
      </rPr>
      <t xml:space="preserve">提到 </t>
    </r>
    <r>
      <rPr>
        <sz val="9"/>
        <color rgb="FF3D3D3D"/>
        <rFont val="Arial"/>
        <family val="0"/>
        <charset val="1"/>
      </rPr>
      <t xml:space="preserve">100%</t>
    </r>
    <r>
      <rPr>
        <sz val="9"/>
        <color rgb="FF3D3D3D"/>
        <rFont val="Noto Sans CJK SC"/>
        <family val="2"/>
      </rPr>
      <t xml:space="preserve">。★ 一行里数字从左到右递增 ＝ 在这个退出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下回购是增厚的；递减 ＝ 公司在用高于内在价值的价格回购自己的股票，此时「</t>
    </r>
    <r>
      <rPr>
        <sz val="9"/>
        <color rgb="FF3D3D3D"/>
        <rFont val="Arial"/>
        <family val="0"/>
        <charset val="1"/>
      </rPr>
      <t xml:space="preserve">100% </t>
    </r>
    <r>
      <rPr>
        <sz val="9"/>
        <color rgb="FF3D3D3D"/>
        <rFont val="Noto Sans CJK SC"/>
        <family val="2"/>
      </rPr>
      <t xml:space="preserve">返还超额现金」反而在损害长期股东。绿色 ＝ 高于现价，红色 ＝ 低于现价。</t>
    </r>
  </si>
  <si>
    <r>
      <rPr>
        <b val="true"/>
        <sz val="9"/>
        <color rgb="FFFFFFFF"/>
        <rFont val="Noto Sans CJK SC"/>
        <family val="2"/>
      </rPr>
      <t xml:space="preserve">敏感性表 </t>
    </r>
    <r>
      <rPr>
        <b val="true"/>
        <sz val="9"/>
        <color rgb="FFFFFFFF"/>
        <rFont val="Arial"/>
        <family val="0"/>
        <charset val="1"/>
      </rPr>
      <t xml:space="preserve">D · </t>
    </r>
    <r>
      <rPr>
        <b val="true"/>
        <sz val="9"/>
        <color rgb="FFFFFFFF"/>
        <rFont val="Noto Sans CJK SC"/>
        <family val="2"/>
      </rPr>
      <t xml:space="preserve">同一个 </t>
    </r>
    <r>
      <rPr>
        <b val="true"/>
        <sz val="9"/>
        <color rgb="FFFFFFFF"/>
        <rFont val="Arial"/>
        <family val="0"/>
        <charset val="1"/>
      </rPr>
      <t xml:space="preserve">P/E </t>
    </r>
    <r>
      <rPr>
        <b val="true"/>
        <sz val="9"/>
        <color rgb="FFFFFFFF"/>
        <rFont val="Noto Sans CJK SC"/>
        <family val="2"/>
      </rPr>
      <t xml:space="preserve">水平（行）落在三个不同年份（列）上，目标价差多少</t>
    </r>
  </si>
  <si>
    <r>
      <rPr>
        <b val="true"/>
        <sz val="9"/>
        <color rgb="FF16305B"/>
        <rFont val="Arial"/>
        <family val="0"/>
        <charset val="1"/>
      </rPr>
      <t xml:space="preserve">P/E </t>
    </r>
    <r>
      <rPr>
        <b val="true"/>
        <sz val="9"/>
        <color rgb="FF16305B"/>
        <rFont val="Noto Sans CJK SC"/>
        <family val="2"/>
      </rPr>
      <t xml:space="preserve">水平</t>
    </r>
  </si>
  <si>
    <r>
      <rPr>
        <b val="true"/>
        <sz val="9"/>
        <color rgb="FF16305B"/>
        <rFont val="Arial"/>
        <family val="0"/>
        <charset val="1"/>
      </rPr>
      <t xml:space="preserve">FY2027 </t>
    </r>
    <r>
      <rPr>
        <b val="true"/>
        <sz val="9"/>
        <color rgb="FF16305B"/>
        <rFont val="Noto Sans CJK SC"/>
        <family val="2"/>
      </rPr>
      <t xml:space="preserve">目标价
（</t>
    </r>
    <r>
      <rPr>
        <b val="true"/>
        <sz val="9"/>
        <color rgb="FF16305B"/>
        <rFont val="Arial"/>
        <family val="0"/>
        <charset val="1"/>
      </rPr>
      <t xml:space="preserve">12 </t>
    </r>
    <r>
      <rPr>
        <b val="true"/>
        <sz val="9"/>
        <color rgb="FF16305B"/>
        <rFont val="Noto Sans CJK SC"/>
        <family val="2"/>
      </rPr>
      <t xml:space="preserve">个月，不折现）</t>
    </r>
  </si>
  <si>
    <r>
      <rPr>
        <b val="true"/>
        <sz val="9"/>
        <color rgb="FF16305B"/>
        <rFont val="Arial"/>
        <family val="0"/>
        <charset val="1"/>
      </rPr>
      <t xml:space="preserve">FY2028 </t>
    </r>
    <r>
      <rPr>
        <b val="true"/>
        <sz val="9"/>
        <color rgb="FF16305B"/>
        <rFont val="Noto Sans CJK SC"/>
        <family val="2"/>
      </rPr>
      <t xml:space="preserve">目标价
（折现 </t>
    </r>
    <r>
      <rPr>
        <b val="true"/>
        <sz val="9"/>
        <color rgb="FF16305B"/>
        <rFont val="Arial"/>
        <family val="0"/>
        <charset val="1"/>
      </rPr>
      <t xml:space="preserve">2 </t>
    </r>
    <r>
      <rPr>
        <b val="true"/>
        <sz val="9"/>
        <color rgb="FF16305B"/>
        <rFont val="Noto Sans CJK SC"/>
        <family val="2"/>
      </rPr>
      <t xml:space="preserve">年）</t>
    </r>
  </si>
  <si>
    <r>
      <rPr>
        <b val="true"/>
        <sz val="9"/>
        <color rgb="FF16305B"/>
        <rFont val="Arial"/>
        <family val="0"/>
        <charset val="1"/>
      </rPr>
      <t xml:space="preserve">FY2032 </t>
    </r>
    <r>
      <rPr>
        <b val="true"/>
        <sz val="9"/>
        <color rgb="FF16305B"/>
        <rFont val="Noto Sans CJK SC"/>
        <family val="2"/>
      </rPr>
      <t xml:space="preserve">目标价
（折现 </t>
    </r>
    <r>
      <rPr>
        <b val="true"/>
        <sz val="9"/>
        <color rgb="FF16305B"/>
        <rFont val="Arial"/>
        <family val="0"/>
        <charset val="1"/>
      </rPr>
      <t xml:space="preserve">6 </t>
    </r>
    <r>
      <rPr>
        <b val="true"/>
        <sz val="9"/>
        <color rgb="FF16305B"/>
        <rFont val="Noto Sans CJK SC"/>
        <family val="2"/>
      </rPr>
      <t xml:space="preserve">年）</t>
    </r>
  </si>
  <si>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目标价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现价 − </t>
    </r>
    <r>
      <rPr>
        <b val="true"/>
        <sz val="9"/>
        <color rgb="FF16305B"/>
        <rFont val="Arial"/>
        <family val="0"/>
        <charset val="1"/>
      </rPr>
      <t xml:space="preserve">1</t>
    </r>
  </si>
  <si>
    <r>
      <rPr>
        <b val="true"/>
        <sz val="9"/>
        <color rgb="FF16305B"/>
        <rFont val="Arial"/>
        <family val="0"/>
        <charset val="1"/>
      </rPr>
      <t xml:space="preserve">FY32 </t>
    </r>
    <r>
      <rPr>
        <b val="true"/>
        <sz val="9"/>
        <color rgb="FF16305B"/>
        <rFont val="Noto Sans CJK SC"/>
        <family val="2"/>
      </rPr>
      <t xml:space="preserve">折现值 </t>
    </r>
    <r>
      <rPr>
        <b val="true"/>
        <sz val="9"/>
        <color rgb="FF16305B"/>
        <rFont val="Arial"/>
        <family val="0"/>
        <charset val="1"/>
      </rPr>
      <t xml:space="preserve">÷ </t>
    </r>
    <r>
      <rPr>
        <b val="true"/>
        <sz val="9"/>
        <color rgb="FF16305B"/>
        <rFont val="Noto Sans CJK SC"/>
        <family val="2"/>
      </rPr>
      <t xml:space="preserve">现价 − </t>
    </r>
    <r>
      <rPr>
        <b val="true"/>
        <sz val="9"/>
        <color rgb="FF16305B"/>
        <rFont val="Arial"/>
        <family val="0"/>
        <charset val="1"/>
      </rPr>
      <t xml:space="preserve">1</t>
    </r>
  </si>
  <si>
    <r>
      <rPr>
        <b val="true"/>
        <sz val="9"/>
        <color rgb="FF16305B"/>
        <rFont val="Noto Sans CJK SC"/>
        <family val="2"/>
      </rPr>
      <t xml:space="preserve">对应的 </t>
    </r>
    <r>
      <rPr>
        <b val="true"/>
        <sz val="9"/>
        <color rgb="FF16305B"/>
        <rFont val="Arial"/>
        <family val="0"/>
        <charset val="1"/>
      </rPr>
      <t xml:space="preserve">EPS</t>
    </r>
    <r>
      <rPr>
        <b val="true"/>
        <sz val="9"/>
        <color rgb="FF16305B"/>
        <rFont val="Noto Sans CJK SC"/>
        <family val="2"/>
      </rPr>
      <t xml:space="preserve">：</t>
    </r>
    <r>
      <rPr>
        <b val="true"/>
        <sz val="9"/>
        <color rgb="FF16305B"/>
        <rFont val="Arial"/>
        <family val="0"/>
        <charset val="1"/>
      </rPr>
      <t xml:space="preserve">FY27 / FY28 / FY32 </t>
    </r>
    <r>
      <rPr>
        <b val="true"/>
        <sz val="9"/>
        <color rgb="FF16305B"/>
        <rFont val="Noto Sans CJK SC"/>
        <family val="2"/>
      </rPr>
      <t xml:space="preserve">见 </t>
    </r>
    <r>
      <rPr>
        <b val="true"/>
        <sz val="9"/>
        <color rgb="FF16305B"/>
        <rFont val="Arial"/>
        <family val="0"/>
        <charset val="1"/>
      </rPr>
      <t xml:space="preserve">6.1 </t>
    </r>
    <r>
      <rPr>
        <b val="true"/>
        <sz val="9"/>
        <color rgb="FF16305B"/>
        <rFont val="Noto Sans CJK SC"/>
        <family val="2"/>
      </rPr>
      <t xml:space="preserve">表</t>
    </r>
  </si>
  <si>
    <r>
      <rPr>
        <sz val="9"/>
        <color rgb="FF3D3D3D"/>
        <rFont val="Noto Sans CJK SC"/>
        <family val="2"/>
      </rPr>
      <t xml:space="preserve">★ 这张表的用法：横向比较同一个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落在不同年份上的效果。你会看到 </t>
    </r>
    <r>
      <rPr>
        <sz val="9"/>
        <color rgb="FF3D3D3D"/>
        <rFont val="Arial"/>
        <family val="0"/>
        <charset val="1"/>
      </rPr>
      <t xml:space="preserve">FY2027 </t>
    </r>
    <r>
      <rPr>
        <sz val="9"/>
        <color rgb="FF3D3D3D"/>
        <rFont val="Noto Sans CJK SC"/>
        <family val="2"/>
      </rPr>
      <t xml:space="preserve">那一列对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最敏感——因为 </t>
    </r>
    <r>
      <rPr>
        <sz val="9"/>
        <color rgb="FF3D3D3D"/>
        <rFont val="Arial"/>
        <family val="0"/>
        <charset val="1"/>
      </rPr>
      <t xml:space="preserve">FY27 </t>
    </r>
    <r>
      <rPr>
        <sz val="9"/>
        <color rgb="FF3D3D3D"/>
        <rFont val="Noto Sans CJK SC"/>
        <family val="2"/>
      </rPr>
      <t xml:space="preserve">的 </t>
    </r>
    <r>
      <rPr>
        <sz val="9"/>
        <color rgb="FF3D3D3D"/>
        <rFont val="Arial"/>
        <family val="0"/>
        <charset val="1"/>
      </rPr>
      <t xml:space="preserve">EPS </t>
    </r>
    <r>
      <rPr>
        <sz val="9"/>
        <color rgb="FF3D3D3D"/>
        <rFont val="Noto Sans CJK SC"/>
        <family val="2"/>
      </rPr>
      <t xml:space="preserve">最高，同样加 </t>
    </r>
    <r>
      <rPr>
        <sz val="9"/>
        <color rgb="FF3D3D3D"/>
        <rFont val="Arial"/>
        <family val="0"/>
        <charset val="1"/>
      </rPr>
      <t xml:space="preserve">3 </t>
    </r>
    <r>
      <rPr>
        <sz val="9"/>
        <color rgb="FF3D3D3D"/>
        <rFont val="Noto Sans CJK SC"/>
        <family val="2"/>
      </rPr>
      <t xml:space="preserve">倍 </t>
    </r>
    <r>
      <rPr>
        <sz val="9"/>
        <color rgb="FF3D3D3D"/>
        <rFont val="Arial"/>
        <family val="0"/>
        <charset val="1"/>
      </rPr>
      <t xml:space="preserve">P/E</t>
    </r>
    <r>
      <rPr>
        <sz val="9"/>
        <color rgb="FF3D3D3D"/>
        <rFont val="Noto Sans CJK SC"/>
        <family val="2"/>
      </rPr>
      <t xml:space="preserve">，</t>
    </r>
    <r>
      <rPr>
        <sz val="9"/>
        <color rgb="FF3D3D3D"/>
        <rFont val="Arial"/>
        <family val="0"/>
        <charset val="1"/>
      </rPr>
      <t xml:space="preserve">FY27 </t>
    </r>
    <r>
      <rPr>
        <sz val="9"/>
        <color rgb="FF3D3D3D"/>
        <rFont val="Noto Sans CJK SC"/>
        <family val="2"/>
      </rPr>
      <t xml:space="preserve">的目标价涨得最多。这正是「不能用同一个倍数乘所有年份」的量化理由：把终局的正常倍数误用在盈利高点年份上，会把目标价系统性推高。反过来，如果三列在某个 </t>
    </r>
    <r>
      <rPr>
        <sz val="9"/>
        <color rgb="FF3D3D3D"/>
        <rFont val="Arial"/>
        <family val="0"/>
        <charset val="1"/>
      </rPr>
      <t xml:space="preserve">P/E </t>
    </r>
    <r>
      <rPr>
        <sz val="9"/>
        <color rgb="FF3D3D3D"/>
        <rFont val="Noto Sans CJK SC"/>
        <family val="2"/>
      </rPr>
      <t xml:space="preserve">水平上给出的结论一致（都高于或都低于现价），那个结论才是稳健的。</t>
    </r>
  </si>
  <si>
    <r>
      <rPr>
        <b val="true"/>
        <sz val="11"/>
        <color rgb="FFFFFFFF"/>
        <rFont val="Arial"/>
        <family val="0"/>
        <charset val="1"/>
      </rPr>
      <t xml:space="preserve">07  </t>
    </r>
    <r>
      <rPr>
        <b val="true"/>
        <sz val="11"/>
        <color rgb="FFFFFFFF"/>
        <rFont val="Noto Sans CJK SC"/>
        <family val="2"/>
      </rPr>
      <t xml:space="preserve">敏感性分析（</t>
    </r>
    <r>
      <rPr>
        <b val="true"/>
        <sz val="11"/>
        <color rgb="FFFFFFFF"/>
        <rFont val="Arial"/>
        <family val="0"/>
        <charset val="1"/>
      </rPr>
      <t xml:space="preserve">DCF </t>
    </r>
    <r>
      <rPr>
        <b val="true"/>
        <sz val="11"/>
        <color rgb="FFFFFFFF"/>
        <rFont val="Noto Sans CJK SC"/>
        <family val="2"/>
      </rPr>
      <t xml:space="preserve">口径）</t>
    </r>
  </si>
  <si>
    <r>
      <rPr>
        <sz val="9"/>
        <color rgb="FF3D3D3D"/>
        <rFont val="Noto Sans CJK SC"/>
        <family val="2"/>
      </rPr>
      <t xml:space="preserve">两张二维表。左表是最标准的 </t>
    </r>
    <r>
      <rPr>
        <sz val="9"/>
        <color rgb="FF3D3D3D"/>
        <rFont val="Arial"/>
        <family val="0"/>
        <charset val="1"/>
      </rPr>
      <t xml:space="preserve">WACC × </t>
    </r>
    <r>
      <rPr>
        <sz val="9"/>
        <color rgb="FF3D3D3D"/>
        <rFont val="Noto Sans CJK SC"/>
        <family val="2"/>
      </rPr>
      <t xml:space="preserve">永续增长率；右表换成 </t>
    </r>
    <r>
      <rPr>
        <sz val="9"/>
        <color rgb="FF3D3D3D"/>
        <rFont val="Arial"/>
        <family val="0"/>
        <charset val="1"/>
      </rPr>
      <t xml:space="preserve">WACC × </t>
    </r>
    <r>
      <rPr>
        <sz val="9"/>
        <color rgb="FF3D3D3D"/>
        <rFont val="Noto Sans CJK SC"/>
        <family val="2"/>
      </rPr>
      <t xml:space="preserve">终局毛利率——对 </t>
    </r>
    <r>
      <rPr>
        <sz val="9"/>
        <color rgb="FF3D3D3D"/>
        <rFont val="Arial"/>
        <family val="0"/>
        <charset val="1"/>
      </rPr>
      <t xml:space="preserve">MU </t>
    </r>
    <r>
      <rPr>
        <sz val="9"/>
        <color rgb="FF3D3D3D"/>
        <rFont val="Noto Sans CJK SC"/>
        <family val="2"/>
      </rPr>
      <t xml:space="preserve">而言后者重要得多，因为「</t>
    </r>
    <r>
      <rPr>
        <sz val="9"/>
        <color rgb="FF3D3D3D"/>
        <rFont val="Arial"/>
        <family val="0"/>
        <charset val="1"/>
      </rPr>
      <t xml:space="preserve">DRAM </t>
    </r>
    <r>
      <rPr>
        <sz val="9"/>
        <color rgb="FF3D3D3D"/>
        <rFont val="Noto Sans CJK SC"/>
        <family val="2"/>
      </rPr>
      <t xml:space="preserve">价格能不能维持」比「永续增长率是 </t>
    </r>
    <r>
      <rPr>
        <sz val="9"/>
        <color rgb="FF3D3D3D"/>
        <rFont val="Arial"/>
        <family val="0"/>
        <charset val="1"/>
      </rPr>
      <t xml:space="preserve">2.5% </t>
    </r>
    <r>
      <rPr>
        <sz val="9"/>
        <color rgb="FF3D3D3D"/>
        <rFont val="Noto Sans CJK SC"/>
        <family val="2"/>
      </rPr>
      <t xml:space="preserve">还是 </t>
    </r>
    <r>
      <rPr>
        <sz val="9"/>
        <color rgb="FF3D3D3D"/>
        <rFont val="Arial"/>
        <family val="0"/>
        <charset val="1"/>
      </rPr>
      <t xml:space="preserve">3.5%</t>
    </r>
    <r>
      <rPr>
        <sz val="9"/>
        <color rgb="FF3D3D3D"/>
        <rFont val="Noto Sans CJK SC"/>
        <family val="2"/>
      </rPr>
      <t xml:space="preserve">」对结论的影响大一个数量级。表内每一格都是完整重算的每股价值，绿色 </t>
    </r>
    <r>
      <rPr>
        <sz val="9"/>
        <color rgb="FF3D3D3D"/>
        <rFont val="Arial"/>
        <family val="0"/>
        <charset val="1"/>
      </rPr>
      <t xml:space="preserve">= </t>
    </r>
    <r>
      <rPr>
        <sz val="9"/>
        <color rgb="FF3D3D3D"/>
        <rFont val="Noto Sans CJK SC"/>
        <family val="2"/>
      </rPr>
      <t xml:space="preserve">高于现价，红色 </t>
    </r>
    <r>
      <rPr>
        <sz val="9"/>
        <color rgb="FF3D3D3D"/>
        <rFont val="Arial"/>
        <family val="0"/>
        <charset val="1"/>
      </rPr>
      <t xml:space="preserve">= </t>
    </r>
    <r>
      <rPr>
        <sz val="9"/>
        <color rgb="FF3D3D3D"/>
        <rFont val="Noto Sans CJK SC"/>
        <family val="2"/>
      </rPr>
      <t xml:space="preserve">低于现价。</t>
    </r>
  </si>
  <si>
    <r>
      <rPr>
        <b val="true"/>
        <sz val="9"/>
        <color rgb="FFFFFFFF"/>
        <rFont val="Noto Sans CJK SC"/>
        <family val="2"/>
      </rPr>
      <t xml:space="preserve">敏感性表 </t>
    </r>
    <r>
      <rPr>
        <b val="true"/>
        <sz val="9"/>
        <color rgb="FFFFFFFF"/>
        <rFont val="Arial"/>
        <family val="0"/>
        <charset val="1"/>
      </rPr>
      <t xml:space="preserve">A · </t>
    </r>
    <r>
      <rPr>
        <b val="true"/>
        <sz val="9"/>
        <color rgb="FFFFFFFF"/>
        <rFont val="Noto Sans CJK SC"/>
        <family val="2"/>
      </rPr>
      <t xml:space="preserve">每股内在价值：</t>
    </r>
    <r>
      <rPr>
        <b val="true"/>
        <sz val="9"/>
        <color rgb="FFFFFFFF"/>
        <rFont val="Arial"/>
        <family val="0"/>
        <charset val="1"/>
      </rPr>
      <t xml:space="preserve">WACC</t>
    </r>
    <r>
      <rPr>
        <b val="true"/>
        <sz val="9"/>
        <color rgb="FFFFFFFF"/>
        <rFont val="Noto Sans CJK SC"/>
        <family val="2"/>
      </rPr>
      <t xml:space="preserve">（行）</t>
    </r>
    <r>
      <rPr>
        <b val="true"/>
        <sz val="9"/>
        <color rgb="FFFFFFFF"/>
        <rFont val="Arial"/>
        <family val="0"/>
        <charset val="1"/>
      </rPr>
      <t xml:space="preserve">× </t>
    </r>
    <r>
      <rPr>
        <b val="true"/>
        <sz val="9"/>
        <color rgb="FFFFFFFF"/>
        <rFont val="Noto Sans CJK SC"/>
        <family val="2"/>
      </rPr>
      <t xml:space="preserve">永续增长率 </t>
    </r>
    <r>
      <rPr>
        <b val="true"/>
        <sz val="9"/>
        <color rgb="FFFFFFFF"/>
        <rFont val="Arial"/>
        <family val="0"/>
        <charset val="1"/>
      </rPr>
      <t xml:space="preserve">g</t>
    </r>
    <r>
      <rPr>
        <b val="true"/>
        <sz val="9"/>
        <color rgb="FFFFFFFF"/>
        <rFont val="Noto Sans CJK SC"/>
        <family val="2"/>
      </rPr>
      <t xml:space="preserve">（列）</t>
    </r>
  </si>
  <si>
    <r>
      <rPr>
        <b val="true"/>
        <sz val="9"/>
        <color rgb="FFFFFFFF"/>
        <rFont val="Noto Sans CJK SC"/>
        <family val="2"/>
      </rPr>
      <t xml:space="preserve">敏感性表 </t>
    </r>
    <r>
      <rPr>
        <b val="true"/>
        <sz val="9"/>
        <color rgb="FFFFFFFF"/>
        <rFont val="Arial"/>
        <family val="0"/>
        <charset val="1"/>
      </rPr>
      <t xml:space="preserve">B · </t>
    </r>
    <r>
      <rPr>
        <b val="true"/>
        <sz val="9"/>
        <color rgb="FFFFFFFF"/>
        <rFont val="Noto Sans CJK SC"/>
        <family val="2"/>
      </rPr>
      <t xml:space="preserve">每股内在价值：</t>
    </r>
    <r>
      <rPr>
        <b val="true"/>
        <sz val="9"/>
        <color rgb="FFFFFFFF"/>
        <rFont val="Arial"/>
        <family val="0"/>
        <charset val="1"/>
      </rPr>
      <t xml:space="preserve">WACC</t>
    </r>
    <r>
      <rPr>
        <b val="true"/>
        <sz val="9"/>
        <color rgb="FFFFFFFF"/>
        <rFont val="Noto Sans CJK SC"/>
        <family val="2"/>
      </rPr>
      <t xml:space="preserve">（行）</t>
    </r>
    <r>
      <rPr>
        <b val="true"/>
        <sz val="9"/>
        <color rgb="FFFFFFFF"/>
        <rFont val="Arial"/>
        <family val="0"/>
        <charset val="1"/>
      </rPr>
      <t xml:space="preserve">× </t>
    </r>
    <r>
      <rPr>
        <b val="true"/>
        <sz val="9"/>
        <color rgb="FFFFFFFF"/>
        <rFont val="Noto Sans CJK SC"/>
        <family val="2"/>
      </rPr>
      <t xml:space="preserve">终局毛利率（列）</t>
    </r>
  </si>
  <si>
    <r>
      <rPr>
        <b val="true"/>
        <sz val="9"/>
        <color rgb="FF16305B"/>
        <rFont val="Arial"/>
        <family val="0"/>
        <charset val="1"/>
      </rPr>
      <t xml:space="preserve">WACC </t>
    </r>
    <r>
      <rPr>
        <b val="true"/>
        <sz val="9"/>
        <color rgb="FF16305B"/>
        <rFont val="Noto Sans CJK SC"/>
        <family val="2"/>
      </rPr>
      <t xml:space="preserve">＼ </t>
    </r>
    <r>
      <rPr>
        <b val="true"/>
        <sz val="9"/>
        <color rgb="FF16305B"/>
        <rFont val="Arial"/>
        <family val="0"/>
        <charset val="1"/>
      </rPr>
      <t xml:space="preserve">g</t>
    </r>
  </si>
  <si>
    <r>
      <rPr>
        <b val="true"/>
        <sz val="9"/>
        <color rgb="FF16305B"/>
        <rFont val="Arial"/>
        <family val="0"/>
        <charset val="1"/>
      </rPr>
      <t xml:space="preserve">WACC </t>
    </r>
    <r>
      <rPr>
        <b val="true"/>
        <sz val="9"/>
        <color rgb="FF16305B"/>
        <rFont val="Noto Sans CJK SC"/>
        <family val="2"/>
      </rPr>
      <t xml:space="preserve">＼ 终局毛利率</t>
    </r>
  </si>
  <si>
    <r>
      <rPr>
        <b val="true"/>
        <sz val="11"/>
        <color rgb="FFFFFFFF"/>
        <rFont val="Arial"/>
        <family val="0"/>
        <charset val="1"/>
      </rPr>
      <t xml:space="preserve">08  </t>
    </r>
    <r>
      <rPr>
        <b val="true"/>
        <sz val="11"/>
        <color rgb="FFFFFFFF"/>
        <rFont val="Noto Sans CJK SC"/>
        <family val="2"/>
      </rPr>
      <t xml:space="preserve">关键假设溯源：每一个数字是怎么来的、什么信号能推翻它</t>
    </r>
  </si>
  <si>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的价值不在于算出一个数，而在于把「你相信什么」拆成可以被单独检验的几条。下表把本情形最关键的五个假设逐条摊开：取值、历史锚点、外部佐证与推理、以及什么样的事实出现就说明这条假设错了。最后一列是可证伪信号——请把它当作跟踪清单用。</t>
    </r>
  </si>
  <si>
    <t xml:space="preserve">假设</t>
  </si>
  <si>
    <t xml:space="preserve">本情形取值</t>
  </si>
  <si>
    <t xml:space="preserve">历史锚点</t>
  </si>
  <si>
    <t xml:space="preserve">外部佐证与推理</t>
  </si>
  <si>
    <t xml:space="preserve">可证伪信号（跟踪清单）</t>
  </si>
  <si>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收入路径</t>
    </r>
  </si>
  <si>
    <r>
      <rPr>
        <b val="true"/>
        <sz val="9"/>
        <color rgb="FFC0392B"/>
        <rFont val="Arial"/>
        <family val="0"/>
        <charset val="1"/>
      </rPr>
      <t xml:space="preserve">$1,770 </t>
    </r>
    <r>
      <rPr>
        <b val="true"/>
        <sz val="9"/>
        <color rgb="FFC0392B"/>
        <rFont val="Noto Sans CJK SC"/>
        <family val="2"/>
      </rPr>
      <t xml:space="preserve">亿（</t>
    </r>
    <r>
      <rPr>
        <b val="true"/>
        <sz val="9"/>
        <color rgb="FFC0392B"/>
        <rFont val="Arial"/>
        <family val="0"/>
        <charset val="1"/>
      </rPr>
      <t xml:space="preserve">Q4 </t>
    </r>
    <r>
      <rPr>
        <b val="true"/>
        <sz val="9"/>
        <color rgb="FFC0392B"/>
        <rFont val="Noto Sans CJK SC"/>
        <family val="2"/>
      </rPr>
      <t xml:space="preserve">回落到 </t>
    </r>
    <r>
      <rPr>
        <b val="true"/>
        <sz val="9"/>
        <color rgb="FFC0392B"/>
        <rFont val="Arial"/>
        <family val="0"/>
        <charset val="1"/>
      </rPr>
      <t xml:space="preserve">$330 </t>
    </r>
    <r>
      <rPr>
        <b val="true"/>
        <sz val="9"/>
        <color rgb="FFC0392B"/>
        <rFont val="Noto Sans CJK SC"/>
        <family val="2"/>
      </rPr>
      <t xml:space="preserve">亿）</t>
    </r>
  </si>
  <si>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指引 </t>
    </r>
    <r>
      <rPr>
        <sz val="8"/>
        <color rgb="FF404040"/>
        <rFont val="Arial"/>
        <family val="0"/>
        <charset val="1"/>
      </rPr>
      <t xml:space="preserve">$500 </t>
    </r>
    <r>
      <rPr>
        <sz val="8"/>
        <color rgb="FF404040"/>
        <rFont val="Noto Sans CJK SC"/>
        <family val="2"/>
      </rPr>
      <t xml:space="preserve">亿；</t>
    </r>
    <r>
      <rPr>
        <sz val="8"/>
        <color rgb="FF404040"/>
        <rFont val="Arial"/>
        <family val="0"/>
        <charset val="1"/>
      </rPr>
      <t xml:space="preserve">FY26 Q3 </t>
    </r>
    <r>
      <rPr>
        <sz val="8"/>
        <color rgb="FF404040"/>
        <rFont val="Noto Sans CJK SC"/>
        <family val="2"/>
      </rPr>
      <t xml:space="preserve">实际 </t>
    </r>
    <r>
      <rPr>
        <sz val="8"/>
        <color rgb="FF404040"/>
        <rFont val="Arial"/>
        <family val="0"/>
        <charset val="1"/>
      </rPr>
      <t xml:space="preserve">$414.6 </t>
    </r>
    <r>
      <rPr>
        <sz val="8"/>
        <color rgb="FF404040"/>
        <rFont val="Noto Sans CJK SC"/>
        <family val="2"/>
      </rPr>
      <t xml:space="preserve">亿</t>
    </r>
  </si>
  <si>
    <r>
      <rPr>
        <sz val="8"/>
        <color rgb="FF303030"/>
        <rFont val="Arial"/>
        <family val="0"/>
        <charset val="1"/>
      </rPr>
      <t xml:space="preserve">TrendForce 2026-07</t>
    </r>
    <r>
      <rPr>
        <sz val="8"/>
        <color rgb="FF303030"/>
        <rFont val="Noto Sans CJK SC"/>
        <family val="2"/>
      </rPr>
      <t xml:space="preserve">：</t>
    </r>
    <r>
      <rPr>
        <sz val="8"/>
        <color rgb="FF303030"/>
        <rFont val="Arial"/>
        <family val="0"/>
        <charset val="1"/>
      </rPr>
      <t xml:space="preserve">NAND </t>
    </r>
    <r>
      <rPr>
        <sz val="8"/>
        <color rgb="FF303030"/>
        <rFont val="Noto Sans CJK SC"/>
        <family val="2"/>
      </rPr>
      <t xml:space="preserve">供给增长将在 </t>
    </r>
    <r>
      <rPr>
        <sz val="8"/>
        <color rgb="FF303030"/>
        <rFont val="Arial"/>
        <family val="0"/>
        <charset val="1"/>
      </rPr>
      <t xml:space="preserve">2027 </t>
    </r>
    <r>
      <rPr>
        <sz val="8"/>
        <color rgb="FF303030"/>
        <rFont val="Noto Sans CJK SC"/>
        <family val="2"/>
      </rPr>
      <t xml:space="preserve">年超过需求、</t>
    </r>
    <r>
      <rPr>
        <sz val="8"/>
        <color rgb="FF303030"/>
        <rFont val="Arial"/>
        <family val="0"/>
        <charset val="1"/>
      </rPr>
      <t xml:space="preserve">2H27 </t>
    </r>
    <r>
      <rPr>
        <sz val="8"/>
        <color rgb="FF303030"/>
        <rFont val="Noto Sans CJK SC"/>
        <family val="2"/>
      </rPr>
      <t xml:space="preserve">转松。本情形假设 </t>
    </r>
    <r>
      <rPr>
        <sz val="8"/>
        <color rgb="FF303030"/>
        <rFont val="Arial"/>
        <family val="0"/>
        <charset val="1"/>
      </rPr>
      <t xml:space="preserve">DRAM </t>
    </r>
    <r>
      <rPr>
        <sz val="8"/>
        <color rgb="FF303030"/>
        <rFont val="Noto Sans CJK SC"/>
        <family val="2"/>
      </rPr>
      <t xml:space="preserve">滞后 </t>
    </r>
    <r>
      <rPr>
        <sz val="8"/>
        <color rgb="FF303030"/>
        <rFont val="Arial"/>
        <family val="0"/>
        <charset val="1"/>
      </rPr>
      <t xml:space="preserve">NAND </t>
    </r>
    <r>
      <rPr>
        <sz val="8"/>
        <color rgb="FF303030"/>
        <rFont val="Noto Sans CJK SC"/>
        <family val="2"/>
      </rPr>
      <t xml:space="preserve">一到两个季度跟随转向。★ 关键论据：</t>
    </r>
    <r>
      <rPr>
        <sz val="8"/>
        <color rgb="FF303030"/>
        <rFont val="Arial"/>
        <family val="0"/>
        <charset val="1"/>
      </rPr>
      <t xml:space="preserve">SCA </t>
    </r>
    <r>
      <rPr>
        <sz val="8"/>
        <color rgb="FF303030"/>
        <rFont val="Noto Sans CJK SC"/>
        <family val="2"/>
      </rPr>
      <t xml:space="preserve">只覆盖约 </t>
    </r>
    <r>
      <rPr>
        <sz val="8"/>
        <color rgb="FF303030"/>
        <rFont val="Arial"/>
        <family val="0"/>
        <charset val="1"/>
      </rPr>
      <t xml:space="preserve">20% </t>
    </r>
    <r>
      <rPr>
        <sz val="8"/>
        <color rgb="FF303030"/>
        <rFont val="Noto Sans CJK SC"/>
        <family val="2"/>
      </rPr>
      <t xml:space="preserve">的 </t>
    </r>
    <r>
      <rPr>
        <sz val="8"/>
        <color rgb="FF303030"/>
        <rFont val="Arial"/>
        <family val="0"/>
        <charset val="1"/>
      </rPr>
      <t xml:space="preserve">DRAM </t>
    </r>
    <r>
      <rPr>
        <sz val="8"/>
        <color rgb="FF303030"/>
        <rFont val="Noto Sans CJK SC"/>
        <family val="2"/>
      </rPr>
      <t xml:space="preserve">量，剩下 </t>
    </r>
    <r>
      <rPr>
        <sz val="8"/>
        <color rgb="FF303030"/>
        <rFont val="Arial"/>
        <family val="0"/>
        <charset val="1"/>
      </rPr>
      <t xml:space="preserve">80% </t>
    </r>
    <r>
      <rPr>
        <sz val="8"/>
        <color rgb="FF303030"/>
        <rFont val="Noto Sans CJK SC"/>
        <family val="2"/>
      </rPr>
      <t xml:space="preserve">在合约价重定价时没有保护。</t>
    </r>
  </si>
  <si>
    <r>
      <rPr>
        <sz val="8"/>
        <color rgb="FFB3202C"/>
        <rFont val="Arial"/>
        <family val="0"/>
        <charset val="1"/>
      </rPr>
      <t xml:space="preserve">TrendForce </t>
    </r>
    <r>
      <rPr>
        <sz val="8"/>
        <color rgb="FFB3202C"/>
        <rFont val="Noto Sans CJK SC"/>
        <family val="2"/>
      </rPr>
      <t xml:space="preserve">首次公布 </t>
    </r>
    <r>
      <rPr>
        <sz val="8"/>
        <color rgb="FFB3202C"/>
        <rFont val="Arial"/>
        <family val="0"/>
        <charset val="1"/>
      </rPr>
      <t xml:space="preserve">DRAM </t>
    </r>
    <r>
      <rPr>
        <sz val="8"/>
        <color rgb="FFB3202C"/>
        <rFont val="Noto Sans CJK SC"/>
        <family val="2"/>
      </rPr>
      <t xml:space="preserve">合约价环比持平或转负；</t>
    </r>
    <r>
      <rPr>
        <sz val="8"/>
        <color rgb="FFB3202C"/>
        <rFont val="Arial"/>
        <family val="0"/>
        <charset val="1"/>
      </rPr>
      <t xml:space="preserve">HBM4 </t>
    </r>
    <r>
      <rPr>
        <sz val="8"/>
        <color rgb="FFB3202C"/>
        <rFont val="Noto Sans CJK SC"/>
        <family val="2"/>
      </rPr>
      <t xml:space="preserve">出现客户砍单或推迟</t>
    </r>
  </si>
  <si>
    <r>
      <rPr>
        <b val="true"/>
        <sz val="9"/>
        <color rgb="FF16305B"/>
        <rFont val="Noto Sans CJK SC"/>
        <family val="2"/>
      </rPr>
      <t xml:space="preserve">终局毛利率 </t>
    </r>
    <r>
      <rPr>
        <b val="true"/>
        <sz val="9"/>
        <color rgb="FF16305B"/>
        <rFont val="Arial"/>
        <family val="0"/>
        <charset val="1"/>
      </rPr>
      <t xml:space="preserve">43%</t>
    </r>
  </si>
  <si>
    <t xml:space="preserve">FY32 = 43%</t>
  </si>
  <si>
    <r>
      <rPr>
        <sz val="8"/>
        <color rgb="FF404040"/>
        <rFont val="Arial"/>
        <family val="0"/>
        <charset val="1"/>
      </rPr>
      <t xml:space="preserve">FY2025 </t>
    </r>
    <r>
      <rPr>
        <sz val="8"/>
        <color rgb="FF404040"/>
        <rFont val="Noto Sans CJK SC"/>
        <family val="2"/>
      </rPr>
      <t xml:space="preserve">全年实际 </t>
    </r>
    <r>
      <rPr>
        <sz val="8"/>
        <color rgb="FF404040"/>
        <rFont val="Arial"/>
        <family val="0"/>
        <charset val="1"/>
      </rPr>
      <t xml:space="preserve">40.2%</t>
    </r>
    <r>
      <rPr>
        <sz val="8"/>
        <color rgb="FF404040"/>
        <rFont val="Noto Sans CJK SC"/>
        <family val="2"/>
      </rPr>
      <t xml:space="preserve">（</t>
    </r>
    <r>
      <rPr>
        <sz val="8"/>
        <color rgb="FF404040"/>
        <rFont val="Arial"/>
        <family val="0"/>
        <charset val="1"/>
      </rPr>
      <t xml:space="preserve">GAAP</t>
    </r>
    <r>
      <rPr>
        <sz val="8"/>
        <color rgb="FF404040"/>
        <rFont val="Noto Sans CJK SC"/>
        <family val="2"/>
      </rPr>
      <t xml:space="preserve">）；</t>
    </r>
    <r>
      <rPr>
        <sz val="8"/>
        <color rgb="FF404040"/>
        <rFont val="Arial"/>
        <family val="0"/>
        <charset val="1"/>
      </rPr>
      <t xml:space="preserve">FY2023 </t>
    </r>
    <r>
      <rPr>
        <sz val="8"/>
        <color rgb="FF404040"/>
        <rFont val="Noto Sans CJK SC"/>
        <family val="2"/>
      </rPr>
      <t xml:space="preserve">为负</t>
    </r>
  </si>
  <si>
    <r>
      <rPr>
        <sz val="8"/>
        <color rgb="FF303030"/>
        <rFont val="Noto Sans CJK SC"/>
        <family val="2"/>
      </rPr>
      <t xml:space="preserve">存储周期结束后回到「比历史好、但远低于峰值」的中枢。理由是产品结构已永久性向数据中心倾斜——</t>
    </r>
    <r>
      <rPr>
        <sz val="8"/>
        <color rgb="FF303030"/>
        <rFont val="Arial"/>
        <family val="0"/>
        <charset val="1"/>
      </rPr>
      <t xml:space="preserve">FY26 Q3 </t>
    </r>
    <r>
      <rPr>
        <sz val="8"/>
        <color rgb="FF303030"/>
        <rFont val="Noto Sans CJK SC"/>
        <family val="2"/>
      </rPr>
      <t xml:space="preserve">数据中心收入超 </t>
    </r>
    <r>
      <rPr>
        <sz val="8"/>
        <color rgb="FF303030"/>
        <rFont val="Arial"/>
        <family val="0"/>
        <charset val="1"/>
      </rPr>
      <t xml:space="preserve">$250 </t>
    </r>
    <r>
      <rPr>
        <sz val="8"/>
        <color rgb="FF303030"/>
        <rFont val="Noto Sans CJK SC"/>
        <family val="2"/>
      </rPr>
      <t xml:space="preserve">亿、年化超 </t>
    </r>
    <r>
      <rPr>
        <sz val="8"/>
        <color rgb="FF303030"/>
        <rFont val="Arial"/>
        <family val="0"/>
        <charset val="1"/>
      </rPr>
      <t xml:space="preserve">$1,000 </t>
    </r>
    <r>
      <rPr>
        <sz val="8"/>
        <color rgb="FF303030"/>
        <rFont val="Noto Sans CJK SC"/>
        <family val="2"/>
      </rPr>
      <t xml:space="preserve">亿。</t>
    </r>
  </si>
  <si>
    <r>
      <rPr>
        <sz val="8"/>
        <color rgb="FFB3202C"/>
        <rFont val="Noto Sans CJK SC"/>
        <family val="2"/>
      </rPr>
      <t xml:space="preserve">连续两季毛利率环比下滑超 </t>
    </r>
    <r>
      <rPr>
        <sz val="8"/>
        <color rgb="FFB3202C"/>
        <rFont val="Arial"/>
        <family val="0"/>
        <charset val="1"/>
      </rPr>
      <t xml:space="preserve">10pp</t>
    </r>
    <r>
      <rPr>
        <sz val="8"/>
        <color rgb="FFB3202C"/>
        <rFont val="Noto Sans CJK SC"/>
        <family val="2"/>
      </rPr>
      <t xml:space="preserve">；移动与客户端业务毛利率先行走弱</t>
    </r>
  </si>
  <si>
    <r>
      <rPr>
        <b val="true"/>
        <sz val="9"/>
        <color rgb="FF16305B"/>
        <rFont val="Noto Sans CJK SC"/>
        <family val="2"/>
      </rPr>
      <t xml:space="preserve">资本开支率 </t>
    </r>
    <r>
      <rPr>
        <b val="true"/>
        <sz val="9"/>
        <color rgb="FF16305B"/>
        <rFont val="Arial"/>
        <family val="0"/>
        <charset val="1"/>
      </rPr>
      <t xml:space="preserve">23%</t>
    </r>
  </si>
  <si>
    <r>
      <rPr>
        <b val="true"/>
        <sz val="9"/>
        <color rgb="FFC0392B"/>
        <rFont val="Noto Sans CJK SC"/>
        <family val="2"/>
      </rPr>
      <t xml:space="preserve">占收入 </t>
    </r>
    <r>
      <rPr>
        <b val="true"/>
        <sz val="9"/>
        <color rgb="FFC0392B"/>
        <rFont val="Arial"/>
        <family val="0"/>
        <charset val="1"/>
      </rPr>
      <t xml:space="preserve">23%</t>
    </r>
  </si>
  <si>
    <r>
      <rPr>
        <sz val="8"/>
        <color rgb="FF404040"/>
        <rFont val="Arial"/>
        <family val="0"/>
        <charset val="1"/>
      </rPr>
      <t xml:space="preserve">FY25 </t>
    </r>
    <r>
      <rPr>
        <sz val="8"/>
        <color rgb="FF404040"/>
        <rFont val="Noto Sans CJK SC"/>
        <family val="2"/>
      </rPr>
      <t xml:space="preserve">为 </t>
    </r>
    <r>
      <rPr>
        <sz val="8"/>
        <color rgb="FF404040"/>
        <rFont val="Arial"/>
        <family val="0"/>
        <charset val="1"/>
      </rPr>
      <t xml:space="preserve">36.9%</t>
    </r>
    <r>
      <rPr>
        <sz val="8"/>
        <color rgb="FF404040"/>
        <rFont val="Noto Sans CJK SC"/>
        <family val="2"/>
      </rPr>
      <t xml:space="preserve">；</t>
    </r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约 </t>
    </r>
    <r>
      <rPr>
        <sz val="8"/>
        <color rgb="FF404040"/>
        <rFont val="Arial"/>
        <family val="0"/>
        <charset val="1"/>
      </rPr>
      <t xml:space="preserve">20.9%</t>
    </r>
  </si>
  <si>
    <r>
      <rPr>
        <sz val="8"/>
        <color rgb="FF303030"/>
        <rFont val="Noto Sans CJK SC"/>
        <family val="2"/>
      </rPr>
      <t xml:space="preserve">★★ 这是 </t>
    </r>
    <r>
      <rPr>
        <sz val="8"/>
        <color rgb="FF303030"/>
        <rFont val="Arial"/>
        <family val="0"/>
        <charset val="1"/>
      </rPr>
      <t xml:space="preserve">MU </t>
    </r>
    <r>
      <rPr>
        <sz val="8"/>
        <color rgb="FF303030"/>
        <rFont val="Noto Sans CJK SC"/>
        <family val="2"/>
      </rPr>
      <t xml:space="preserve">与 </t>
    </r>
    <r>
      <rPr>
        <sz val="8"/>
        <color rgb="FF303030"/>
        <rFont val="Arial"/>
        <family val="0"/>
        <charset val="1"/>
      </rPr>
      <t xml:space="preserve">SNDK </t>
    </r>
    <r>
      <rPr>
        <sz val="8"/>
        <color rgb="FF303030"/>
        <rFont val="Noto Sans CJK SC"/>
        <family val="2"/>
      </rPr>
      <t xml:space="preserve">最根本的差异。收入腰斩时资本开支不会同步腰斩——建设中的厂房与已下单的设备是刚性的。分母缩小会让这个比例被动飙升，这正是存储自建厂商在下行周期现金流崩塌的机制。</t>
    </r>
  </si>
  <si>
    <r>
      <rPr>
        <sz val="8"/>
        <color rgb="FFB3202C"/>
        <rFont val="Noto Sans CJK SC"/>
        <family val="2"/>
      </rPr>
      <t xml:space="preserve">公司宣布削减 </t>
    </r>
    <r>
      <rPr>
        <sz val="8"/>
        <color rgb="FFB3202C"/>
        <rFont val="Arial"/>
        <family val="0"/>
        <charset val="1"/>
      </rPr>
      <t xml:space="preserve">FY27 </t>
    </r>
    <r>
      <rPr>
        <sz val="8"/>
        <color rgb="FFB3202C"/>
        <rFont val="Noto Sans CJK SC"/>
        <family val="2"/>
      </rPr>
      <t xml:space="preserve">资本开支计划或推迟建厂节奏</t>
    </r>
  </si>
  <si>
    <r>
      <rPr>
        <b val="true"/>
        <sz val="9"/>
        <color rgb="FF16305B"/>
        <rFont val="Noto Sans CJK SC"/>
        <family val="2"/>
      </rPr>
      <t xml:space="preserve">折旧摊销率 </t>
    </r>
    <r>
      <rPr>
        <b val="true"/>
        <sz val="9"/>
        <color rgb="FF16305B"/>
        <rFont val="Arial"/>
        <family val="0"/>
        <charset val="1"/>
      </rPr>
      <t xml:space="preserve">10.5%</t>
    </r>
  </si>
  <si>
    <r>
      <rPr>
        <b val="true"/>
        <sz val="9"/>
        <color rgb="FFC0392B"/>
        <rFont val="Noto Sans CJK SC"/>
        <family val="2"/>
      </rPr>
      <t xml:space="preserve">占收入 </t>
    </r>
    <r>
      <rPr>
        <b val="true"/>
        <sz val="9"/>
        <color rgb="FFC0392B"/>
        <rFont val="Arial"/>
        <family val="0"/>
        <charset val="1"/>
      </rPr>
      <t xml:space="preserve">10.5%</t>
    </r>
  </si>
  <si>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约 </t>
    </r>
    <r>
      <rPr>
        <sz val="8"/>
        <color rgb="FF404040"/>
        <rFont val="Arial"/>
        <family val="0"/>
        <charset val="1"/>
      </rPr>
      <t xml:space="preserve">7.3%</t>
    </r>
    <r>
      <rPr>
        <sz val="8"/>
        <color rgb="FF404040"/>
        <rFont val="Noto Sans CJK SC"/>
        <family val="2"/>
      </rPr>
      <t xml:space="preserve">；</t>
    </r>
    <r>
      <rPr>
        <sz val="8"/>
        <color rgb="FF404040"/>
        <rFont val="Arial"/>
        <family val="0"/>
        <charset val="1"/>
      </rPr>
      <t xml:space="preserve">FY25 </t>
    </r>
    <r>
      <rPr>
        <sz val="8"/>
        <color rgb="FF404040"/>
        <rFont val="Noto Sans CJK SC"/>
        <family val="2"/>
      </rPr>
      <t xml:space="preserve">为 </t>
    </r>
    <r>
      <rPr>
        <sz val="8"/>
        <color rgb="FF404040"/>
        <rFont val="Arial"/>
        <family val="0"/>
        <charset val="1"/>
      </rPr>
      <t xml:space="preserve">22.2%</t>
    </r>
  </si>
  <si>
    <r>
      <rPr>
        <sz val="8"/>
        <color rgb="FF303030"/>
        <rFont val="Noto Sans CJK SC"/>
        <family val="2"/>
      </rPr>
      <t xml:space="preserve">折旧跟随资产基数而非收入。</t>
    </r>
    <r>
      <rPr>
        <sz val="8"/>
        <color rgb="FF303030"/>
        <rFont val="Arial"/>
        <family val="0"/>
        <charset val="1"/>
      </rPr>
      <t xml:space="preserve">FY26–27 </t>
    </r>
    <r>
      <rPr>
        <sz val="8"/>
        <color rgb="FF303030"/>
        <rFont val="Noto Sans CJK SC"/>
        <family val="2"/>
      </rPr>
      <t xml:space="preserve">的巨额资本开支会在 </t>
    </r>
    <r>
      <rPr>
        <sz val="8"/>
        <color rgb="FF303030"/>
        <rFont val="Arial"/>
        <family val="0"/>
        <charset val="1"/>
      </rPr>
      <t xml:space="preserve">FY28 </t>
    </r>
    <r>
      <rPr>
        <sz val="8"/>
        <color rgb="FF303030"/>
        <rFont val="Noto Sans CJK SC"/>
        <family val="2"/>
      </rPr>
      <t xml:space="preserve">之后转化为折旧，而那时收入正在下滑——双重挤压。</t>
    </r>
  </si>
  <si>
    <t xml:space="preserve">固定资产净额增速与折旧增速出现背离</t>
  </si>
  <si>
    <t xml:space="preserve">WACC 13.0%</t>
  </si>
  <si>
    <r>
      <rPr>
        <b val="true"/>
        <sz val="9"/>
        <color rgb="FFC0392B"/>
        <rFont val="Noto Sans CJK SC"/>
        <family val="2"/>
      </rPr>
      <t xml:space="preserve">隐含 </t>
    </r>
    <r>
      <rPr>
        <b val="true"/>
        <sz val="9"/>
        <color rgb="FFC0392B"/>
        <rFont val="Arial"/>
        <family val="0"/>
        <charset val="1"/>
      </rPr>
      <t xml:space="preserve">β ≈ 1.76</t>
    </r>
  </si>
  <si>
    <r>
      <rPr>
        <sz val="8"/>
        <color rgb="FF404040"/>
        <rFont val="Noto Sans CJK SC"/>
        <family val="2"/>
      </rPr>
      <t xml:space="preserve">无风险利率 </t>
    </r>
    <r>
      <rPr>
        <sz val="8"/>
        <color rgb="FF404040"/>
        <rFont val="Arial"/>
        <family val="0"/>
        <charset val="1"/>
      </rPr>
      <t xml:space="preserve">4.2% + ERP 5.0%</t>
    </r>
  </si>
  <si>
    <r>
      <rPr>
        <sz val="8"/>
        <color rgb="FF303030"/>
        <rFont val="Noto Sans CJK SC"/>
        <family val="2"/>
      </rPr>
      <t xml:space="preserve">周期底部的存储股 </t>
    </r>
    <r>
      <rPr>
        <sz val="8"/>
        <color rgb="FF303030"/>
        <rFont val="Arial"/>
        <family val="0"/>
        <charset val="1"/>
      </rPr>
      <t xml:space="preserve">β </t>
    </r>
    <r>
      <rPr>
        <sz val="8"/>
        <color rgb="FF303030"/>
        <rFont val="Noto Sans CJK SC"/>
        <family val="2"/>
      </rPr>
      <t xml:space="preserve">通常在 </t>
    </r>
    <r>
      <rPr>
        <sz val="8"/>
        <color rgb="FF303030"/>
        <rFont val="Arial"/>
        <family val="0"/>
        <charset val="1"/>
      </rPr>
      <t xml:space="preserve">1.6–2.0</t>
    </r>
    <r>
      <rPr>
        <sz val="8"/>
        <color rgb="FF303030"/>
        <rFont val="Noto Sans CJK SC"/>
        <family val="2"/>
      </rPr>
      <t xml:space="preserve">。</t>
    </r>
    <r>
      <rPr>
        <sz val="8"/>
        <color rgb="FF303030"/>
        <rFont val="Arial"/>
        <family val="0"/>
        <charset val="1"/>
      </rPr>
      <t xml:space="preserve">MU 52 </t>
    </r>
    <r>
      <rPr>
        <sz val="8"/>
        <color rgb="FF303030"/>
        <rFont val="Noto Sans CJK SC"/>
        <family val="2"/>
      </rPr>
      <t xml:space="preserve">周振幅 </t>
    </r>
    <r>
      <rPr>
        <sz val="8"/>
        <color rgb="FF303030"/>
        <rFont val="Arial"/>
        <family val="0"/>
        <charset val="1"/>
      </rPr>
      <t xml:space="preserve">$114.25–$1,255.00</t>
    </r>
    <r>
      <rPr>
        <sz val="8"/>
        <color rgb="FF303030"/>
        <rFont val="Noto Sans CJK SC"/>
        <family val="2"/>
      </rPr>
      <t xml:space="preserve">，波动率极高。</t>
    </r>
  </si>
  <si>
    <r>
      <rPr>
        <sz val="8"/>
        <color rgb="FFB3202C"/>
        <rFont val="Noto Sans CJK SC"/>
        <family val="2"/>
      </rPr>
      <t xml:space="preserve">波动率显著收敛；或 </t>
    </r>
    <r>
      <rPr>
        <sz val="8"/>
        <color rgb="FFB3202C"/>
        <rFont val="Arial"/>
        <family val="0"/>
        <charset val="1"/>
      </rPr>
      <t xml:space="preserve">SCA </t>
    </r>
    <r>
      <rPr>
        <sz val="8"/>
        <color rgb="FFB3202C"/>
        <rFont val="Noto Sans CJK SC"/>
        <family val="2"/>
      </rPr>
      <t xml:space="preserve">收入占比提升到管理层目标的 </t>
    </r>
    <r>
      <rPr>
        <sz val="8"/>
        <color rgb="FFB3202C"/>
        <rFont val="Arial"/>
        <family val="0"/>
        <charset val="1"/>
      </rPr>
      <t xml:space="preserve">50% </t>
    </r>
    <r>
      <rPr>
        <sz val="8"/>
        <color rgb="FFB3202C"/>
        <rFont val="Noto Sans CJK SC"/>
        <family val="2"/>
      </rPr>
      <t xml:space="preserve">以上</t>
    </r>
  </si>
  <si>
    <r>
      <rPr>
        <sz val="9"/>
        <color rgb="FF3D3D3D"/>
        <rFont val="Noto Sans CJK SC"/>
        <family val="2"/>
      </rPr>
      <t xml:space="preserve">关于股票回购：公司剩余回购授权 </t>
    </r>
    <r>
      <rPr>
        <sz val="9"/>
        <color rgb="FF3D3D3D"/>
        <rFont val="Arial"/>
        <family val="0"/>
        <charset val="1"/>
      </rPr>
      <t xml:space="preserve">$15.5B</t>
    </r>
    <r>
      <rPr>
        <sz val="9"/>
        <color rgb="FF3D3D3D"/>
        <rFont val="Noto Sans CJK SC"/>
        <family val="2"/>
      </rPr>
      <t xml:space="preserve">，</t>
    </r>
    <r>
      <rPr>
        <sz val="9"/>
        <color rgb="FF3D3D3D"/>
        <rFont val="Arial"/>
        <family val="0"/>
        <charset val="1"/>
      </rPr>
      <t xml:space="preserve">FY26 Q4 </t>
    </r>
    <r>
      <rPr>
        <sz val="9"/>
        <color rgb="FF3D3D3D"/>
        <rFont val="Noto Sans CJK SC"/>
        <family val="2"/>
      </rPr>
      <t xml:space="preserve">已回购 </t>
    </r>
    <r>
      <rPr>
        <sz val="9"/>
        <color rgb="FF3D3D3D"/>
        <rFont val="Arial"/>
        <family val="0"/>
        <charset val="1"/>
      </rPr>
      <t xml:space="preserve">$4,524M</t>
    </r>
    <r>
      <rPr>
        <sz val="9"/>
        <color rgb="FF3D3D3D"/>
        <rFont val="Noto Sans CJK SC"/>
        <family val="2"/>
      </rPr>
      <t xml:space="preserve">，并承诺「投资业务后 </t>
    </r>
    <r>
      <rPr>
        <sz val="9"/>
        <color rgb="FF3D3D3D"/>
        <rFont val="Arial"/>
        <family val="0"/>
        <charset val="1"/>
      </rPr>
      <t xml:space="preserve">100% </t>
    </r>
    <r>
      <rPr>
        <sz val="9"/>
        <color rgb="FF3D3D3D"/>
        <rFont val="Noto Sans CJK SC"/>
        <family val="2"/>
      </rPr>
      <t xml:space="preserve">的剩余现金回馈股东」。本模型刻意不把回购建进每股价值——因为按公允价值回购既不创造也不毁灭每股内在价值，只有当回购价格低于内在价值时才增厚。把回购当作估值加分项，是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里常见的重复计算。回购的真实意义在于：它降低了「现金被低效再投资」的风险，这一点已经体现在较低的 </t>
    </r>
    <r>
      <rPr>
        <sz val="9"/>
        <color rgb="FF3D3D3D"/>
        <rFont val="Arial"/>
        <family val="0"/>
        <charset val="1"/>
      </rPr>
      <t xml:space="preserve">WACC </t>
    </r>
    <r>
      <rPr>
        <sz val="9"/>
        <color rgb="FF3D3D3D"/>
        <rFont val="Noto Sans CJK SC"/>
        <family val="2"/>
      </rPr>
      <t xml:space="preserve">里。</t>
    </r>
  </si>
  <si>
    <r>
      <rPr>
        <sz val="9"/>
        <color rgb="FF3D3D3D"/>
        <rFont val="Noto Sans CJK SC"/>
        <family val="2"/>
      </rPr>
      <t xml:space="preserve">敏感性表的近似说明：为了让每一格都能独立重算，表内对「预测期现值合计」做了一次折现率换算（把按控制台 </t>
    </r>
    <r>
      <rPr>
        <sz val="9"/>
        <color rgb="FF3D3D3D"/>
        <rFont val="Arial"/>
        <family val="0"/>
        <charset val="1"/>
      </rPr>
      <t xml:space="preserve">WACC </t>
    </r>
    <r>
      <rPr>
        <sz val="9"/>
        <color rgb="FF3D3D3D"/>
        <rFont val="Noto Sans CJK SC"/>
        <family val="2"/>
      </rPr>
      <t xml:space="preserve">折现的结果按新 </t>
    </r>
    <r>
      <rPr>
        <sz val="9"/>
        <color rgb="FF3D3D3D"/>
        <rFont val="Arial"/>
        <family val="0"/>
        <charset val="1"/>
      </rPr>
      <t xml:space="preserve">WACC </t>
    </r>
    <r>
      <rPr>
        <sz val="9"/>
        <color rgb="FF3D3D3D"/>
        <rFont val="Noto Sans CJK SC"/>
        <family val="2"/>
      </rPr>
      <t xml:space="preserve">重新折现，等价于对整段现金流用久期约 </t>
    </r>
    <r>
      <rPr>
        <sz val="9"/>
        <color rgb="FF3D3D3D"/>
        <rFont val="Arial"/>
        <family val="0"/>
        <charset val="1"/>
      </rPr>
      <t xml:space="preserve">3.5 </t>
    </r>
    <r>
      <rPr>
        <sz val="9"/>
        <color rgb="FF3D3D3D"/>
        <rFont val="Noto Sans CJK SC"/>
        <family val="2"/>
      </rPr>
      <t xml:space="preserve">年做近似），终值部分则是完整重算的。中心格（加粗）与上方第 ⑪ 行的精确结果会有 </t>
    </r>
    <r>
      <rPr>
        <sz val="9"/>
        <color rgb="FF3D3D3D"/>
        <rFont val="Arial"/>
        <family val="0"/>
        <charset val="1"/>
      </rPr>
      <t xml:space="preserve">1%–3% </t>
    </r>
    <r>
      <rPr>
        <sz val="9"/>
        <color rgb="FF3D3D3D"/>
        <rFont val="Noto Sans CJK SC"/>
        <family val="2"/>
      </rPr>
      <t xml:space="preserve">的差异，属于近似造成的，不影响结论方向。</t>
    </r>
  </si>
  <si>
    <r>
      <rPr>
        <b val="true"/>
        <sz val="11"/>
        <color rgb="FFFFFFFF"/>
        <rFont val="Arial"/>
        <family val="0"/>
        <charset val="1"/>
      </rPr>
      <t xml:space="preserve">09  </t>
    </r>
    <r>
      <rPr>
        <b val="true"/>
        <sz val="11"/>
        <color rgb="FFFFFFFF"/>
        <rFont val="Noto Sans CJK SC"/>
        <family val="2"/>
      </rPr>
      <t xml:space="preserve">参数控制台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Noto Sans CJK SC"/>
        <family val="2"/>
      </rPr>
      <t xml:space="preserve">拖动滑标，上方全表与下方全部图表实时重算（悲观情形）</t>
    </r>
  </si>
  <si>
    <r>
      <rPr>
        <sz val="9"/>
        <color rgb="FF3D3D3D"/>
        <rFont val="Noto Sans CJK SC"/>
        <family val="2"/>
      </rPr>
      <t xml:space="preserve">怎么用：按住中间那条灰色滚动条左右拖动，或点两端箭头微调（每次一格）。左边黄色格是换算后的当前值，右边蓝色格是滑标的原始整数——也可以直接在蓝色格里键入数字。若你的 </t>
    </r>
    <r>
      <rPr>
        <sz val="9"/>
        <color rgb="FF3D3D3D"/>
        <rFont val="Arial"/>
        <family val="0"/>
        <charset val="1"/>
      </rPr>
      <t xml:space="preserve">Excel </t>
    </r>
    <r>
      <rPr>
        <sz val="9"/>
        <color rgb="FF3D3D3D"/>
        <rFont val="Noto Sans CJK SC"/>
        <family val="2"/>
      </rPr>
      <t xml:space="preserve">不显示滑标（网页版或部分移动端），直接改蓝色格即可，效果完全一样。三张情形表的滑标区间已按各自的论点分别设定。</t>
    </r>
  </si>
  <si>
    <r>
      <rPr>
        <b val="true"/>
        <sz val="9"/>
        <color rgb="FF16305B"/>
        <rFont val="Arial"/>
        <family val="0"/>
        <charset val="1"/>
      </rPr>
      <t xml:space="preserve">FY27 Q1 </t>
    </r>
    <r>
      <rPr>
        <b val="true"/>
        <sz val="9"/>
        <color rgb="FF16305B"/>
        <rFont val="Noto Sans CJK SC"/>
        <family val="2"/>
      </rPr>
      <t xml:space="preserve">收入（</t>
    </r>
    <r>
      <rPr>
        <b val="true"/>
        <sz val="9"/>
        <color rgb="FF16305B"/>
        <rFont val="Arial"/>
        <family val="0"/>
        <charset val="1"/>
      </rPr>
      <t xml:space="preserve">$M</t>
    </r>
    <r>
      <rPr>
        <b val="true"/>
        <sz val="9"/>
        <color rgb="FF16305B"/>
        <rFont val="Noto Sans CJK SC"/>
        <family val="2"/>
      </rPr>
      <t xml:space="preserve">）</t>
    </r>
  </si>
  <si>
    <t xml:space="preserve">$20,000 – $90,000</t>
  </si>
  <si>
    <r>
      <rPr>
        <sz val="8"/>
        <color rgb="FF4A4A4A"/>
        <rFont val="Arial"/>
        <family val="0"/>
        <charset val="1"/>
      </rPr>
      <t xml:space="preserve">FY26 Q4 </t>
    </r>
    <r>
      <rPr>
        <sz val="8"/>
        <color rgb="FF4A4A4A"/>
        <rFont val="Noto Sans CJK SC"/>
        <family val="2"/>
      </rPr>
      <t xml:space="preserve">官方指引为 </t>
    </r>
    <r>
      <rPr>
        <sz val="8"/>
        <color rgb="FF4A4A4A"/>
        <rFont val="Arial"/>
        <family val="0"/>
        <charset val="1"/>
      </rPr>
      <t xml:space="preserve">$50,000M ± $1,000M</t>
    </r>
    <r>
      <rPr>
        <sz val="8"/>
        <color rgb="FF4A4A4A"/>
        <rFont val="Noto Sans CJK SC"/>
        <family val="2"/>
      </rPr>
      <t xml:space="preserve">（毛利率约 </t>
    </r>
    <r>
      <rPr>
        <sz val="8"/>
        <color rgb="FF4A4A4A"/>
        <rFont val="Arial"/>
        <family val="0"/>
        <charset val="1"/>
      </rPr>
      <t xml:space="preserve">86%</t>
    </r>
    <r>
      <rPr>
        <sz val="8"/>
        <color rgb="FF4A4A4A"/>
        <rFont val="Noto Sans CJK SC"/>
        <family val="2"/>
      </rPr>
      <t xml:space="preserve">）。本格是整条预测链的起点，每格 </t>
    </r>
    <r>
      <rPr>
        <sz val="8"/>
        <color rgb="FF4A4A4A"/>
        <rFont val="Arial"/>
        <family val="0"/>
        <charset val="1"/>
      </rPr>
      <t xml:space="preserve">$500M</t>
    </r>
    <r>
      <rPr>
        <sz val="8"/>
        <color rgb="FF4A4A4A"/>
        <rFont val="Noto Sans CJK SC"/>
        <family val="2"/>
      </rPr>
      <t xml:space="preserve">。</t>
    </r>
  </si>
  <si>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季度环比增速 </t>
    </r>
    <r>
      <rPr>
        <b val="true"/>
        <sz val="9"/>
        <color rgb="FF16305B"/>
        <rFont val="Arial"/>
        <family val="0"/>
        <charset val="1"/>
      </rPr>
      <t xml:space="preserve">· </t>
    </r>
    <r>
      <rPr>
        <b val="true"/>
        <sz val="9"/>
        <color rgb="FF16305B"/>
        <rFont val="Noto Sans CJK SC"/>
        <family val="2"/>
      </rPr>
      <t xml:space="preserve">平移</t>
    </r>
  </si>
  <si>
    <t xml:space="preserve">−10.0 ~ +10.0pp</t>
  </si>
  <si>
    <r>
      <rPr>
        <sz val="8"/>
        <color rgb="FF4A4A4A"/>
        <rFont val="Noto Sans CJK SC"/>
        <family val="2"/>
      </rPr>
      <t xml:space="preserve">同时作用于 </t>
    </r>
    <r>
      <rPr>
        <sz val="8"/>
        <color rgb="FF4A4A4A"/>
        <rFont val="Arial"/>
        <family val="0"/>
        <charset val="1"/>
      </rPr>
      <t xml:space="preserve">Q2/Q3/Q4 </t>
    </r>
    <r>
      <rPr>
        <sz val="8"/>
        <color rgb="FF4A4A4A"/>
        <rFont val="Noto Sans CJK SC"/>
        <family val="2"/>
      </rPr>
      <t xml:space="preserve">三个季度。往负拉 </t>
    </r>
    <r>
      <rPr>
        <sz val="8"/>
        <color rgb="FF4A4A4A"/>
        <rFont val="Arial"/>
        <family val="0"/>
        <charset val="1"/>
      </rPr>
      <t xml:space="preserve">= </t>
    </r>
    <r>
      <rPr>
        <sz val="8"/>
        <color rgb="FF4A4A4A"/>
        <rFont val="Noto Sans CJK SC"/>
        <family val="2"/>
      </rPr>
      <t xml:space="preserve">周期更早见顶。</t>
    </r>
    <r>
      <rPr>
        <sz val="8"/>
        <color rgb="FF4A4A4A"/>
        <rFont val="Arial"/>
        <family val="0"/>
        <charset val="1"/>
      </rPr>
      <t xml:space="preserve">MU </t>
    </r>
    <r>
      <rPr>
        <sz val="8"/>
        <color rgb="FF4A4A4A"/>
        <rFont val="Noto Sans CJK SC"/>
        <family val="2"/>
      </rPr>
      <t xml:space="preserve">的 </t>
    </r>
    <r>
      <rPr>
        <sz val="8"/>
        <color rgb="FF4A4A4A"/>
        <rFont val="Arial"/>
        <family val="0"/>
        <charset val="1"/>
      </rPr>
      <t xml:space="preserve">FY27 </t>
    </r>
    <r>
      <rPr>
        <sz val="8"/>
        <color rgb="FF4A4A4A"/>
        <rFont val="Noto Sans CJK SC"/>
        <family val="2"/>
      </rPr>
      <t xml:space="preserve">从 </t>
    </r>
    <r>
      <rPr>
        <sz val="8"/>
        <color rgb="FF4A4A4A"/>
        <rFont val="Arial"/>
        <family val="0"/>
        <charset val="1"/>
      </rPr>
      <t xml:space="preserve">2026 </t>
    </r>
    <r>
      <rPr>
        <sz val="8"/>
        <color rgb="FF4A4A4A"/>
        <rFont val="Noto Sans CJK SC"/>
        <family val="2"/>
      </rPr>
      <t xml:space="preserve">年 </t>
    </r>
    <r>
      <rPr>
        <sz val="8"/>
        <color rgb="FF4A4A4A"/>
        <rFont val="Arial"/>
        <family val="0"/>
        <charset val="1"/>
      </rPr>
      <t xml:space="preserve">9 </t>
    </r>
    <r>
      <rPr>
        <sz val="8"/>
        <color rgb="FF4A4A4A"/>
        <rFont val="Noto Sans CJK SC"/>
        <family val="2"/>
      </rPr>
      <t xml:space="preserve">月开始，正好覆盖《缺口的算术》判断的 </t>
    </r>
    <r>
      <rPr>
        <sz val="8"/>
        <color rgb="FF4A4A4A"/>
        <rFont val="Arial"/>
        <family val="0"/>
        <charset val="1"/>
      </rPr>
      <t xml:space="preserve">2027 </t>
    </r>
    <r>
      <rPr>
        <sz val="8"/>
        <color rgb="FF4A4A4A"/>
        <rFont val="Noto Sans CJK SC"/>
        <family val="2"/>
      </rPr>
      <t xml:space="preserve">转折窗口。</t>
    </r>
  </si>
  <si>
    <r>
      <rPr>
        <b val="true"/>
        <sz val="9"/>
        <color rgb="FF16305B"/>
        <rFont val="Noto Sans CJK SC"/>
        <family val="2"/>
      </rPr>
      <t xml:space="preserve">毛利率路径 </t>
    </r>
    <r>
      <rPr>
        <b val="true"/>
        <sz val="9"/>
        <color rgb="FF16305B"/>
        <rFont val="Arial"/>
        <family val="0"/>
        <charset val="1"/>
      </rPr>
      <t xml:space="preserve">· </t>
    </r>
    <r>
      <rPr>
        <b val="true"/>
        <sz val="9"/>
        <color rgb="FF16305B"/>
        <rFont val="Noto Sans CJK SC"/>
        <family val="2"/>
      </rPr>
      <t xml:space="preserve">平移</t>
    </r>
  </si>
  <si>
    <t xml:space="preserve">−15.0 ~ +15.0pp</t>
  </si>
  <si>
    <r>
      <rPr>
        <sz val="8"/>
        <color rgb="FF4A4A4A"/>
        <rFont val="Noto Sans CJK SC"/>
        <family val="2"/>
      </rPr>
      <t xml:space="preserve">★ 全模型第一大敏感变量。</t>
    </r>
    <r>
      <rPr>
        <sz val="8"/>
        <color rgb="FF4A4A4A"/>
        <rFont val="Arial"/>
        <family val="0"/>
        <charset val="1"/>
      </rPr>
      <t xml:space="preserve">FY26 Q3 </t>
    </r>
    <r>
      <rPr>
        <sz val="8"/>
        <color rgb="FF4A4A4A"/>
        <rFont val="Noto Sans CJK SC"/>
        <family val="2"/>
      </rPr>
      <t xml:space="preserve">实际 </t>
    </r>
    <r>
      <rPr>
        <sz val="8"/>
        <color rgb="FF4A4A4A"/>
        <rFont val="Arial"/>
        <family val="0"/>
        <charset val="1"/>
      </rPr>
      <t xml:space="preserve">84.6%</t>
    </r>
    <r>
      <rPr>
        <sz val="8"/>
        <color rgb="FF4A4A4A"/>
        <rFont val="Noto Sans CJK SC"/>
        <family val="2"/>
      </rPr>
      <t xml:space="preserve">、</t>
    </r>
    <r>
      <rPr>
        <sz val="8"/>
        <color rgb="FF4A4A4A"/>
        <rFont val="Arial"/>
        <family val="0"/>
        <charset val="1"/>
      </rPr>
      <t xml:space="preserve">Q4 </t>
    </r>
    <r>
      <rPr>
        <sz val="8"/>
        <color rgb="FF4A4A4A"/>
        <rFont val="Noto Sans CJK SC"/>
        <family val="2"/>
      </rPr>
      <t xml:space="preserve">指引约 </t>
    </r>
    <r>
      <rPr>
        <sz val="8"/>
        <color rgb="FF4A4A4A"/>
        <rFont val="Arial"/>
        <family val="0"/>
        <charset val="1"/>
      </rPr>
      <t xml:space="preserve">86%</t>
    </r>
    <r>
      <rPr>
        <sz val="8"/>
        <color rgb="FF4A4A4A"/>
        <rFont val="Noto Sans CJK SC"/>
        <family val="2"/>
      </rPr>
      <t xml:space="preserve">，而 </t>
    </r>
    <r>
      <rPr>
        <sz val="8"/>
        <color rgb="FF4A4A4A"/>
        <rFont val="Arial"/>
        <family val="0"/>
        <charset val="1"/>
      </rPr>
      <t xml:space="preserve">FY25 </t>
    </r>
    <r>
      <rPr>
        <sz val="8"/>
        <color rgb="FF4A4A4A"/>
        <rFont val="Noto Sans CJK SC"/>
        <family val="2"/>
      </rPr>
      <t xml:space="preserve">全年仅 </t>
    </r>
    <r>
      <rPr>
        <sz val="8"/>
        <color rgb="FF4A4A4A"/>
        <rFont val="Arial"/>
        <family val="0"/>
        <charset val="1"/>
      </rPr>
      <t xml:space="preserve">40.2%</t>
    </r>
    <r>
      <rPr>
        <sz val="8"/>
        <color rgb="FF4A4A4A"/>
        <rFont val="Noto Sans CJK SC"/>
        <family val="2"/>
      </rPr>
      <t xml:space="preserve">。对 </t>
    </r>
    <r>
      <rPr>
        <sz val="8"/>
        <color rgb="FF4A4A4A"/>
        <rFont val="Arial"/>
        <family val="0"/>
        <charset val="1"/>
      </rPr>
      <t xml:space="preserve">MU </t>
    </r>
    <r>
      <rPr>
        <sz val="8"/>
        <color rgb="FF4A4A4A"/>
        <rFont val="Noto Sans CJK SC"/>
        <family val="2"/>
      </rPr>
      <t xml:space="preserve">而言毛利率 ≈ </t>
    </r>
    <r>
      <rPr>
        <sz val="8"/>
        <color rgb="FF4A4A4A"/>
        <rFont val="Arial"/>
        <family val="0"/>
        <charset val="1"/>
      </rPr>
      <t xml:space="preserve">DRAM </t>
    </r>
    <r>
      <rPr>
        <sz val="8"/>
        <color rgb="FF4A4A4A"/>
        <rFont val="Noto Sans CJK SC"/>
        <family val="2"/>
      </rPr>
      <t xml:space="preserve">合约价。</t>
    </r>
  </si>
  <si>
    <r>
      <rPr>
        <b val="true"/>
        <sz val="9"/>
        <color rgb="FF16305B"/>
        <rFont val="Noto Sans CJK SC"/>
        <family val="2"/>
      </rPr>
      <t xml:space="preserve">终局毛利率（</t>
    </r>
    <r>
      <rPr>
        <b val="true"/>
        <sz val="9"/>
        <color rgb="FF16305B"/>
        <rFont val="Arial"/>
        <family val="0"/>
        <charset val="1"/>
      </rPr>
      <t xml:space="preserve">FY32</t>
    </r>
    <r>
      <rPr>
        <b val="true"/>
        <sz val="9"/>
        <color rgb="FF16305B"/>
        <rFont val="Noto Sans CJK SC"/>
        <family val="2"/>
      </rPr>
      <t xml:space="preserve">）</t>
    </r>
  </si>
  <si>
    <t xml:space="preserve">20.0% – 88.0%</t>
  </si>
  <si>
    <r>
      <rPr>
        <sz val="8"/>
        <color rgb="FF4A4A4A"/>
        <rFont val="Noto Sans CJK SC"/>
        <family val="2"/>
      </rPr>
      <t xml:space="preserve">永续期的盈利中枢。</t>
    </r>
    <r>
      <rPr>
        <sz val="8"/>
        <color rgb="FF4A4A4A"/>
        <rFont val="Arial"/>
        <family val="0"/>
        <charset val="1"/>
      </rPr>
      <t xml:space="preserve">MU </t>
    </r>
    <r>
      <rPr>
        <sz val="8"/>
        <color rgb="FF4A4A4A"/>
        <rFont val="Noto Sans CJK SC"/>
        <family val="2"/>
      </rPr>
      <t xml:space="preserve">历史区间极宽：</t>
    </r>
    <r>
      <rPr>
        <sz val="8"/>
        <color rgb="FF4A4A4A"/>
        <rFont val="Arial"/>
        <family val="0"/>
        <charset val="1"/>
      </rPr>
      <t xml:space="preserve">FY2023 </t>
    </r>
    <r>
      <rPr>
        <sz val="8"/>
        <color rgb="FF4A4A4A"/>
        <rFont val="Noto Sans CJK SC"/>
        <family val="2"/>
      </rPr>
      <t xml:space="preserve">为负、</t>
    </r>
    <r>
      <rPr>
        <sz val="8"/>
        <color rgb="FF4A4A4A"/>
        <rFont val="Arial"/>
        <family val="0"/>
        <charset val="1"/>
      </rPr>
      <t xml:space="preserve">FY2025 </t>
    </r>
    <r>
      <rPr>
        <sz val="8"/>
        <color rgb="FF4A4A4A"/>
        <rFont val="Noto Sans CJK SC"/>
        <family val="2"/>
      </rPr>
      <t xml:space="preserve">为 </t>
    </r>
    <r>
      <rPr>
        <sz val="8"/>
        <color rgb="FF4A4A4A"/>
        <rFont val="Arial"/>
        <family val="0"/>
        <charset val="1"/>
      </rPr>
      <t xml:space="preserve">40.2%</t>
    </r>
    <r>
      <rPr>
        <sz val="8"/>
        <color rgb="FF4A4A4A"/>
        <rFont val="Noto Sans CJK SC"/>
        <family val="2"/>
      </rPr>
      <t xml:space="preserve">、</t>
    </r>
    <r>
      <rPr>
        <sz val="8"/>
        <color rgb="FF4A4A4A"/>
        <rFont val="Arial"/>
        <family val="0"/>
        <charset val="1"/>
      </rPr>
      <t xml:space="preserve">FY2026 Q4 </t>
    </r>
    <r>
      <rPr>
        <sz val="8"/>
        <color rgb="FF4A4A4A"/>
        <rFont val="Noto Sans CJK SC"/>
        <family val="2"/>
      </rPr>
      <t xml:space="preserve">为 </t>
    </r>
    <r>
      <rPr>
        <sz val="8"/>
        <color rgb="FF4A4A4A"/>
        <rFont val="Arial"/>
        <family val="0"/>
        <charset val="1"/>
      </rPr>
      <t xml:space="preserve">86%</t>
    </r>
    <r>
      <rPr>
        <sz val="8"/>
        <color rgb="FF4A4A4A"/>
        <rFont val="Noto Sans CJK SC"/>
        <family val="2"/>
      </rPr>
      <t xml:space="preserve">。你信哪一个，结论完全不同。</t>
    </r>
  </si>
  <si>
    <r>
      <rPr>
        <b val="true"/>
        <sz val="9"/>
        <color rgb="FF16305B"/>
        <rFont val="Arial"/>
        <family val="0"/>
        <charset val="1"/>
      </rPr>
      <t xml:space="preserve">FY29–FY32 </t>
    </r>
    <r>
      <rPr>
        <b val="true"/>
        <sz val="9"/>
        <color rgb="FF16305B"/>
        <rFont val="Noto Sans CJK SC"/>
        <family val="2"/>
      </rPr>
      <t xml:space="preserve">收入增速 </t>
    </r>
    <r>
      <rPr>
        <b val="true"/>
        <sz val="9"/>
        <color rgb="FF16305B"/>
        <rFont val="Arial"/>
        <family val="0"/>
        <charset val="1"/>
      </rPr>
      <t xml:space="preserve">· </t>
    </r>
    <r>
      <rPr>
        <b val="true"/>
        <sz val="9"/>
        <color rgb="FF16305B"/>
        <rFont val="Noto Sans CJK SC"/>
        <family val="2"/>
      </rPr>
      <t xml:space="preserve">平移</t>
    </r>
  </si>
  <si>
    <t xml:space="preserve">−10.0 ~ +15.0pp</t>
  </si>
  <si>
    <r>
      <rPr>
        <sz val="8"/>
        <color rgb="FF4A4A4A"/>
        <rFont val="Noto Sans CJK SC"/>
        <family val="2"/>
      </rPr>
      <t xml:space="preserve">长期 </t>
    </r>
    <r>
      <rPr>
        <sz val="8"/>
        <color rgb="FF4A4A4A"/>
        <rFont val="Arial"/>
        <family val="0"/>
        <charset val="1"/>
      </rPr>
      <t xml:space="preserve">bit </t>
    </r>
    <r>
      <rPr>
        <sz val="8"/>
        <color rgb="FF4A4A4A"/>
        <rFont val="Noto Sans CJK SC"/>
        <family val="2"/>
      </rPr>
      <t xml:space="preserve">增长 </t>
    </r>
    <r>
      <rPr>
        <sz val="8"/>
        <color rgb="FF4A4A4A"/>
        <rFont val="Arial"/>
        <family val="0"/>
        <charset val="1"/>
      </rPr>
      <t xml:space="preserve">+ </t>
    </r>
    <r>
      <rPr>
        <sz val="8"/>
        <color rgb="FF4A4A4A"/>
        <rFont val="Noto Sans CJK SC"/>
        <family val="2"/>
      </rPr>
      <t xml:space="preserve">价格的合成增速。管理层称供需紧张持续到 </t>
    </r>
    <r>
      <rPr>
        <sz val="8"/>
        <color rgb="FF4A4A4A"/>
        <rFont val="Arial"/>
        <family val="0"/>
        <charset val="1"/>
      </rPr>
      <t xml:space="preserve">2027 </t>
    </r>
    <r>
      <rPr>
        <sz val="8"/>
        <color rgb="FF4A4A4A"/>
        <rFont val="Noto Sans CJK SC"/>
        <family val="2"/>
      </rPr>
      <t xml:space="preserve">日历年之后，但没有给出 </t>
    </r>
    <r>
      <rPr>
        <sz val="8"/>
        <color rgb="FF4A4A4A"/>
        <rFont val="Arial"/>
        <family val="0"/>
        <charset val="1"/>
      </rPr>
      <t xml:space="preserve">FY29 </t>
    </r>
    <r>
      <rPr>
        <sz val="8"/>
        <color rgb="FF4A4A4A"/>
        <rFont val="Noto Sans CJK SC"/>
        <family val="2"/>
      </rPr>
      <t xml:space="preserve">以后的量化框架。</t>
    </r>
  </si>
  <si>
    <r>
      <rPr>
        <b val="true"/>
        <sz val="9"/>
        <color rgb="FF16305B"/>
        <rFont val="Noto Sans CJK SC"/>
        <family val="2"/>
      </rPr>
      <t xml:space="preserve">营业费用率（</t>
    </r>
    <r>
      <rPr>
        <b val="true"/>
        <sz val="9"/>
        <color rgb="FF16305B"/>
        <rFont val="Arial"/>
        <family val="0"/>
        <charset val="1"/>
      </rPr>
      <t xml:space="preserve">% </t>
    </r>
    <r>
      <rPr>
        <b val="true"/>
        <sz val="9"/>
        <color rgb="FF16305B"/>
        <rFont val="Noto Sans CJK SC"/>
        <family val="2"/>
      </rPr>
      <t xml:space="preserve">收入）</t>
    </r>
  </si>
  <si>
    <t xml:space="preserve">1.5% – 15.0%</t>
  </si>
  <si>
    <r>
      <rPr>
        <sz val="8"/>
        <color rgb="FF4A4A4A"/>
        <rFont val="Arial"/>
        <family val="0"/>
        <charset val="1"/>
      </rPr>
      <t xml:space="preserve">FY26 Q4 GAAP </t>
    </r>
    <r>
      <rPr>
        <sz val="8"/>
        <color rgb="FF4A4A4A"/>
        <rFont val="Noto Sans CJK SC"/>
        <family val="2"/>
      </rPr>
      <t xml:space="preserve">指引 </t>
    </r>
    <r>
      <rPr>
        <sz val="8"/>
        <color rgb="FF4A4A4A"/>
        <rFont val="Arial"/>
        <family val="0"/>
        <charset val="1"/>
      </rPr>
      <t xml:space="preserve">$1,860M ÷ $50,000M = 3.7%</t>
    </r>
    <r>
      <rPr>
        <sz val="8"/>
        <color rgb="FF4A4A4A"/>
        <rFont val="Noto Sans CJK SC"/>
        <family val="2"/>
      </rPr>
      <t xml:space="preserve">；</t>
    </r>
    <r>
      <rPr>
        <sz val="8"/>
        <color rgb="FF4A4A4A"/>
        <rFont val="Arial"/>
        <family val="0"/>
        <charset val="1"/>
      </rPr>
      <t xml:space="preserve">FY26 </t>
    </r>
    <r>
      <rPr>
        <sz val="8"/>
        <color rgb="FF4A4A4A"/>
        <rFont val="Noto Sans CJK SC"/>
        <family val="2"/>
      </rPr>
      <t xml:space="preserve">全年约 </t>
    </r>
    <r>
      <rPr>
        <sz val="8"/>
        <color rgb="FF4A4A4A"/>
        <rFont val="Arial"/>
        <family val="0"/>
        <charset val="1"/>
      </rPr>
      <t xml:space="preserve">5.2%</t>
    </r>
    <r>
      <rPr>
        <sz val="8"/>
        <color rgb="FF4A4A4A"/>
        <rFont val="Noto Sans CJK SC"/>
        <family val="2"/>
      </rPr>
      <t xml:space="preserve">；</t>
    </r>
    <r>
      <rPr>
        <sz val="8"/>
        <color rgb="FF4A4A4A"/>
        <rFont val="Arial"/>
        <family val="0"/>
        <charset val="1"/>
      </rPr>
      <t xml:space="preserve">FY25 </t>
    </r>
    <r>
      <rPr>
        <sz val="8"/>
        <color rgb="FF4A4A4A"/>
        <rFont val="Noto Sans CJK SC"/>
        <family val="2"/>
      </rPr>
      <t xml:space="preserve">为 </t>
    </r>
    <r>
      <rPr>
        <sz val="8"/>
        <color rgb="FF4A4A4A"/>
        <rFont val="Arial"/>
        <family val="0"/>
        <charset val="1"/>
      </rPr>
      <t xml:space="preserve">13.1%</t>
    </r>
    <r>
      <rPr>
        <sz val="8"/>
        <color rgb="FF4A4A4A"/>
        <rFont val="Noto Sans CJK SC"/>
        <family val="2"/>
      </rPr>
      <t xml:space="preserve">。规模效应极强，但下行年会被动抬高。</t>
    </r>
  </si>
  <si>
    <t xml:space="preserve">有效税率</t>
  </si>
  <si>
    <t xml:space="preserve">5.0% – 30.0%</t>
  </si>
  <si>
    <r>
      <rPr>
        <sz val="8"/>
        <color rgb="FF4A4A4A"/>
        <rFont val="Arial"/>
        <family val="0"/>
        <charset val="1"/>
      </rPr>
      <t xml:space="preserve">FY26 Q3 </t>
    </r>
    <r>
      <rPr>
        <sz val="8"/>
        <color rgb="FF4A4A4A"/>
        <rFont val="Noto Sans CJK SC"/>
        <family val="2"/>
      </rPr>
      <t xml:space="preserve">实际 </t>
    </r>
    <r>
      <rPr>
        <sz val="8"/>
        <color rgb="FF4A4A4A"/>
        <rFont val="Arial"/>
        <family val="0"/>
        <charset val="1"/>
      </rPr>
      <t xml:space="preserve">15.0%</t>
    </r>
    <r>
      <rPr>
        <sz val="8"/>
        <color rgb="FF4A4A4A"/>
        <rFont val="Noto Sans CJK SC"/>
        <family val="2"/>
      </rPr>
      <t xml:space="preserve">（</t>
    </r>
    <r>
      <rPr>
        <sz val="8"/>
        <color rgb="FF4A4A4A"/>
        <rFont val="Arial"/>
        <family val="0"/>
        <charset val="1"/>
      </rPr>
      <t xml:space="preserve">4,978 ÷ 33,212</t>
    </r>
    <r>
      <rPr>
        <sz val="8"/>
        <color rgb="FF4A4A4A"/>
        <rFont val="Noto Sans CJK SC"/>
        <family val="2"/>
      </rPr>
      <t xml:space="preserve">）；</t>
    </r>
    <r>
      <rPr>
        <sz val="8"/>
        <color rgb="FF4A4A4A"/>
        <rFont val="Arial"/>
        <family val="0"/>
        <charset val="1"/>
      </rPr>
      <t xml:space="preserve">FY26 </t>
    </r>
    <r>
      <rPr>
        <sz val="8"/>
        <color rgb="FF4A4A4A"/>
        <rFont val="Noto Sans CJK SC"/>
        <family val="2"/>
      </rPr>
      <t xml:space="preserve">全年约 </t>
    </r>
    <r>
      <rPr>
        <sz val="8"/>
        <color rgb="FF4A4A4A"/>
        <rFont val="Arial"/>
        <family val="0"/>
        <charset val="1"/>
      </rPr>
      <t xml:space="preserve">14.7%</t>
    </r>
    <r>
      <rPr>
        <sz val="8"/>
        <color rgb="FF4A4A4A"/>
        <rFont val="Noto Sans CJK SC"/>
        <family val="2"/>
      </rPr>
      <t xml:space="preserve">。</t>
    </r>
    <r>
      <rPr>
        <sz val="8"/>
        <color rgb="FF4A4A4A"/>
        <rFont val="Arial"/>
        <family val="0"/>
        <charset val="1"/>
      </rPr>
      <t xml:space="preserve">MU </t>
    </r>
    <r>
      <rPr>
        <sz val="8"/>
        <color rgb="FF4A4A4A"/>
        <rFont val="Noto Sans CJK SC"/>
        <family val="2"/>
      </rPr>
      <t xml:space="preserve">在新加坡</t>
    </r>
    <r>
      <rPr>
        <sz val="8"/>
        <color rgb="FF4A4A4A"/>
        <rFont val="Arial"/>
        <family val="0"/>
        <charset val="1"/>
      </rPr>
      <t xml:space="preserve">/</t>
    </r>
    <r>
      <rPr>
        <sz val="8"/>
        <color rgb="FF4A4A4A"/>
        <rFont val="Noto Sans CJK SC"/>
        <family val="2"/>
      </rPr>
      <t xml:space="preserve">日本</t>
    </r>
    <r>
      <rPr>
        <sz val="8"/>
        <color rgb="FF4A4A4A"/>
        <rFont val="Arial"/>
        <family val="0"/>
        <charset val="1"/>
      </rPr>
      <t xml:space="preserve">/</t>
    </r>
    <r>
      <rPr>
        <sz val="8"/>
        <color rgb="FF4A4A4A"/>
        <rFont val="Noto Sans CJK SC"/>
        <family val="2"/>
      </rPr>
      <t xml:space="preserve">美国的结构使实际税率低于法定 </t>
    </r>
    <r>
      <rPr>
        <sz val="8"/>
        <color rgb="FF4A4A4A"/>
        <rFont val="Arial"/>
        <family val="0"/>
        <charset val="1"/>
      </rPr>
      <t xml:space="preserve">21%</t>
    </r>
    <r>
      <rPr>
        <sz val="8"/>
        <color rgb="FF4A4A4A"/>
        <rFont val="Noto Sans CJK SC"/>
        <family val="2"/>
      </rPr>
      <t xml:space="preserve">。</t>
    </r>
  </si>
  <si>
    <r>
      <rPr>
        <b val="true"/>
        <sz val="9"/>
        <color rgb="FF16305B"/>
        <rFont val="Noto Sans CJK SC"/>
        <family val="2"/>
      </rPr>
      <t xml:space="preserve">资本开支（</t>
    </r>
    <r>
      <rPr>
        <b val="true"/>
        <sz val="9"/>
        <color rgb="FF16305B"/>
        <rFont val="Arial"/>
        <family val="0"/>
        <charset val="1"/>
      </rPr>
      <t xml:space="preserve">% </t>
    </r>
    <r>
      <rPr>
        <b val="true"/>
        <sz val="9"/>
        <color rgb="FF16305B"/>
        <rFont val="Noto Sans CJK SC"/>
        <family val="2"/>
      </rPr>
      <t xml:space="preserve">收入，总额）</t>
    </r>
  </si>
  <si>
    <t xml:space="preserve">5.0% – 45.0%</t>
  </si>
  <si>
    <r>
      <rPr>
        <sz val="8"/>
        <color rgb="FF4A4A4A"/>
        <rFont val="Arial"/>
        <family val="0"/>
        <charset val="1"/>
      </rPr>
      <t xml:space="preserve">★★ MU </t>
    </r>
    <r>
      <rPr>
        <sz val="8"/>
        <color rgb="FF4A4A4A"/>
        <rFont val="Noto Sans CJK SC"/>
        <family val="2"/>
      </rPr>
      <t xml:space="preserve">与 </t>
    </r>
    <r>
      <rPr>
        <sz val="8"/>
        <color rgb="FF4A4A4A"/>
        <rFont val="Arial"/>
        <family val="0"/>
        <charset val="1"/>
      </rPr>
      <t xml:space="preserve">SNDK </t>
    </r>
    <r>
      <rPr>
        <sz val="8"/>
        <color rgb="FF4A4A4A"/>
        <rFont val="Noto Sans CJK SC"/>
        <family val="2"/>
      </rPr>
      <t xml:space="preserve">最根本的差异：</t>
    </r>
    <r>
      <rPr>
        <sz val="8"/>
        <color rgb="FF4A4A4A"/>
        <rFont val="Arial"/>
        <family val="0"/>
        <charset val="1"/>
      </rPr>
      <t xml:space="preserve">MU </t>
    </r>
    <r>
      <rPr>
        <sz val="8"/>
        <color rgb="FF4A4A4A"/>
        <rFont val="Noto Sans CJK SC"/>
        <family val="2"/>
      </rPr>
      <t xml:space="preserve">自建晶圆厂。</t>
    </r>
    <r>
      <rPr>
        <sz val="8"/>
        <color rgb="FF4A4A4A"/>
        <rFont val="Arial"/>
        <family val="0"/>
        <charset val="1"/>
      </rPr>
      <t xml:space="preserve">FY25 </t>
    </r>
    <r>
      <rPr>
        <sz val="8"/>
        <color rgb="FF4A4A4A"/>
        <rFont val="Noto Sans CJK SC"/>
        <family val="2"/>
      </rPr>
      <t xml:space="preserve">资本开支 </t>
    </r>
    <r>
      <rPr>
        <sz val="8"/>
        <color rgb="FF4A4A4A"/>
        <rFont val="Arial"/>
        <family val="0"/>
        <charset val="1"/>
      </rPr>
      <t xml:space="preserve">$138 </t>
    </r>
    <r>
      <rPr>
        <sz val="8"/>
        <color rgb="FF4A4A4A"/>
        <rFont val="Noto Sans CJK SC"/>
        <family val="2"/>
      </rPr>
      <t xml:space="preserve">亿（占收入 </t>
    </r>
    <r>
      <rPr>
        <sz val="8"/>
        <color rgb="FF4A4A4A"/>
        <rFont val="Arial"/>
        <family val="0"/>
        <charset val="1"/>
      </rPr>
      <t xml:space="preserve">36.9%</t>
    </r>
    <r>
      <rPr>
        <sz val="8"/>
        <color rgb="FF4A4A4A"/>
        <rFont val="Noto Sans CJK SC"/>
        <family val="2"/>
      </rPr>
      <t xml:space="preserve">），</t>
    </r>
    <r>
      <rPr>
        <sz val="8"/>
        <color rgb="FF4A4A4A"/>
        <rFont val="Arial"/>
        <family val="0"/>
        <charset val="1"/>
      </rPr>
      <t xml:space="preserve">FY26 </t>
    </r>
    <r>
      <rPr>
        <sz val="8"/>
        <color rgb="FF4A4A4A"/>
        <rFont val="Noto Sans CJK SC"/>
        <family val="2"/>
      </rPr>
      <t xml:space="preserve">约 </t>
    </r>
    <r>
      <rPr>
        <sz val="8"/>
        <color rgb="FF4A4A4A"/>
        <rFont val="Arial"/>
        <family val="0"/>
        <charset val="1"/>
      </rPr>
      <t xml:space="preserve">$270 </t>
    </r>
    <r>
      <rPr>
        <sz val="8"/>
        <color rgb="FF4A4A4A"/>
        <rFont val="Noto Sans CJK SC"/>
        <family val="2"/>
      </rPr>
      <t xml:space="preserve">亿（占 </t>
    </r>
    <r>
      <rPr>
        <sz val="8"/>
        <color rgb="FF4A4A4A"/>
        <rFont val="Arial"/>
        <family val="0"/>
        <charset val="1"/>
      </rPr>
      <t xml:space="preserve">20.9%</t>
    </r>
    <r>
      <rPr>
        <sz val="8"/>
        <color rgb="FF4A4A4A"/>
        <rFont val="Noto Sans CJK SC"/>
        <family val="2"/>
      </rPr>
      <t xml:space="preserve">），管理层已明确 </t>
    </r>
    <r>
      <rPr>
        <sz val="8"/>
        <color rgb="FF4A4A4A"/>
        <rFont val="Arial"/>
        <family val="0"/>
        <charset val="1"/>
      </rPr>
      <t xml:space="preserve">FY27 </t>
    </r>
    <r>
      <rPr>
        <sz val="8"/>
        <color rgb="FF4A4A4A"/>
        <rFont val="Noto Sans CJK SC"/>
        <family val="2"/>
      </rPr>
      <t xml:space="preserve">季度资本开支将高于 </t>
    </r>
    <r>
      <rPr>
        <sz val="8"/>
        <color rgb="FF4A4A4A"/>
        <rFont val="Arial"/>
        <family val="0"/>
        <charset val="1"/>
      </rPr>
      <t xml:space="preserve">FY26 Q4</t>
    </r>
    <r>
      <rPr>
        <sz val="8"/>
        <color rgb="FF4A4A4A"/>
        <rFont val="Noto Sans CJK SC"/>
        <family val="2"/>
      </rPr>
      <t xml:space="preserve">（约 </t>
    </r>
    <r>
      <rPr>
        <sz val="8"/>
        <color rgb="FF4A4A4A"/>
        <rFont val="Arial"/>
        <family val="0"/>
        <charset val="1"/>
      </rPr>
      <t xml:space="preserve">$100 </t>
    </r>
    <r>
      <rPr>
        <sz val="8"/>
        <color rgb="FF4A4A4A"/>
        <rFont val="Noto Sans CJK SC"/>
        <family val="2"/>
      </rPr>
      <t xml:space="preserve">亿</t>
    </r>
    <r>
      <rPr>
        <sz val="8"/>
        <color rgb="FF4A4A4A"/>
        <rFont val="Arial"/>
        <family val="0"/>
        <charset val="1"/>
      </rPr>
      <t xml:space="preserve">/</t>
    </r>
    <r>
      <rPr>
        <sz val="8"/>
        <color rgb="FF4A4A4A"/>
        <rFont val="Noto Sans CJK SC"/>
        <family val="2"/>
      </rPr>
      <t xml:space="preserve">季），其中建设性资本开支同比增加超 </t>
    </r>
    <r>
      <rPr>
        <sz val="8"/>
        <color rgb="FF4A4A4A"/>
        <rFont val="Arial"/>
        <family val="0"/>
        <charset val="1"/>
      </rPr>
      <t xml:space="preserve">$100 </t>
    </r>
    <r>
      <rPr>
        <sz val="8"/>
        <color rgb="FF4A4A4A"/>
        <rFont val="Noto Sans CJK SC"/>
        <family val="2"/>
      </rPr>
      <t xml:space="preserve">亿。</t>
    </r>
  </si>
  <si>
    <r>
      <rPr>
        <b val="true"/>
        <sz val="9"/>
        <color rgb="FF16305B"/>
        <rFont val="Noto Sans CJK SC"/>
        <family val="2"/>
      </rPr>
      <t xml:space="preserve">政府补贴抵扣（</t>
    </r>
    <r>
      <rPr>
        <b val="true"/>
        <sz val="9"/>
        <color rgb="FF16305B"/>
        <rFont val="Arial"/>
        <family val="0"/>
        <charset val="1"/>
      </rPr>
      <t xml:space="preserve">% </t>
    </r>
    <r>
      <rPr>
        <b val="true"/>
        <sz val="9"/>
        <color rgb="FF16305B"/>
        <rFont val="Noto Sans CJK SC"/>
        <family val="2"/>
      </rPr>
      <t xml:space="preserve">资本开支）</t>
    </r>
  </si>
  <si>
    <t xml:space="preserve">0.0% – 30.0%</t>
  </si>
  <si>
    <r>
      <rPr>
        <sz val="8"/>
        <color rgb="FF4A4A4A"/>
        <rFont val="Arial"/>
        <family val="0"/>
        <charset val="1"/>
      </rPr>
      <t xml:space="preserve">★ CHIPS </t>
    </r>
    <r>
      <rPr>
        <sz val="8"/>
        <color rgb="FF4A4A4A"/>
        <rFont val="Noto Sans CJK SC"/>
        <family val="2"/>
      </rPr>
      <t xml:space="preserve">法案补贴。</t>
    </r>
    <r>
      <rPr>
        <sz val="8"/>
        <color rgb="FF4A4A4A"/>
        <rFont val="Arial"/>
        <family val="0"/>
        <charset val="1"/>
      </rPr>
      <t xml:space="preserve">FY26 </t>
    </r>
    <r>
      <rPr>
        <sz val="8"/>
        <color rgb="FF4A4A4A"/>
        <rFont val="Noto Sans CJK SC"/>
        <family val="2"/>
      </rPr>
      <t xml:space="preserve">前九个月收到 </t>
    </r>
    <r>
      <rPr>
        <sz val="8"/>
        <color rgb="FF4A4A4A"/>
        <rFont val="Arial"/>
        <family val="0"/>
        <charset val="1"/>
      </rPr>
      <t xml:space="preserve">$2,989M</t>
    </r>
    <r>
      <rPr>
        <sz val="8"/>
        <color rgb="FF4A4A4A"/>
        <rFont val="Noto Sans CJK SC"/>
        <family val="2"/>
      </rPr>
      <t xml:space="preserve">，占同期资本开支 </t>
    </r>
    <r>
      <rPr>
        <sz val="8"/>
        <color rgb="FF4A4A4A"/>
        <rFont val="Arial"/>
        <family val="0"/>
        <charset val="1"/>
      </rPr>
      <t xml:space="preserve">$19,602M </t>
    </r>
    <r>
      <rPr>
        <sz val="8"/>
        <color rgb="FF4A4A4A"/>
        <rFont val="Noto Sans CJK SC"/>
        <family val="2"/>
      </rPr>
      <t xml:space="preserve">的 </t>
    </r>
    <r>
      <rPr>
        <sz val="8"/>
        <color rgb="FF4A4A4A"/>
        <rFont val="Arial"/>
        <family val="0"/>
        <charset val="1"/>
      </rPr>
      <t xml:space="preserve">15.2%</t>
    </r>
    <r>
      <rPr>
        <sz val="8"/>
        <color rgb="FF4A4A4A"/>
        <rFont val="Noto Sans CJK SC"/>
        <family val="2"/>
      </rPr>
      <t xml:space="preserve">。这是 </t>
    </r>
    <r>
      <rPr>
        <sz val="8"/>
        <color rgb="FF4A4A4A"/>
        <rFont val="Arial"/>
        <family val="0"/>
        <charset val="1"/>
      </rPr>
      <t xml:space="preserve">MU </t>
    </r>
    <r>
      <rPr>
        <sz val="8"/>
        <color rgb="FF4A4A4A"/>
        <rFont val="Noto Sans CJK SC"/>
        <family val="2"/>
      </rPr>
      <t xml:space="preserve">独有的、</t>
    </r>
    <r>
      <rPr>
        <sz val="8"/>
        <color rgb="FF4A4A4A"/>
        <rFont val="Arial"/>
        <family val="0"/>
        <charset val="1"/>
      </rPr>
      <t xml:space="preserve">SNDK </t>
    </r>
    <r>
      <rPr>
        <sz val="8"/>
        <color rgb="FF4A4A4A"/>
        <rFont val="Noto Sans CJK SC"/>
        <family val="2"/>
      </rPr>
      <t xml:space="preserve">没有的现金流来源，但它有确定的领取窗口，不应无限外推。</t>
    </r>
  </si>
  <si>
    <r>
      <rPr>
        <b val="true"/>
        <sz val="9"/>
        <color rgb="FF16305B"/>
        <rFont val="Noto Sans CJK SC"/>
        <family val="2"/>
      </rPr>
      <t xml:space="preserve">折旧摊销（</t>
    </r>
    <r>
      <rPr>
        <b val="true"/>
        <sz val="9"/>
        <color rgb="FF16305B"/>
        <rFont val="Arial"/>
        <family val="0"/>
        <charset val="1"/>
      </rPr>
      <t xml:space="preserve">% </t>
    </r>
    <r>
      <rPr>
        <b val="true"/>
        <sz val="9"/>
        <color rgb="FF16305B"/>
        <rFont val="Noto Sans CJK SC"/>
        <family val="2"/>
      </rPr>
      <t xml:space="preserve">收入）</t>
    </r>
  </si>
  <si>
    <t xml:space="preserve">2.0% – 30.0%</t>
  </si>
  <si>
    <r>
      <rPr>
        <sz val="8"/>
        <color rgb="FF4A4A4A"/>
        <rFont val="Arial"/>
        <family val="0"/>
        <charset val="1"/>
      </rPr>
      <t xml:space="preserve">★ FY26 </t>
    </r>
    <r>
      <rPr>
        <sz val="8"/>
        <color rgb="FF4A4A4A"/>
        <rFont val="Noto Sans CJK SC"/>
        <family val="2"/>
      </rPr>
      <t xml:space="preserve">前九个月 </t>
    </r>
    <r>
      <rPr>
        <sz val="8"/>
        <color rgb="FF4A4A4A"/>
        <rFont val="Arial"/>
        <family val="0"/>
        <charset val="1"/>
      </rPr>
      <t xml:space="preserve">$6,862M</t>
    </r>
    <r>
      <rPr>
        <sz val="8"/>
        <color rgb="FF4A4A4A"/>
        <rFont val="Noto Sans CJK SC"/>
        <family val="2"/>
      </rPr>
      <t xml:space="preserve">，全年约 </t>
    </r>
    <r>
      <rPr>
        <sz val="8"/>
        <color rgb="FF4A4A4A"/>
        <rFont val="Arial"/>
        <family val="0"/>
        <charset val="1"/>
      </rPr>
      <t xml:space="preserve">$94 </t>
    </r>
    <r>
      <rPr>
        <sz val="8"/>
        <color rgb="FF4A4A4A"/>
        <rFont val="Noto Sans CJK SC"/>
        <family val="2"/>
      </rPr>
      <t xml:space="preserve">亿（占收入 </t>
    </r>
    <r>
      <rPr>
        <sz val="8"/>
        <color rgb="FF4A4A4A"/>
        <rFont val="Arial"/>
        <family val="0"/>
        <charset val="1"/>
      </rPr>
      <t xml:space="preserve">7.3%</t>
    </r>
    <r>
      <rPr>
        <sz val="8"/>
        <color rgb="FF4A4A4A"/>
        <rFont val="Noto Sans CJK SC"/>
        <family val="2"/>
      </rPr>
      <t xml:space="preserve">）；</t>
    </r>
    <r>
      <rPr>
        <sz val="8"/>
        <color rgb="FF4A4A4A"/>
        <rFont val="Arial"/>
        <family val="0"/>
        <charset val="1"/>
      </rPr>
      <t xml:space="preserve">FY25 </t>
    </r>
    <r>
      <rPr>
        <sz val="8"/>
        <color rgb="FF4A4A4A"/>
        <rFont val="Noto Sans CJK SC"/>
        <family val="2"/>
      </rPr>
      <t xml:space="preserve">为 </t>
    </r>
    <r>
      <rPr>
        <sz val="8"/>
        <color rgb="FF4A4A4A"/>
        <rFont val="Arial"/>
        <family val="0"/>
        <charset val="1"/>
      </rPr>
      <t xml:space="preserve">$83 </t>
    </r>
    <r>
      <rPr>
        <sz val="8"/>
        <color rgb="FF4A4A4A"/>
        <rFont val="Noto Sans CJK SC"/>
        <family val="2"/>
      </rPr>
      <t xml:space="preserve">亿（占 </t>
    </r>
    <r>
      <rPr>
        <sz val="8"/>
        <color rgb="FF4A4A4A"/>
        <rFont val="Arial"/>
        <family val="0"/>
        <charset val="1"/>
      </rPr>
      <t xml:space="preserve">22.2%</t>
    </r>
    <r>
      <rPr>
        <sz val="8"/>
        <color rgb="FF4A4A4A"/>
        <rFont val="Noto Sans CJK SC"/>
        <family val="2"/>
      </rPr>
      <t xml:space="preserve">）。折旧跟随资产基数而非收入，所以收入下行年这个比例会显著上升——用一个固定比例是简化，压测时请与资本开支率联动调。</t>
    </r>
  </si>
  <si>
    <t xml:space="preserve">营运资本占年化收入比</t>
  </si>
  <si>
    <t xml:space="preserve">3.0% – 35.0%</t>
  </si>
  <si>
    <r>
      <rPr>
        <sz val="8"/>
        <color rgb="FF4A4A4A"/>
        <rFont val="Noto Sans CJK SC"/>
        <family val="2"/>
      </rPr>
      <t xml:space="preserve">★ 余额法：营运资本 </t>
    </r>
    <r>
      <rPr>
        <sz val="8"/>
        <color rgb="FF4A4A4A"/>
        <rFont val="Arial"/>
        <family val="0"/>
        <charset val="1"/>
      </rPr>
      <t xml:space="preserve">= </t>
    </r>
    <r>
      <rPr>
        <sz val="8"/>
        <color rgb="FF4A4A4A"/>
        <rFont val="Noto Sans CJK SC"/>
        <family val="2"/>
      </rPr>
      <t xml:space="preserve">应收 </t>
    </r>
    <r>
      <rPr>
        <sz val="8"/>
        <color rgb="FF4A4A4A"/>
        <rFont val="Arial"/>
        <family val="0"/>
        <charset val="1"/>
      </rPr>
      <t xml:space="preserve">+ </t>
    </r>
    <r>
      <rPr>
        <sz val="8"/>
        <color rgb="FF4A4A4A"/>
        <rFont val="Noto Sans CJK SC"/>
        <family val="2"/>
      </rPr>
      <t xml:space="preserve">存货 − 应付及应计。历史读数 </t>
    </r>
    <r>
      <rPr>
        <sz val="8"/>
        <color rgb="FF4A4A4A"/>
        <rFont val="Arial"/>
        <family val="0"/>
        <charset val="1"/>
      </rPr>
      <t xml:space="preserve">FY25</t>
    </r>
    <r>
      <rPr>
        <sz val="8"/>
        <color rgb="FF4A4A4A"/>
        <rFont val="Noto Sans CJK SC"/>
        <family val="2"/>
      </rPr>
      <t xml:space="preserve">末 </t>
    </r>
    <r>
      <rPr>
        <sz val="8"/>
        <color rgb="FF4A4A4A"/>
        <rFont val="Arial"/>
        <family val="0"/>
        <charset val="1"/>
      </rPr>
      <t xml:space="preserve">17.6% / FY26 Q2</t>
    </r>
    <r>
      <rPr>
        <sz val="8"/>
        <color rgb="FF4A4A4A"/>
        <rFont val="Noto Sans CJK SC"/>
        <family val="2"/>
      </rPr>
      <t xml:space="preserve">末 </t>
    </r>
    <r>
      <rPr>
        <sz val="8"/>
        <color rgb="FF4A4A4A"/>
        <rFont val="Arial"/>
        <family val="0"/>
        <charset val="1"/>
      </rPr>
      <t xml:space="preserve">15.3% / Q3</t>
    </r>
    <r>
      <rPr>
        <sz val="8"/>
        <color rgb="FF4A4A4A"/>
        <rFont val="Noto Sans CJK SC"/>
        <family val="2"/>
      </rPr>
      <t xml:space="preserve">末 </t>
    </r>
    <r>
      <rPr>
        <sz val="8"/>
        <color rgb="FF4A4A4A"/>
        <rFont val="Arial"/>
        <family val="0"/>
        <charset val="1"/>
      </rPr>
      <t xml:space="preserve">14.5%</t>
    </r>
    <r>
      <rPr>
        <sz val="8"/>
        <color rgb="FF4A4A4A"/>
        <rFont val="Noto Sans CJK SC"/>
        <family val="2"/>
      </rPr>
      <t xml:space="preserve">。见 </t>
    </r>
    <r>
      <rPr>
        <sz val="8"/>
        <color rgb="FF4A4A4A"/>
        <rFont val="Arial"/>
        <family val="0"/>
        <charset val="1"/>
      </rPr>
      <t xml:space="preserve">00 </t>
    </r>
    <r>
      <rPr>
        <sz val="8"/>
        <color rgb="FF4A4A4A"/>
        <rFont val="Noto Sans CJK SC"/>
        <family val="2"/>
      </rPr>
      <t xml:space="preserve">表第 </t>
    </r>
    <r>
      <rPr>
        <sz val="8"/>
        <color rgb="FF4A4A4A"/>
        <rFont val="Arial"/>
        <family val="0"/>
        <charset val="1"/>
      </rPr>
      <t xml:space="preserve">07 </t>
    </r>
    <r>
      <rPr>
        <sz val="8"/>
        <color rgb="FF4A4A4A"/>
        <rFont val="Noto Sans CJK SC"/>
        <family val="2"/>
      </rPr>
      <t xml:space="preserve">节。</t>
    </r>
  </si>
  <si>
    <r>
      <rPr>
        <b val="true"/>
        <sz val="9"/>
        <color rgb="FF16305B"/>
        <rFont val="Noto Sans CJK SC"/>
        <family val="2"/>
      </rPr>
      <t xml:space="preserve">折现率 </t>
    </r>
    <r>
      <rPr>
        <b val="true"/>
        <sz val="9"/>
        <color rgb="FF16305B"/>
        <rFont val="Arial"/>
        <family val="0"/>
        <charset val="1"/>
      </rPr>
      <t xml:space="preserve">WACC</t>
    </r>
  </si>
  <si>
    <t xml:space="preserve">5.0% – 22.0%</t>
  </si>
  <si>
    <r>
      <rPr>
        <sz val="8"/>
        <color rgb="FF4A4A4A"/>
        <rFont val="Arial"/>
        <family val="0"/>
        <charset val="1"/>
      </rPr>
      <t xml:space="preserve">MU </t>
    </r>
    <r>
      <rPr>
        <sz val="8"/>
        <color rgb="FF4A4A4A"/>
        <rFont val="Noto Sans CJK SC"/>
        <family val="2"/>
      </rPr>
      <t xml:space="preserve">为净现金结构（现金及投资 </t>
    </r>
    <r>
      <rPr>
        <sz val="8"/>
        <color rgb="FF4A4A4A"/>
        <rFont val="Arial"/>
        <family val="0"/>
        <charset val="1"/>
      </rPr>
      <t xml:space="preserve">$302 </t>
    </r>
    <r>
      <rPr>
        <sz val="8"/>
        <color rgb="FF4A4A4A"/>
        <rFont val="Noto Sans CJK SC"/>
        <family val="2"/>
      </rPr>
      <t xml:space="preserve">亿 </t>
    </r>
    <r>
      <rPr>
        <sz val="8"/>
        <color rgb="FF4A4A4A"/>
        <rFont val="Arial"/>
        <family val="0"/>
        <charset val="1"/>
      </rPr>
      <t xml:space="preserve">vs </t>
    </r>
    <r>
      <rPr>
        <sz val="8"/>
        <color rgb="FF4A4A4A"/>
        <rFont val="Noto Sans CJK SC"/>
        <family val="2"/>
      </rPr>
      <t xml:space="preserve">有息负债 </t>
    </r>
    <r>
      <rPr>
        <sz val="8"/>
        <color rgb="FF4A4A4A"/>
        <rFont val="Arial"/>
        <family val="0"/>
        <charset val="1"/>
      </rPr>
      <t xml:space="preserve">$57 </t>
    </r>
    <r>
      <rPr>
        <sz val="8"/>
        <color rgb="FF4A4A4A"/>
        <rFont val="Noto Sans CJK SC"/>
        <family val="2"/>
      </rPr>
      <t xml:space="preserve">亿），</t>
    </r>
    <r>
      <rPr>
        <sz val="8"/>
        <color rgb="FF4A4A4A"/>
        <rFont val="Arial"/>
        <family val="0"/>
        <charset val="1"/>
      </rPr>
      <t xml:space="preserve">WACC ≈ </t>
    </r>
    <r>
      <rPr>
        <sz val="8"/>
        <color rgb="FF4A4A4A"/>
        <rFont val="Noto Sans CJK SC"/>
        <family val="2"/>
      </rPr>
      <t xml:space="preserve">股权成本。默认 </t>
    </r>
    <r>
      <rPr>
        <sz val="8"/>
        <color rgb="FF4A4A4A"/>
        <rFont val="Arial"/>
        <family val="0"/>
        <charset val="1"/>
      </rPr>
      <t xml:space="preserve">CAPM</t>
    </r>
    <r>
      <rPr>
        <sz val="8"/>
        <color rgb="FF4A4A4A"/>
        <rFont val="Noto Sans CJK SC"/>
        <family val="2"/>
      </rPr>
      <t xml:space="preserve">：无风险 </t>
    </r>
    <r>
      <rPr>
        <sz val="8"/>
        <color rgb="FF4A4A4A"/>
        <rFont val="Arial"/>
        <family val="0"/>
        <charset val="1"/>
      </rPr>
      <t xml:space="preserve">4.2% + β × </t>
    </r>
    <r>
      <rPr>
        <sz val="8"/>
        <color rgb="FF4A4A4A"/>
        <rFont val="Noto Sans CJK SC"/>
        <family val="2"/>
      </rPr>
      <t xml:space="preserve">股权风险溢价 </t>
    </r>
    <r>
      <rPr>
        <sz val="8"/>
        <color rgb="FF4A4A4A"/>
        <rFont val="Arial"/>
        <family val="0"/>
        <charset val="1"/>
      </rPr>
      <t xml:space="preserve">5.0%</t>
    </r>
    <r>
      <rPr>
        <sz val="8"/>
        <color rgb="FF4A4A4A"/>
        <rFont val="Noto Sans CJK SC"/>
        <family val="2"/>
      </rPr>
      <t xml:space="preserve">。</t>
    </r>
  </si>
  <si>
    <r>
      <rPr>
        <b val="true"/>
        <sz val="9"/>
        <color rgb="FF16305B"/>
        <rFont val="Noto Sans CJK SC"/>
        <family val="2"/>
      </rPr>
      <t xml:space="preserve">永续增长率 </t>
    </r>
    <r>
      <rPr>
        <b val="true"/>
        <sz val="9"/>
        <color rgb="FF16305B"/>
        <rFont val="Arial"/>
        <family val="0"/>
        <charset val="1"/>
      </rPr>
      <t xml:space="preserve">g</t>
    </r>
  </si>
  <si>
    <t xml:space="preserve">0.0% – 6.0%</t>
  </si>
  <si>
    <r>
      <rPr>
        <sz val="8"/>
        <color rgb="FF4A4A4A"/>
        <rFont val="Noto Sans CJK SC"/>
        <family val="2"/>
      </rPr>
      <t xml:space="preserve">★ 必须低于长期名义 </t>
    </r>
    <r>
      <rPr>
        <sz val="8"/>
        <color rgb="FF4A4A4A"/>
        <rFont val="Arial"/>
        <family val="0"/>
        <charset val="1"/>
      </rPr>
      <t xml:space="preserve">GDP </t>
    </r>
    <r>
      <rPr>
        <sz val="8"/>
        <color rgb="FF4A4A4A"/>
        <rFont val="Noto Sans CJK SC"/>
        <family val="2"/>
      </rPr>
      <t xml:space="preserve">增速（约 </t>
    </r>
    <r>
      <rPr>
        <sz val="8"/>
        <color rgb="FF4A4A4A"/>
        <rFont val="Arial"/>
        <family val="0"/>
        <charset val="1"/>
      </rPr>
      <t xml:space="preserve">4%</t>
    </r>
    <r>
      <rPr>
        <sz val="8"/>
        <color rgb="FF4A4A4A"/>
        <rFont val="Noto Sans CJK SC"/>
        <family val="2"/>
      </rPr>
      <t xml:space="preserve">）。</t>
    </r>
    <r>
      <rPr>
        <sz val="8"/>
        <color rgb="FF4A4A4A"/>
        <rFont val="Arial"/>
        <family val="0"/>
        <charset val="1"/>
      </rPr>
      <t xml:space="preserve">g </t>
    </r>
    <r>
      <rPr>
        <sz val="8"/>
        <color rgb="FF4A4A4A"/>
        <rFont val="Noto Sans CJK SC"/>
        <family val="2"/>
      </rPr>
      <t xml:space="preserve">每上调 </t>
    </r>
    <r>
      <rPr>
        <sz val="8"/>
        <color rgb="FF4A4A4A"/>
        <rFont val="Arial"/>
        <family val="0"/>
        <charset val="1"/>
      </rPr>
      <t xml:space="preserve">0.5pp</t>
    </r>
    <r>
      <rPr>
        <sz val="8"/>
        <color rgb="FF4A4A4A"/>
        <rFont val="Noto Sans CJK SC"/>
        <family val="2"/>
      </rPr>
      <t xml:space="preserve">，终值可能变动 </t>
    </r>
    <r>
      <rPr>
        <sz val="8"/>
        <color rgb="FF4A4A4A"/>
        <rFont val="Arial"/>
        <family val="0"/>
        <charset val="1"/>
      </rPr>
      <t xml:space="preserve">10% </t>
    </r>
    <r>
      <rPr>
        <sz val="8"/>
        <color rgb="FF4A4A4A"/>
        <rFont val="Noto Sans CJK SC"/>
        <family val="2"/>
      </rPr>
      <t xml:space="preserve">以上——这是 </t>
    </r>
    <r>
      <rPr>
        <sz val="8"/>
        <color rgb="FF4A4A4A"/>
        <rFont val="Arial"/>
        <family val="0"/>
        <charset val="1"/>
      </rPr>
      <t xml:space="preserve">DCF </t>
    </r>
    <r>
      <rPr>
        <sz val="8"/>
        <color rgb="FF4A4A4A"/>
        <rFont val="Noto Sans CJK SC"/>
        <family val="2"/>
      </rPr>
      <t xml:space="preserve">最脆弱的一个数字。</t>
    </r>
  </si>
  <si>
    <r>
      <rPr>
        <b val="true"/>
        <sz val="11"/>
        <color rgb="FFFFFFFF"/>
        <rFont val="Arial"/>
        <family val="0"/>
        <charset val="1"/>
      </rPr>
      <t xml:space="preserve">10  </t>
    </r>
    <r>
      <rPr>
        <b val="true"/>
        <sz val="11"/>
        <color rgb="FFFFFFFF"/>
        <rFont val="Noto Sans CJK SC"/>
        <family val="2"/>
      </rPr>
      <t xml:space="preserve">实时读数（随滑标即时变化）</t>
    </r>
  </si>
  <si>
    <r>
      <rPr>
        <b val="true"/>
        <sz val="9"/>
        <color rgb="FF16305B"/>
        <rFont val="Noto Sans CJK SC"/>
        <family val="2"/>
      </rPr>
      <t xml:space="preserve">终值占 </t>
    </r>
    <r>
      <rPr>
        <b val="true"/>
        <sz val="9"/>
        <color rgb="FF16305B"/>
        <rFont val="Arial"/>
        <family val="0"/>
        <charset val="1"/>
      </rPr>
      <t xml:space="preserve">EV </t>
    </r>
    <r>
      <rPr>
        <b val="true"/>
        <sz val="9"/>
        <color rgb="FF16305B"/>
        <rFont val="Noto Sans CJK SC"/>
        <family val="2"/>
      </rPr>
      <t xml:space="preserve">比重</t>
    </r>
  </si>
  <si>
    <r>
      <rPr>
        <b val="true"/>
        <sz val="9"/>
        <color rgb="FF16305B"/>
        <rFont val="Noto Sans CJK SC"/>
        <family val="2"/>
      </rPr>
      <t xml:space="preserve">企业价值 </t>
    </r>
    <r>
      <rPr>
        <b val="true"/>
        <sz val="9"/>
        <color rgb="FF16305B"/>
        <rFont val="Arial"/>
        <family val="0"/>
        <charset val="1"/>
      </rPr>
      <t xml:space="preserve">EV</t>
    </r>
  </si>
  <si>
    <t xml:space="preserve">FY27 EBIT</t>
  </si>
  <si>
    <r>
      <rPr>
        <b val="true"/>
        <sz val="9"/>
        <color rgb="FF16305B"/>
        <rFont val="Arial"/>
        <family val="0"/>
        <charset val="1"/>
      </rPr>
      <t xml:space="preserve">FY27 </t>
    </r>
    <r>
      <rPr>
        <b val="true"/>
        <sz val="9"/>
        <color rgb="FF16305B"/>
        <rFont val="Noto Sans CJK SC"/>
        <family val="2"/>
      </rPr>
      <t xml:space="preserve">每股收益</t>
    </r>
  </si>
  <si>
    <r>
      <rPr>
        <b val="true"/>
        <sz val="9"/>
        <color rgb="FF16305B"/>
        <rFont val="Arial"/>
        <family val="0"/>
        <charset val="1"/>
      </rPr>
      <t xml:space="preserve">FY32 </t>
    </r>
    <r>
      <rPr>
        <b val="true"/>
        <sz val="9"/>
        <color rgb="FF16305B"/>
        <rFont val="Noto Sans CJK SC"/>
        <family val="2"/>
      </rPr>
      <t xml:space="preserve">收入</t>
    </r>
  </si>
  <si>
    <r>
      <rPr>
        <b val="true"/>
        <sz val="9"/>
        <color rgb="FF16305B"/>
        <rFont val="Arial"/>
        <family val="0"/>
        <charset val="1"/>
      </rPr>
      <t xml:space="preserve">FY32 FCFF </t>
    </r>
    <r>
      <rPr>
        <b val="true"/>
        <sz val="9"/>
        <color rgb="FF16305B"/>
        <rFont val="Noto Sans CJK SC"/>
        <family val="2"/>
      </rPr>
      <t xml:space="preserve">率</t>
    </r>
  </si>
  <si>
    <r>
      <rPr>
        <b val="true"/>
        <sz val="9"/>
        <color rgb="FF16305B"/>
        <rFont val="Noto Sans CJK SC"/>
        <family val="2"/>
      </rPr>
      <t xml:space="preserve">隐含退出 </t>
    </r>
    <r>
      <rPr>
        <b val="true"/>
        <sz val="9"/>
        <color rgb="FF16305B"/>
        <rFont val="Arial"/>
        <family val="0"/>
        <charset val="1"/>
      </rPr>
      <t xml:space="preserve">EV/EBITDA</t>
    </r>
  </si>
  <si>
    <r>
      <rPr>
        <b val="true"/>
        <sz val="11"/>
        <color rgb="FFFFFFFF"/>
        <rFont val="Noto Sans CJK SC"/>
        <family val="2"/>
      </rPr>
      <t xml:space="preserve">　</t>
    </r>
    <r>
      <rPr>
        <b val="true"/>
        <sz val="11"/>
        <color rgb="FFFFFFFF"/>
        <rFont val="Arial"/>
        <family val="0"/>
        <charset val="1"/>
      </rPr>
      <t xml:space="preserve">10.1  </t>
    </r>
    <r>
      <rPr>
        <b val="true"/>
        <sz val="11"/>
        <color rgb="FFFFFFFF"/>
        <rFont val="Noto Sans CJK SC"/>
        <family val="2"/>
      </rPr>
      <t xml:space="preserve">五种口径的每股价值并排对照</t>
    </r>
  </si>
  <si>
    <r>
      <rPr>
        <sz val="9"/>
        <color rgb="FF3D3D3D"/>
        <rFont val="Noto Sans CJK SC"/>
        <family val="2"/>
      </rPr>
      <t xml:space="preserve">把 </t>
    </r>
    <r>
      <rPr>
        <sz val="9"/>
        <color rgb="FF3D3D3D"/>
        <rFont val="Arial"/>
        <family val="0"/>
        <charset val="1"/>
      </rPr>
      <t xml:space="preserve">DCF</t>
    </r>
    <r>
      <rPr>
        <sz val="9"/>
        <color rgb="FF3D3D3D"/>
        <rFont val="Noto Sans CJK SC"/>
        <family val="2"/>
      </rPr>
      <t xml:space="preserve">、含回购的 </t>
    </r>
    <r>
      <rPr>
        <sz val="9"/>
        <color rgb="FF3D3D3D"/>
        <rFont val="Arial"/>
        <family val="0"/>
        <charset val="1"/>
      </rPr>
      <t xml:space="preserve">EPS×P/E</t>
    </r>
    <r>
      <rPr>
        <sz val="9"/>
        <color rgb="FF3D3D3D"/>
        <rFont val="Noto Sans CJK SC"/>
        <family val="2"/>
      </rPr>
      <t xml:space="preserve">、</t>
    </r>
    <r>
      <rPr>
        <sz val="9"/>
        <color rgb="FF3D3D3D"/>
        <rFont val="Arial"/>
        <family val="0"/>
        <charset val="1"/>
      </rPr>
      <t xml:space="preserve">12 </t>
    </r>
    <r>
      <rPr>
        <sz val="9"/>
        <color rgb="FF3D3D3D"/>
        <rFont val="Noto Sans CJK SC"/>
        <family val="2"/>
      </rPr>
      <t xml:space="preserve">个月目标价、当前股价、卖方一致目标价放在一起。★ 如果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与 </t>
    </r>
    <r>
      <rPr>
        <sz val="9"/>
        <color rgb="FF3D3D3D"/>
        <rFont val="Arial"/>
        <family val="0"/>
        <charset val="1"/>
      </rPr>
      <t xml:space="preserve">EPS×P/E </t>
    </r>
    <r>
      <rPr>
        <sz val="9"/>
        <color rgb="FF3D3D3D"/>
        <rFont val="Noto Sans CJK SC"/>
        <family val="2"/>
      </rPr>
      <t xml:space="preserve">差得很远，先回到第 </t>
    </r>
    <r>
      <rPr>
        <sz val="9"/>
        <color rgb="FF3D3D3D"/>
        <rFont val="Arial"/>
        <family val="0"/>
        <charset val="1"/>
      </rPr>
      <t xml:space="preserve">06 </t>
    </r>
    <r>
      <rPr>
        <sz val="9"/>
        <color rgb="FF3D3D3D"/>
        <rFont val="Noto Sans CJK SC"/>
        <family val="2"/>
      </rPr>
      <t xml:space="preserve">节的第 ⑤ 行「本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隐含的 </t>
    </r>
    <r>
      <rPr>
        <sz val="9"/>
        <color rgb="FF3D3D3D"/>
        <rFont val="Arial"/>
        <family val="0"/>
        <charset val="1"/>
      </rPr>
      <t xml:space="preserve">FY32 </t>
    </r>
    <r>
      <rPr>
        <sz val="9"/>
        <color rgb="FF3D3D3D"/>
        <rFont val="Noto Sans CJK SC"/>
        <family val="2"/>
      </rPr>
      <t xml:space="preserve">退出 </t>
    </r>
    <r>
      <rPr>
        <sz val="9"/>
        <color rgb="FF3D3D3D"/>
        <rFont val="Arial"/>
        <family val="0"/>
        <charset val="1"/>
      </rPr>
      <t xml:space="preserve">P/E</t>
    </r>
    <r>
      <rPr>
        <sz val="9"/>
        <color rgb="FF3D3D3D"/>
        <rFont val="Noto Sans CJK SC"/>
        <family val="2"/>
      </rPr>
      <t xml:space="preserve">」，把该节的 </t>
    </r>
    <r>
      <rPr>
        <sz val="9"/>
        <color rgb="FF3D3D3D"/>
        <rFont val="Arial"/>
        <family val="0"/>
        <charset val="1"/>
      </rPr>
      <t xml:space="preserve">FY2032 P/E </t>
    </r>
    <r>
      <rPr>
        <sz val="9"/>
        <color rgb="FF3D3D3D"/>
        <rFont val="Noto Sans CJK SC"/>
        <family val="2"/>
      </rPr>
      <t xml:space="preserve">滑标拖到那个数，两者应当收敛；仍不收敛，说明问题出在回购价假设（第 ⑫ 行）。</t>
    </r>
  </si>
  <si>
    <t xml:space="preserve">估值方法</t>
  </si>
  <si>
    <t xml:space="preserve">每股价值</t>
  </si>
  <si>
    <r>
      <rPr>
        <b val="true"/>
        <sz val="9"/>
        <color rgb="FF000000"/>
        <rFont val="Arial"/>
        <family val="0"/>
        <charset val="1"/>
      </rPr>
      <t xml:space="preserve">DCF</t>
    </r>
    <r>
      <rPr>
        <b val="true"/>
        <sz val="9"/>
        <color rgb="FF000000"/>
        <rFont val="Noto Sans CJK SC"/>
        <family val="2"/>
      </rPr>
      <t xml:space="preserve">（企业自由现金流）</t>
    </r>
  </si>
  <si>
    <r>
      <rPr>
        <sz val="8"/>
        <color rgb="FF404040"/>
        <rFont val="Noto Sans CJK SC"/>
        <family val="2"/>
      </rPr>
      <t xml:space="preserve">第 </t>
    </r>
    <r>
      <rPr>
        <sz val="8"/>
        <color rgb="FF404040"/>
        <rFont val="Arial"/>
        <family val="0"/>
        <charset val="1"/>
      </rPr>
      <t xml:space="preserve">04 </t>
    </r>
    <r>
      <rPr>
        <sz val="8"/>
        <color rgb="FF404040"/>
        <rFont val="Noto Sans CJK SC"/>
        <family val="2"/>
      </rPr>
      <t xml:space="preserve">节结果，对回购中性</t>
    </r>
  </si>
  <si>
    <r>
      <rPr>
        <b val="true"/>
        <sz val="9"/>
        <color rgb="FF000000"/>
        <rFont val="Arial"/>
        <family val="0"/>
        <charset val="1"/>
      </rPr>
      <t xml:space="preserve">EPS × P/E</t>
    </r>
    <r>
      <rPr>
        <b val="true"/>
        <sz val="9"/>
        <color rgb="FF000000"/>
        <rFont val="Noto Sans CJK SC"/>
        <family val="2"/>
      </rPr>
      <t xml:space="preserve">（含回购）</t>
    </r>
  </si>
  <si>
    <r>
      <rPr>
        <sz val="8"/>
        <color rgb="FF404040"/>
        <rFont val="Noto Sans CJK SC"/>
        <family val="2"/>
      </rPr>
      <t xml:space="preserve">第 </t>
    </r>
    <r>
      <rPr>
        <sz val="8"/>
        <color rgb="FF404040"/>
        <rFont val="Arial"/>
        <family val="0"/>
        <charset val="1"/>
      </rPr>
      <t xml:space="preserve">06 </t>
    </r>
    <r>
      <rPr>
        <sz val="8"/>
        <color rgb="FF404040"/>
        <rFont val="Noto Sans CJK SC"/>
        <family val="2"/>
      </rPr>
      <t xml:space="preserve">节结果，已计入股数递减与逐年 </t>
    </r>
    <r>
      <rPr>
        <sz val="8"/>
        <color rgb="FF404040"/>
        <rFont val="Arial"/>
        <family val="0"/>
        <charset val="1"/>
      </rPr>
      <t xml:space="preserve">P/E</t>
    </r>
  </si>
  <si>
    <r>
      <rPr>
        <b val="true"/>
        <sz val="9"/>
        <color rgb="FF000000"/>
        <rFont val="Arial"/>
        <family val="0"/>
        <charset val="1"/>
      </rPr>
      <t xml:space="preserve">12 </t>
    </r>
    <r>
      <rPr>
        <b val="true"/>
        <sz val="9"/>
        <color rgb="FF000000"/>
        <rFont val="Noto Sans CJK SC"/>
        <family val="2"/>
      </rPr>
      <t xml:space="preserve">个月目标价（</t>
    </r>
    <r>
      <rPr>
        <b val="true"/>
        <sz val="9"/>
        <color rgb="FF000000"/>
        <rFont val="Arial"/>
        <family val="0"/>
        <charset val="1"/>
      </rPr>
      <t xml:space="preserve">FY27</t>
    </r>
    <r>
      <rPr>
        <b val="true"/>
        <sz val="9"/>
        <color rgb="FF000000"/>
        <rFont val="Noto Sans CJK SC"/>
        <family val="2"/>
      </rPr>
      <t xml:space="preserve">）</t>
    </r>
  </si>
  <si>
    <r>
      <rPr>
        <sz val="8"/>
        <color rgb="FF404040"/>
        <rFont val="Arial"/>
        <family val="0"/>
        <charset val="1"/>
      </rPr>
      <t xml:space="preserve">FY27 EPS × FY27 </t>
    </r>
    <r>
      <rPr>
        <sz val="8"/>
        <color rgb="FF404040"/>
        <rFont val="Noto Sans CJK SC"/>
        <family val="2"/>
      </rPr>
      <t xml:space="preserve">的 </t>
    </r>
    <r>
      <rPr>
        <sz val="8"/>
        <color rgb="FF404040"/>
        <rFont val="Arial"/>
        <family val="0"/>
        <charset val="1"/>
      </rPr>
      <t xml:space="preserve">P/E</t>
    </r>
    <r>
      <rPr>
        <sz val="8"/>
        <color rgb="FF404040"/>
        <rFont val="Noto Sans CJK SC"/>
        <family val="2"/>
      </rPr>
      <t xml:space="preserve">，与卖方一致目标价可比</t>
    </r>
  </si>
  <si>
    <t xml:space="preserve">当前股价</t>
  </si>
  <si>
    <t xml:space="preserve">2026-08-26</t>
  </si>
  <si>
    <r>
      <rPr>
        <sz val="8"/>
        <color rgb="FF404040"/>
        <rFont val="Arial"/>
        <family val="0"/>
        <charset val="1"/>
      </rPr>
      <t xml:space="preserve">S&amp;P Global </t>
    </r>
    <r>
      <rPr>
        <sz val="8"/>
        <color rgb="FF404040"/>
        <rFont val="Noto Sans CJK SC"/>
        <family val="2"/>
      </rPr>
      <t xml:space="preserve">汇总 </t>
    </r>
    <r>
      <rPr>
        <sz val="8"/>
        <color rgb="FF404040"/>
        <rFont val="Arial"/>
        <family val="0"/>
        <charset val="1"/>
      </rPr>
      <t xml:space="preserve">24 </t>
    </r>
    <r>
      <rPr>
        <sz val="8"/>
        <color rgb="FF404040"/>
        <rFont val="Noto Sans CJK SC"/>
        <family val="2"/>
      </rPr>
      <t xml:space="preserve">家机构；最低 </t>
    </r>
    <r>
      <rPr>
        <sz val="8"/>
        <color rgb="FF404040"/>
        <rFont val="Arial"/>
        <family val="0"/>
        <charset val="1"/>
      </rPr>
      <t xml:space="preserve">$1,000</t>
    </r>
    <r>
      <rPr>
        <sz val="8"/>
        <color rgb="FF404040"/>
        <rFont val="Noto Sans CJK SC"/>
        <family val="2"/>
      </rPr>
      <t xml:space="preserve">、最高 </t>
    </r>
    <r>
      <rPr>
        <sz val="8"/>
        <color rgb="FF404040"/>
        <rFont val="Arial"/>
        <family val="0"/>
        <charset val="1"/>
      </rPr>
      <t xml:space="preserve">$3,600</t>
    </r>
  </si>
  <si>
    <r>
      <rPr>
        <b val="true"/>
        <sz val="11"/>
        <color rgb="FFFFFFFF"/>
        <rFont val="Arial"/>
        <family val="0"/>
        <charset val="1"/>
      </rPr>
      <t xml:space="preserve">11  </t>
    </r>
    <r>
      <rPr>
        <b val="true"/>
        <sz val="11"/>
        <color rgb="FFFFFFFF"/>
        <rFont val="Noto Sans CJK SC"/>
        <family val="2"/>
      </rPr>
      <t xml:space="preserve">图表数据源（下方全部图表由本区驱动）</t>
    </r>
  </si>
  <si>
    <t xml:space="preserve">FY26A</t>
  </si>
  <si>
    <r>
      <rPr>
        <b val="true"/>
        <sz val="9"/>
        <color rgb="FF000000"/>
        <rFont val="Noto Sans CJK SC"/>
        <family val="2"/>
      </rPr>
      <t xml:space="preserve">营业利润 </t>
    </r>
    <r>
      <rPr>
        <b val="true"/>
        <sz val="9"/>
        <color rgb="FF000000"/>
        <rFont val="Arial"/>
        <family val="0"/>
        <charset val="1"/>
      </rPr>
      <t xml:space="preserve">EBIT</t>
    </r>
  </si>
  <si>
    <r>
      <rPr>
        <b val="true"/>
        <sz val="9"/>
        <color rgb="FF000000"/>
        <rFont val="Noto Sans CJK SC"/>
        <family val="2"/>
      </rPr>
      <t xml:space="preserve">税后经营利润 </t>
    </r>
    <r>
      <rPr>
        <b val="true"/>
        <sz val="9"/>
        <color rgb="FF000000"/>
        <rFont val="Arial"/>
        <family val="0"/>
        <charset val="1"/>
      </rPr>
      <t xml:space="preserve">NOPAT</t>
    </r>
  </si>
  <si>
    <r>
      <rPr>
        <b val="true"/>
        <sz val="9"/>
        <color rgb="FF000000"/>
        <rFont val="Noto Sans CJK SC"/>
        <family val="2"/>
      </rPr>
      <t xml:space="preserve">自由现金流 </t>
    </r>
    <r>
      <rPr>
        <b val="true"/>
        <sz val="9"/>
        <color rgb="FF000000"/>
        <rFont val="Arial"/>
        <family val="0"/>
        <charset val="1"/>
      </rPr>
      <t xml:space="preserve">FCFF</t>
    </r>
  </si>
  <si>
    <t xml:space="preserve">营业利润率</t>
  </si>
  <si>
    <r>
      <rPr>
        <b val="true"/>
        <sz val="9"/>
        <color rgb="FF000000"/>
        <rFont val="Arial"/>
        <family val="0"/>
        <charset val="1"/>
      </rPr>
      <t xml:space="preserve">FCFF </t>
    </r>
    <r>
      <rPr>
        <b val="true"/>
        <sz val="9"/>
        <color rgb="FF000000"/>
        <rFont val="Noto Sans CJK SC"/>
        <family val="2"/>
      </rPr>
      <t xml:space="preserve">利润率</t>
    </r>
  </si>
  <si>
    <r>
      <rPr>
        <b val="true"/>
        <sz val="9"/>
        <color rgb="FF000000"/>
        <rFont val="Noto Sans CJK SC"/>
        <family val="2"/>
      </rPr>
      <t xml:space="preserve">摊薄每股收益 </t>
    </r>
    <r>
      <rPr>
        <b val="true"/>
        <sz val="9"/>
        <color rgb="FF000000"/>
        <rFont val="Arial"/>
        <family val="0"/>
        <charset val="1"/>
      </rPr>
      <t xml:space="preserve">EPS</t>
    </r>
  </si>
  <si>
    <r>
      <rPr>
        <b val="true"/>
        <sz val="9"/>
        <color rgb="FF000000"/>
        <rFont val="Noto Sans CJK SC"/>
        <family val="2"/>
      </rPr>
      <t xml:space="preserve">收入增速 </t>
    </r>
    <r>
      <rPr>
        <b val="true"/>
        <sz val="9"/>
        <color rgb="FF000000"/>
        <rFont val="Arial"/>
        <family val="0"/>
        <charset val="1"/>
      </rPr>
      <t xml:space="preserve">YoY</t>
    </r>
  </si>
  <si>
    <r>
      <rPr>
        <b val="true"/>
        <sz val="9"/>
        <color rgb="FF000000"/>
        <rFont val="Noto Sans CJK SC"/>
        <family val="2"/>
      </rPr>
      <t xml:space="preserve">经营性每股收益 </t>
    </r>
    <r>
      <rPr>
        <b val="true"/>
        <sz val="9"/>
        <color rgb="FF000000"/>
        <rFont val="Arial"/>
        <family val="0"/>
        <charset val="1"/>
      </rPr>
      <t xml:space="preserve">EPS</t>
    </r>
  </si>
  <si>
    <r>
      <rPr>
        <sz val="9"/>
        <color rgb="FF3D3D3D"/>
        <rFont val="Arial"/>
        <family val="0"/>
        <charset val="1"/>
      </rPr>
      <t xml:space="preserve">FY26A </t>
    </r>
    <r>
      <rPr>
        <sz val="9"/>
        <color rgb="FF3D3D3D"/>
        <rFont val="Noto Sans CJK SC"/>
        <family val="2"/>
      </rPr>
      <t xml:space="preserve">为公司实际数（取自 </t>
    </r>
    <r>
      <rPr>
        <sz val="9"/>
        <color rgb="FF3D3D3D"/>
        <rFont val="Arial"/>
        <family val="0"/>
        <charset val="1"/>
      </rPr>
      <t xml:space="preserve">00 </t>
    </r>
    <r>
      <rPr>
        <sz val="9"/>
        <color rgb="FF3D3D3D"/>
        <rFont val="Noto Sans CJK SC"/>
        <family val="2"/>
      </rPr>
      <t xml:space="preserve">表），</t>
    </r>
    <r>
      <rPr>
        <sz val="9"/>
        <color rgb="FF3D3D3D"/>
        <rFont val="Arial"/>
        <family val="0"/>
        <charset val="1"/>
      </rPr>
      <t xml:space="preserve">FY27–FY32 </t>
    </r>
    <r>
      <rPr>
        <sz val="9"/>
        <color rgb="FF3D3D3D"/>
        <rFont val="Noto Sans CJK SC"/>
        <family val="2"/>
      </rPr>
      <t xml:space="preserve">为本情形预测。</t>
    </r>
    <r>
      <rPr>
        <sz val="9"/>
        <color rgb="FF3D3D3D"/>
        <rFont val="Arial"/>
        <family val="0"/>
        <charset val="1"/>
      </rPr>
      <t xml:space="preserve">EPS </t>
    </r>
    <r>
      <rPr>
        <sz val="9"/>
        <color rgb="FF3D3D3D"/>
        <rFont val="Noto Sans CJK SC"/>
        <family val="2"/>
      </rPr>
      <t xml:space="preserve">一行用的是 </t>
    </r>
    <r>
      <rPr>
        <sz val="9"/>
        <color rgb="FF3D3D3D"/>
        <rFont val="Arial"/>
        <family val="0"/>
        <charset val="1"/>
      </rPr>
      <t xml:space="preserve">NOPAT ÷ </t>
    </r>
    <r>
      <rPr>
        <sz val="9"/>
        <color rgb="FF3D3D3D"/>
        <rFont val="Noto Sans CJK SC"/>
        <family val="2"/>
      </rPr>
      <t xml:space="preserve">摊薄股数，与 </t>
    </r>
    <r>
      <rPr>
        <sz val="9"/>
        <color rgb="FF3D3D3D"/>
        <rFont val="Arial"/>
        <family val="0"/>
        <charset val="1"/>
      </rPr>
      <t xml:space="preserve">GAAP EPS </t>
    </r>
    <r>
      <rPr>
        <sz val="9"/>
        <color rgb="FF3D3D3D"/>
        <rFont val="Noto Sans CJK SC"/>
        <family val="2"/>
      </rPr>
      <t xml:space="preserve">口径不同（不含利息收入与非经营损益），目的是与 </t>
    </r>
    <r>
      <rPr>
        <sz val="9"/>
        <color rgb="FF3D3D3D"/>
        <rFont val="Arial"/>
        <family val="0"/>
        <charset val="1"/>
      </rPr>
      <t xml:space="preserve">FCFF </t>
    </r>
    <r>
      <rPr>
        <sz val="9"/>
        <color rgb="FF3D3D3D"/>
        <rFont val="Noto Sans CJK SC"/>
        <family val="2"/>
      </rPr>
      <t xml:space="preserve">保持同一套口径。</t>
    </r>
  </si>
  <si>
    <r>
      <rPr>
        <sz val="9"/>
        <color rgb="FF3D3D3D"/>
        <rFont val="Noto Sans CJK SC"/>
        <family val="2"/>
      </rPr>
      <t xml:space="preserve">图表说明｜图 </t>
    </r>
    <r>
      <rPr>
        <sz val="9"/>
        <color rgb="FF3D3D3D"/>
        <rFont val="Arial"/>
        <family val="0"/>
        <charset val="1"/>
      </rPr>
      <t xml:space="preserve">1</t>
    </r>
    <r>
      <rPr>
        <sz val="9"/>
        <color rgb="FF3D3D3D"/>
        <rFont val="Noto Sans CJK SC"/>
        <family val="2"/>
      </rPr>
      <t xml:space="preserve">：收入、毛利、营业利润三根柱的相对高度，就是这个情形对「盈利能力能不能维持」的判断。｜图 </t>
    </r>
    <r>
      <rPr>
        <sz val="9"/>
        <color rgb="FF3D3D3D"/>
        <rFont val="Arial"/>
        <family val="0"/>
        <charset val="1"/>
      </rPr>
      <t xml:space="preserve">2</t>
    </r>
    <r>
      <rPr>
        <sz val="9"/>
        <color rgb="FF3D3D3D"/>
        <rFont val="Noto Sans CJK SC"/>
        <family val="2"/>
      </rPr>
      <t xml:space="preserve">：三条利润率曲线放在一起，可以直接对照投资者日的目标（毛利率 </t>
    </r>
    <r>
      <rPr>
        <sz val="9"/>
        <color rgb="FF3D3D3D"/>
        <rFont val="Arial"/>
        <family val="0"/>
        <charset val="1"/>
      </rPr>
      <t xml:space="preserve">80% / </t>
    </r>
    <r>
      <rPr>
        <sz val="9"/>
        <color rgb="FF3D3D3D"/>
        <rFont val="Noto Sans CJK SC"/>
        <family val="2"/>
      </rPr>
      <t xml:space="preserve">营业利润率 </t>
    </r>
    <r>
      <rPr>
        <sz val="9"/>
        <color rgb="FF3D3D3D"/>
        <rFont val="Arial"/>
        <family val="0"/>
        <charset val="1"/>
      </rPr>
      <t xml:space="preserve">75% / </t>
    </r>
    <r>
      <rPr>
        <sz val="9"/>
        <color rgb="FF3D3D3D"/>
        <rFont val="Noto Sans CJK SC"/>
        <family val="2"/>
      </rPr>
      <t xml:space="preserve">调整后 </t>
    </r>
    <r>
      <rPr>
        <sz val="9"/>
        <color rgb="FF3D3D3D"/>
        <rFont val="Arial"/>
        <family val="0"/>
        <charset val="1"/>
      </rPr>
      <t xml:space="preserve">FCF </t>
    </r>
    <r>
      <rPr>
        <sz val="9"/>
        <color rgb="FF3D3D3D"/>
        <rFont val="Noto Sans CJK SC"/>
        <family val="2"/>
      </rPr>
      <t xml:space="preserve">率 </t>
    </r>
    <r>
      <rPr>
        <sz val="9"/>
        <color rgb="FF3D3D3D"/>
        <rFont val="Arial"/>
        <family val="0"/>
        <charset val="1"/>
      </rPr>
      <t xml:space="preserve">50%</t>
    </r>
    <r>
      <rPr>
        <sz val="9"/>
        <color rgb="FF3D3D3D"/>
        <rFont val="Noto Sans CJK SC"/>
        <family val="2"/>
      </rPr>
      <t xml:space="preserve">）。｜图 </t>
    </r>
    <r>
      <rPr>
        <sz val="9"/>
        <color rgb="FF3D3D3D"/>
        <rFont val="Arial"/>
        <family val="0"/>
        <charset val="1"/>
      </rPr>
      <t xml:space="preserve">3</t>
    </r>
    <r>
      <rPr>
        <sz val="9"/>
        <color rgb="FF3D3D3D"/>
        <rFont val="Noto Sans CJK SC"/>
        <family val="2"/>
      </rPr>
      <t xml:space="preserve">：浅蓝柱是税后经营利润，深色柱是自由现金流——两者的差额来自资本开支与营运资本占用。｜图 </t>
    </r>
    <r>
      <rPr>
        <sz val="9"/>
        <color rgb="FF3D3D3D"/>
        <rFont val="Arial"/>
        <family val="0"/>
        <charset val="1"/>
      </rPr>
      <t xml:space="preserve">4</t>
    </r>
    <r>
      <rPr>
        <sz val="9"/>
        <color rgb="FF3D3D3D"/>
        <rFont val="Noto Sans CJK SC"/>
        <family val="2"/>
      </rPr>
      <t xml:space="preserve">：每股收益路径。｜图 </t>
    </r>
    <r>
      <rPr>
        <sz val="9"/>
        <color rgb="FF3D3D3D"/>
        <rFont val="Arial"/>
        <family val="0"/>
        <charset val="1"/>
      </rPr>
      <t xml:space="preserve">5</t>
    </r>
    <r>
      <rPr>
        <sz val="9"/>
        <color rgb="FF3D3D3D"/>
        <rFont val="Noto Sans CJK SC"/>
        <family val="2"/>
      </rPr>
      <t xml:space="preserve">：收入增速从 </t>
    </r>
    <r>
      <rPr>
        <sz val="9"/>
        <color rgb="FF3D3D3D"/>
        <rFont val="Arial"/>
        <family val="0"/>
        <charset val="1"/>
      </rPr>
      <t xml:space="preserve">FY26 </t>
    </r>
    <r>
      <rPr>
        <sz val="9"/>
        <color rgb="FF3D3D3D"/>
        <rFont val="Noto Sans CJK SC"/>
        <family val="2"/>
      </rPr>
      <t xml:space="preserve">的 </t>
    </r>
    <r>
      <rPr>
        <sz val="9"/>
        <color rgb="FF3D3D3D"/>
        <rFont val="Arial"/>
        <family val="0"/>
        <charset val="1"/>
      </rPr>
      <t xml:space="preserve">+175% </t>
    </r>
    <r>
      <rPr>
        <sz val="9"/>
        <color rgb="FF3D3D3D"/>
        <rFont val="Noto Sans CJK SC"/>
        <family val="2"/>
      </rPr>
      <t xml:space="preserve">回归常态的路径。｜图 </t>
    </r>
    <r>
      <rPr>
        <sz val="9"/>
        <color rgb="FF3D3D3D"/>
        <rFont val="Arial"/>
        <family val="0"/>
        <charset val="1"/>
      </rPr>
      <t xml:space="preserve">6</t>
    </r>
    <r>
      <rPr>
        <sz val="9"/>
        <color rgb="FF3D3D3D"/>
        <rFont val="Noto Sans CJK SC"/>
        <family val="2"/>
      </rPr>
      <t xml:space="preserve">：横条越靠右代表每股价值越高，五组颜色对应五档终局毛利率——条形之间的跨度就是「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价格假设」值多少钱。｜图 </t>
    </r>
    <r>
      <rPr>
        <sz val="9"/>
        <color rgb="FF3D3D3D"/>
        <rFont val="Arial"/>
        <family val="0"/>
        <charset val="1"/>
      </rPr>
      <t xml:space="preserve">7</t>
    </r>
    <r>
      <rPr>
        <sz val="9"/>
        <color rgb="FF3D3D3D"/>
        <rFont val="Noto Sans CJK SC"/>
        <family val="2"/>
      </rPr>
      <t xml:space="preserve">：回购把股本压到什么程度。柱子下降得越快，说明现金返还越猛。｜图 </t>
    </r>
    <r>
      <rPr>
        <sz val="9"/>
        <color rgb="FF3D3D3D"/>
        <rFont val="Arial"/>
        <family val="0"/>
        <charset val="1"/>
      </rPr>
      <t xml:space="preserve">8</t>
    </r>
    <r>
      <rPr>
        <sz val="9"/>
        <color rgb="FF3D3D3D"/>
        <rFont val="Noto Sans CJK SC"/>
        <family val="2"/>
      </rPr>
      <t xml:space="preserve">：四种口径并排——</t>
    </r>
    <r>
      <rPr>
        <sz val="9"/>
        <color rgb="FF3D3D3D"/>
        <rFont val="Arial"/>
        <family val="0"/>
        <charset val="1"/>
      </rPr>
      <t xml:space="preserve">DCF</t>
    </r>
    <r>
      <rPr>
        <sz val="9"/>
        <color rgb="FF3D3D3D"/>
        <rFont val="Noto Sans CJK SC"/>
        <family val="2"/>
      </rPr>
      <t xml:space="preserve">、含回购的 </t>
    </r>
    <r>
      <rPr>
        <sz val="9"/>
        <color rgb="FF3D3D3D"/>
        <rFont val="Arial"/>
        <family val="0"/>
        <charset val="1"/>
      </rPr>
      <t xml:space="preserve">EPS×P/E</t>
    </r>
    <r>
      <rPr>
        <sz val="9"/>
        <color rgb="FF3D3D3D"/>
        <rFont val="Noto Sans CJK SC"/>
        <family val="2"/>
      </rPr>
      <t xml:space="preserve">、</t>
    </r>
    <r>
      <rPr>
        <sz val="9"/>
        <color rgb="FF3D3D3D"/>
        <rFont val="Arial"/>
        <family val="0"/>
        <charset val="1"/>
      </rPr>
      <t xml:space="preserve">12 </t>
    </r>
    <r>
      <rPr>
        <sz val="9"/>
        <color rgb="FF3D3D3D"/>
        <rFont val="Noto Sans CJK SC"/>
        <family val="2"/>
      </rPr>
      <t xml:space="preserve">个月目标价、现价、卖方一致目标价。如果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与 </t>
    </r>
    <r>
      <rPr>
        <sz val="9"/>
        <color rgb="FF3D3D3D"/>
        <rFont val="Arial"/>
        <family val="0"/>
        <charset val="1"/>
      </rPr>
      <t xml:space="preserve">EPS×P/E </t>
    </r>
    <r>
      <rPr>
        <sz val="9"/>
        <color rgb="FF3D3D3D"/>
        <rFont val="Noto Sans CJK SC"/>
        <family val="2"/>
      </rPr>
      <t xml:space="preserve">差得很远，先去看第 </t>
    </r>
    <r>
      <rPr>
        <sz val="9"/>
        <color rgb="FF3D3D3D"/>
        <rFont val="Arial"/>
        <family val="0"/>
        <charset val="1"/>
      </rPr>
      <t xml:space="preserve">06 </t>
    </r>
    <r>
      <rPr>
        <sz val="9"/>
        <color rgb="FF3D3D3D"/>
        <rFont val="Noto Sans CJK SC"/>
        <family val="2"/>
      </rPr>
      <t xml:space="preserve">节第 ⑤ 行「本 </t>
    </r>
    <r>
      <rPr>
        <sz val="9"/>
        <color rgb="FF3D3D3D"/>
        <rFont val="Arial"/>
        <family val="0"/>
        <charset val="1"/>
      </rPr>
      <t xml:space="preserve">DCF </t>
    </r>
    <r>
      <rPr>
        <sz val="9"/>
        <color rgb="FF3D3D3D"/>
        <rFont val="Noto Sans CJK SC"/>
        <family val="2"/>
      </rPr>
      <t xml:space="preserve">隐含的退出 </t>
    </r>
    <r>
      <rPr>
        <sz val="9"/>
        <color rgb="FF3D3D3D"/>
        <rFont val="Arial"/>
        <family val="0"/>
        <charset val="1"/>
      </rPr>
      <t xml:space="preserve">P/E</t>
    </r>
    <r>
      <rPr>
        <sz val="9"/>
        <color rgb="FF3D3D3D"/>
        <rFont val="Noto Sans CJK SC"/>
        <family val="2"/>
      </rPr>
      <t xml:space="preserve">」。</t>
    </r>
  </si>
  <si>
    <r>
      <rPr>
        <b val="true"/>
        <sz val="16"/>
        <color rgb="FFFFFFFF"/>
        <rFont val="Arial"/>
        <family val="0"/>
        <charset val="1"/>
      </rPr>
      <t xml:space="preserve">BASE · MU </t>
    </r>
    <r>
      <rPr>
        <b val="true"/>
        <sz val="16"/>
        <color rgb="FFFFFFFF"/>
        <rFont val="Noto Sans CJK SC"/>
        <family val="2"/>
      </rPr>
      <t xml:space="preserve">现金流折现模型 —— 基准情形</t>
    </r>
  </si>
  <si>
    <r>
      <rPr>
        <sz val="9"/>
        <color rgb="FF3D3D3D"/>
        <rFont val="Noto Sans CJK SC"/>
        <family val="2"/>
      </rPr>
      <t xml:space="preserve">以公司 </t>
    </r>
    <r>
      <rPr>
        <sz val="9"/>
        <color rgb="FF3D3D3D"/>
        <rFont val="Arial"/>
        <family val="0"/>
        <charset val="1"/>
      </rPr>
      <t xml:space="preserve">FY26 Q4 </t>
    </r>
    <r>
      <rPr>
        <sz val="9"/>
        <color rgb="FF3D3D3D"/>
        <rFont val="Noto Sans CJK SC"/>
        <family val="2"/>
      </rPr>
      <t xml:space="preserve">指引（收入 </t>
    </r>
    <r>
      <rPr>
        <sz val="9"/>
        <color rgb="FF3D3D3D"/>
        <rFont val="Arial"/>
        <family val="0"/>
        <charset val="1"/>
      </rPr>
      <t xml:space="preserve">$500 </t>
    </r>
    <r>
      <rPr>
        <sz val="9"/>
        <color rgb="FF3D3D3D"/>
        <rFont val="Noto Sans CJK SC"/>
        <family val="2"/>
      </rPr>
      <t xml:space="preserve">亿、毛利率约 </t>
    </r>
    <r>
      <rPr>
        <sz val="9"/>
        <color rgb="FF3D3D3D"/>
        <rFont val="Arial"/>
        <family val="0"/>
        <charset val="1"/>
      </rPr>
      <t xml:space="preserve">86%</t>
    </r>
    <r>
      <rPr>
        <sz val="9"/>
        <color rgb="FF3D3D3D"/>
        <rFont val="Noto Sans CJK SC"/>
        <family val="2"/>
      </rPr>
      <t xml:space="preserve">）为起点。管理层称供需紧张将持续到 </t>
    </r>
    <r>
      <rPr>
        <sz val="9"/>
        <color rgb="FF3D3D3D"/>
        <rFont val="Arial"/>
        <family val="0"/>
        <charset val="1"/>
      </rPr>
      <t xml:space="preserve">2027 </t>
    </r>
    <r>
      <rPr>
        <sz val="9"/>
        <color rgb="FF3D3D3D"/>
        <rFont val="Noto Sans CJK SC"/>
        <family val="2"/>
      </rPr>
      <t xml:space="preserve">日历年之后，但本情形不完全接受「周期已被 </t>
    </r>
    <r>
      <rPr>
        <sz val="9"/>
        <color rgb="FF3D3D3D"/>
        <rFont val="Arial"/>
        <family val="0"/>
        <charset val="1"/>
      </rPr>
      <t xml:space="preserve">SCA </t>
    </r>
    <r>
      <rPr>
        <sz val="9"/>
        <color rgb="FF3D3D3D"/>
        <rFont val="Noto Sans CJK SC"/>
        <family val="2"/>
      </rPr>
      <t xml:space="preserve">消灭」。★ 关键差异：</t>
    </r>
    <r>
      <rPr>
        <sz val="9"/>
        <color rgb="FF3D3D3D"/>
        <rFont val="Arial"/>
        <family val="0"/>
        <charset val="1"/>
      </rPr>
      <t xml:space="preserve">MU </t>
    </r>
    <r>
      <rPr>
        <sz val="9"/>
        <color rgb="FF3D3D3D"/>
        <rFont val="Noto Sans CJK SC"/>
        <family val="2"/>
      </rPr>
      <t xml:space="preserve">约 </t>
    </r>
    <r>
      <rPr>
        <sz val="9"/>
        <color rgb="FF3D3D3D"/>
        <rFont val="Arial"/>
        <family val="0"/>
        <charset val="1"/>
      </rPr>
      <t xml:space="preserve">76% </t>
    </r>
    <r>
      <rPr>
        <sz val="9"/>
        <color rgb="FF3D3D3D"/>
        <rFont val="Noto Sans CJK SC"/>
        <family val="2"/>
      </rPr>
      <t xml:space="preserve">收入来自 </t>
    </r>
    <r>
      <rPr>
        <sz val="9"/>
        <color rgb="FF3D3D3D"/>
        <rFont val="Arial"/>
        <family val="0"/>
        <charset val="1"/>
      </rPr>
      <t xml:space="preserve">DRAM</t>
    </r>
    <r>
      <rPr>
        <sz val="9"/>
        <color rgb="FF3D3D3D"/>
        <rFont val="Noto Sans CJK SC"/>
        <family val="2"/>
      </rPr>
      <t xml:space="preserve">，而《缺口的算术》的结论是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在 </t>
    </r>
    <r>
      <rPr>
        <sz val="9"/>
        <color rgb="FF3D3D3D"/>
        <rFont val="Arial"/>
        <family val="0"/>
        <charset val="1"/>
      </rPr>
      <t xml:space="preserve">2027 </t>
    </r>
    <r>
      <rPr>
        <sz val="9"/>
        <color rgb="FF3D3D3D"/>
        <rFont val="Noto Sans CJK SC"/>
        <family val="2"/>
      </rPr>
      <t xml:space="preserve">年转过剩、</t>
    </r>
    <r>
      <rPr>
        <sz val="9"/>
        <color rgb="FF3D3D3D"/>
        <rFont val="Arial"/>
        <family val="0"/>
        <charset val="1"/>
      </rPr>
      <t xml:space="preserve">DRAM </t>
    </r>
    <r>
      <rPr>
        <sz val="9"/>
        <color rgb="FF3D3D3D"/>
        <rFont val="Noto Sans CJK SC"/>
        <family val="2"/>
      </rPr>
      <t xml:space="preserve">仍然偏紧——这意味着 </t>
    </r>
    <r>
      <rPr>
        <sz val="9"/>
        <color rgb="FF3D3D3D"/>
        <rFont val="Arial"/>
        <family val="0"/>
        <charset val="1"/>
      </rPr>
      <t xml:space="preserve">MU </t>
    </r>
    <r>
      <rPr>
        <sz val="9"/>
        <color rgb="FF3D3D3D"/>
        <rFont val="Noto Sans CJK SC"/>
        <family val="2"/>
      </rPr>
      <t xml:space="preserve">的下行风险结构性小于纯 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标的。本情形假设 </t>
    </r>
    <r>
      <rPr>
        <sz val="9"/>
        <color rgb="FF3D3D3D"/>
        <rFont val="Arial"/>
        <family val="0"/>
        <charset val="1"/>
      </rPr>
      <t xml:space="preserve">FY27 </t>
    </r>
    <r>
      <rPr>
        <sz val="9"/>
        <color rgb="FF3D3D3D"/>
        <rFont val="Noto Sans CJK SC"/>
        <family val="2"/>
      </rPr>
      <t xml:space="preserve">见顶、</t>
    </r>
    <r>
      <rPr>
        <sz val="9"/>
        <color rgb="FF3D3D3D"/>
        <rFont val="Arial"/>
        <family val="0"/>
        <charset val="1"/>
      </rPr>
      <t xml:space="preserve">FY28 </t>
    </r>
    <r>
      <rPr>
        <sz val="9"/>
        <color rgb="FF3D3D3D"/>
        <rFont val="Noto Sans CJK SC"/>
        <family val="2"/>
      </rPr>
      <t xml:space="preserve">温和回落一年，之后毛利率稳定在 </t>
    </r>
    <r>
      <rPr>
        <sz val="9"/>
        <color rgb="FF3D3D3D"/>
        <rFont val="Arial"/>
        <family val="0"/>
        <charset val="1"/>
      </rPr>
      <t xml:space="preserve">68%–72% </t>
    </r>
    <r>
      <rPr>
        <sz val="9"/>
        <color rgb="FF3D3D3D"/>
        <rFont val="Noto Sans CJK SC"/>
        <family val="2"/>
      </rPr>
      <t xml:space="preserve">的新中枢。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</si>
  <si>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1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FY27 Q1 </t>
    </r>
    <r>
      <rPr>
        <sz val="9"/>
        <color rgb="FF303030"/>
        <rFont val="Noto Sans CJK SC"/>
        <family val="2"/>
      </rPr>
      <t xml:space="preserve">取 </t>
    </r>
    <r>
      <rPr>
        <sz val="9"/>
        <color rgb="FF303030"/>
        <rFont val="Arial"/>
        <family val="0"/>
        <charset val="1"/>
      </rPr>
      <t xml:space="preserve">$530 </t>
    </r>
    <r>
      <rPr>
        <sz val="9"/>
        <color rgb="FF303030"/>
        <rFont val="Noto Sans CJK SC"/>
        <family val="2"/>
      </rPr>
      <t xml:space="preserve">亿（较 </t>
    </r>
    <r>
      <rPr>
        <sz val="9"/>
        <color rgb="FF303030"/>
        <rFont val="Arial"/>
        <family val="0"/>
        <charset val="1"/>
      </rPr>
      <t xml:space="preserve">FY26 Q4 </t>
    </r>
    <r>
      <rPr>
        <sz val="9"/>
        <color rgb="FF303030"/>
        <rFont val="Noto Sans CJK SC"/>
        <family val="2"/>
      </rPr>
      <t xml:space="preserve">指引 </t>
    </r>
    <r>
      <rPr>
        <sz val="9"/>
        <color rgb="FF303030"/>
        <rFont val="Arial"/>
        <family val="0"/>
        <charset val="1"/>
      </rPr>
      <t xml:space="preserve">$500 </t>
    </r>
    <r>
      <rPr>
        <sz val="9"/>
        <color rgb="FF303030"/>
        <rFont val="Noto Sans CJK SC"/>
        <family val="2"/>
      </rPr>
      <t xml:space="preserve">亿环比 </t>
    </r>
    <r>
      <rPr>
        <sz val="9"/>
        <color rgb="FF303030"/>
        <rFont val="Arial"/>
        <family val="0"/>
        <charset val="1"/>
      </rPr>
      <t xml:space="preserve">+6%</t>
    </r>
    <r>
      <rPr>
        <sz val="9"/>
        <color rgb="FF303030"/>
        <rFont val="Noto Sans CJK SC"/>
        <family val="2"/>
      </rPr>
      <t xml:space="preserve">），全年 </t>
    </r>
    <r>
      <rPr>
        <sz val="9"/>
        <color rgb="FF303030"/>
        <rFont val="Arial"/>
        <family val="0"/>
        <charset val="1"/>
      </rPr>
      <t xml:space="preserve">$2,050 </t>
    </r>
    <r>
      <rPr>
        <sz val="9"/>
        <color rgb="FF303030"/>
        <rFont val="Noto Sans CJK SC"/>
        <family val="2"/>
      </rPr>
      <t xml:space="preserve">亿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</si>
  <si>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2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FY28 </t>
    </r>
    <r>
      <rPr>
        <sz val="9"/>
        <color rgb="FF303030"/>
        <rFont val="Noto Sans CJK SC"/>
        <family val="2"/>
      </rPr>
      <t xml:space="preserve">收入 −</t>
    </r>
    <r>
      <rPr>
        <sz val="9"/>
        <color rgb="FF303030"/>
        <rFont val="Arial"/>
        <family val="0"/>
        <charset val="1"/>
      </rPr>
      <t xml:space="preserve">20%</t>
    </r>
    <r>
      <rPr>
        <sz val="9"/>
        <color rgb="FF303030"/>
        <rFont val="Noto Sans CJK SC"/>
        <family val="2"/>
      </rPr>
      <t xml:space="preserve">：一次温和的价格修正，而非崩塌；</t>
    </r>
    <r>
      <rPr>
        <sz val="9"/>
        <color rgb="FF303030"/>
        <rFont val="Arial"/>
        <family val="0"/>
        <charset val="1"/>
      </rPr>
      <t xml:space="preserve">DRAM </t>
    </r>
    <r>
      <rPr>
        <sz val="9"/>
        <color rgb="FF303030"/>
        <rFont val="Noto Sans CJK SC"/>
        <family val="2"/>
      </rPr>
      <t xml:space="preserve">的紧张度好于 </t>
    </r>
    <r>
      <rPr>
        <sz val="9"/>
        <color rgb="FF303030"/>
        <rFont val="Arial"/>
        <family val="0"/>
        <charset val="1"/>
      </rPr>
      <t xml:space="preserve">NAND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</si>
  <si>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3</t>
    </r>
    <r>
      <rPr>
        <sz val="9"/>
        <color rgb="FF303030"/>
        <rFont val="Noto Sans CJK SC"/>
        <family val="2"/>
      </rPr>
      <t xml:space="preserve">．★ </t>
    </r>
    <r>
      <rPr>
        <sz val="9"/>
        <color rgb="FF303030"/>
        <rFont val="Arial"/>
        <family val="0"/>
        <charset val="1"/>
      </rPr>
      <t xml:space="preserve">SCA </t>
    </r>
    <r>
      <rPr>
        <sz val="9"/>
        <color rgb="FF303030"/>
        <rFont val="Noto Sans CJK SC"/>
        <family val="2"/>
      </rPr>
      <t xml:space="preserve">覆盖约 </t>
    </r>
    <r>
      <rPr>
        <sz val="9"/>
        <color rgb="FF303030"/>
        <rFont val="Arial"/>
        <family val="0"/>
        <charset val="1"/>
      </rPr>
      <t xml:space="preserve">20% DRAM </t>
    </r>
    <r>
      <rPr>
        <sz val="9"/>
        <color rgb="FF303030"/>
        <rFont val="Noto Sans CJK SC"/>
        <family val="2"/>
      </rPr>
      <t xml:space="preserve">量 </t>
    </r>
    <r>
      <rPr>
        <sz val="9"/>
        <color rgb="FF303030"/>
        <rFont val="Arial"/>
        <family val="0"/>
        <charset val="1"/>
      </rPr>
      <t xml:space="preserve">+ </t>
    </r>
    <r>
      <rPr>
        <sz val="9"/>
        <color rgb="FF303030"/>
        <rFont val="Noto Sans CJK SC"/>
        <family val="2"/>
      </rPr>
      <t xml:space="preserve">三分之一 </t>
    </r>
    <r>
      <rPr>
        <sz val="9"/>
        <color rgb="FF303030"/>
        <rFont val="Arial"/>
        <family val="0"/>
        <charset val="1"/>
      </rPr>
      <t xml:space="preserve">NAND </t>
    </r>
    <r>
      <rPr>
        <sz val="9"/>
        <color rgb="FF303030"/>
        <rFont val="Noto Sans CJK SC"/>
        <family val="2"/>
      </rPr>
      <t xml:space="preserve">量、</t>
    </r>
    <r>
      <rPr>
        <sz val="9"/>
        <color rgb="FF303030"/>
        <rFont val="Arial"/>
        <family val="0"/>
        <charset val="1"/>
      </rPr>
      <t xml:space="preserve">$1,000 </t>
    </r>
    <r>
      <rPr>
        <sz val="9"/>
        <color rgb="FF303030"/>
        <rFont val="Noto Sans CJK SC"/>
        <family val="2"/>
      </rPr>
      <t xml:space="preserve">亿最低合约收入，构成价格地板但不是全部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</si>
  <si>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4</t>
    </r>
    <r>
      <rPr>
        <sz val="9"/>
        <color rgb="FF303030"/>
        <rFont val="Noto Sans CJK SC"/>
        <family val="2"/>
      </rPr>
      <t xml:space="preserve">．终局毛利率 </t>
    </r>
    <r>
      <rPr>
        <sz val="9"/>
        <color rgb="FF303030"/>
        <rFont val="Arial"/>
        <family val="0"/>
        <charset val="1"/>
      </rPr>
      <t xml:space="preserve">68%</t>
    </r>
    <r>
      <rPr>
        <sz val="9"/>
        <color rgb="FF303030"/>
        <rFont val="Noto Sans CJK SC"/>
        <family val="2"/>
      </rPr>
      <t xml:space="preserve">，远高于 </t>
    </r>
    <r>
      <rPr>
        <sz val="9"/>
        <color rgb="FF303030"/>
        <rFont val="Arial"/>
        <family val="0"/>
        <charset val="1"/>
      </rPr>
      <t xml:space="preserve">FY25 </t>
    </r>
    <r>
      <rPr>
        <sz val="9"/>
        <color rgb="FF303030"/>
        <rFont val="Noto Sans CJK SC"/>
        <family val="2"/>
      </rPr>
      <t xml:space="preserve">的 </t>
    </r>
    <r>
      <rPr>
        <sz val="9"/>
        <color rgb="FF303030"/>
        <rFont val="Arial"/>
        <family val="0"/>
        <charset val="1"/>
      </rPr>
      <t xml:space="preserve">40.2%</t>
    </r>
    <r>
      <rPr>
        <sz val="9"/>
        <color rgb="FF303030"/>
        <rFont val="Noto Sans CJK SC"/>
        <family val="2"/>
      </rPr>
      <t xml:space="preserve">，但低于当前的 </t>
    </r>
    <r>
      <rPr>
        <sz val="9"/>
        <color rgb="FF303030"/>
        <rFont val="Arial"/>
        <family val="0"/>
        <charset val="1"/>
      </rPr>
      <t xml:space="preserve">86%</t>
    </r>
  </si>
  <si>
    <r>
      <rPr>
        <b val="true"/>
        <sz val="9"/>
        <color rgb="FF16305B"/>
        <rFont val="Arial"/>
        <family val="0"/>
        <charset val="1"/>
      </rPr>
      <t xml:space="preserve">$2,050 </t>
    </r>
    <r>
      <rPr>
        <b val="true"/>
        <sz val="9"/>
        <color rgb="FF16305B"/>
        <rFont val="Noto Sans CJK SC"/>
        <family val="2"/>
      </rPr>
      <t xml:space="preserve">亿（</t>
    </r>
    <r>
      <rPr>
        <b val="true"/>
        <sz val="9"/>
        <color rgb="FF16305B"/>
        <rFont val="Arial"/>
        <family val="0"/>
        <charset val="1"/>
      </rPr>
      <t xml:space="preserve">Q2 </t>
    </r>
    <r>
      <rPr>
        <b val="true"/>
        <sz val="9"/>
        <color rgb="FF16305B"/>
        <rFont val="Noto Sans CJK SC"/>
        <family val="2"/>
      </rPr>
      <t xml:space="preserve">见顶后回落）</t>
    </r>
  </si>
  <si>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指引 </t>
    </r>
    <r>
      <rPr>
        <sz val="8"/>
        <color rgb="FF404040"/>
        <rFont val="Arial"/>
        <family val="0"/>
        <charset val="1"/>
      </rPr>
      <t xml:space="preserve">$500 </t>
    </r>
    <r>
      <rPr>
        <sz val="8"/>
        <color rgb="FF404040"/>
        <rFont val="Noto Sans CJK SC"/>
        <family val="2"/>
      </rPr>
      <t xml:space="preserve">亿（年化 </t>
    </r>
    <r>
      <rPr>
        <sz val="8"/>
        <color rgb="FF404040"/>
        <rFont val="Arial"/>
        <family val="0"/>
        <charset val="1"/>
      </rPr>
      <t xml:space="preserve">$2,000 </t>
    </r>
    <r>
      <rPr>
        <sz val="8"/>
        <color rgb="FF404040"/>
        <rFont val="Noto Sans CJK SC"/>
        <family val="2"/>
      </rPr>
      <t xml:space="preserve">亿）</t>
    </r>
  </si>
  <si>
    <r>
      <rPr>
        <sz val="8"/>
        <color rgb="FF303030"/>
        <rFont val="Noto Sans CJK SC"/>
        <family val="2"/>
      </rPr>
      <t xml:space="preserve">起点取 </t>
    </r>
    <r>
      <rPr>
        <sz val="8"/>
        <color rgb="FF303030"/>
        <rFont val="Arial"/>
        <family val="0"/>
        <charset val="1"/>
      </rPr>
      <t xml:space="preserve">FY26 Q4 </t>
    </r>
    <r>
      <rPr>
        <sz val="8"/>
        <color rgb="FF303030"/>
        <rFont val="Noto Sans CJK SC"/>
        <family val="2"/>
      </rPr>
      <t xml:space="preserve">指引环比 </t>
    </r>
    <r>
      <rPr>
        <sz val="8"/>
        <color rgb="FF303030"/>
        <rFont val="Arial"/>
        <family val="0"/>
        <charset val="1"/>
      </rPr>
      <t xml:space="preserve">+6%</t>
    </r>
    <r>
      <rPr>
        <sz val="8"/>
        <color rgb="FF303030"/>
        <rFont val="Noto Sans CJK SC"/>
        <family val="2"/>
      </rPr>
      <t xml:space="preserve">。★ 本情形与纯 </t>
    </r>
    <r>
      <rPr>
        <sz val="8"/>
        <color rgb="FF303030"/>
        <rFont val="Arial"/>
        <family val="0"/>
        <charset val="1"/>
      </rPr>
      <t xml:space="preserve">NAND </t>
    </r>
    <r>
      <rPr>
        <sz val="8"/>
        <color rgb="FF303030"/>
        <rFont val="Noto Sans CJK SC"/>
        <family val="2"/>
      </rPr>
      <t xml:space="preserve">标的的关键分歧：</t>
    </r>
    <r>
      <rPr>
        <sz val="8"/>
        <color rgb="FF303030"/>
        <rFont val="Arial"/>
        <family val="0"/>
        <charset val="1"/>
      </rPr>
      <t xml:space="preserve">MU </t>
    </r>
    <r>
      <rPr>
        <sz val="8"/>
        <color rgb="FF303030"/>
        <rFont val="Noto Sans CJK SC"/>
        <family val="2"/>
      </rPr>
      <t xml:space="preserve">约 </t>
    </r>
    <r>
      <rPr>
        <sz val="8"/>
        <color rgb="FF303030"/>
        <rFont val="Arial"/>
        <family val="0"/>
        <charset val="1"/>
      </rPr>
      <t xml:space="preserve">76% </t>
    </r>
    <r>
      <rPr>
        <sz val="8"/>
        <color rgb="FF303030"/>
        <rFont val="Noto Sans CJK SC"/>
        <family val="2"/>
      </rPr>
      <t xml:space="preserve">收入来自 </t>
    </r>
    <r>
      <rPr>
        <sz val="8"/>
        <color rgb="FF303030"/>
        <rFont val="Arial"/>
        <family val="0"/>
        <charset val="1"/>
      </rPr>
      <t xml:space="preserve">DRAM</t>
    </r>
    <r>
      <rPr>
        <sz val="8"/>
        <color rgb="FF303030"/>
        <rFont val="Noto Sans CJK SC"/>
        <family val="2"/>
      </rPr>
      <t xml:space="preserve">（</t>
    </r>
    <r>
      <rPr>
        <sz val="8"/>
        <color rgb="FF303030"/>
        <rFont val="Arial"/>
        <family val="0"/>
        <charset val="1"/>
      </rPr>
      <t xml:space="preserve">FY26 Q3 DRAM $313 </t>
    </r>
    <r>
      <rPr>
        <sz val="8"/>
        <color rgb="FF303030"/>
        <rFont val="Noto Sans CJK SC"/>
        <family val="2"/>
      </rPr>
      <t xml:space="preserve">亿），而《缺口的算术》的结论是 </t>
    </r>
    <r>
      <rPr>
        <sz val="8"/>
        <color rgb="FF303030"/>
        <rFont val="Arial"/>
        <family val="0"/>
        <charset val="1"/>
      </rPr>
      <t xml:space="preserve">NAND </t>
    </r>
    <r>
      <rPr>
        <sz val="8"/>
        <color rgb="FF303030"/>
        <rFont val="Noto Sans CJK SC"/>
        <family val="2"/>
      </rPr>
      <t xml:space="preserve">在 </t>
    </r>
    <r>
      <rPr>
        <sz val="8"/>
        <color rgb="FF303030"/>
        <rFont val="Arial"/>
        <family val="0"/>
        <charset val="1"/>
      </rPr>
      <t xml:space="preserve">2027 </t>
    </r>
    <r>
      <rPr>
        <sz val="8"/>
        <color rgb="FF303030"/>
        <rFont val="Noto Sans CJK SC"/>
        <family val="2"/>
      </rPr>
      <t xml:space="preserve">年先转过剩、</t>
    </r>
    <r>
      <rPr>
        <sz val="8"/>
        <color rgb="FF303030"/>
        <rFont val="Arial"/>
        <family val="0"/>
        <charset val="1"/>
      </rPr>
      <t xml:space="preserve">DRAM </t>
    </r>
    <r>
      <rPr>
        <sz val="8"/>
        <color rgb="FF303030"/>
        <rFont val="Noto Sans CJK SC"/>
        <family val="2"/>
      </rPr>
      <t xml:space="preserve">仍偏紧——这构成 </t>
    </r>
    <r>
      <rPr>
        <sz val="8"/>
        <color rgb="FF303030"/>
        <rFont val="Arial"/>
        <family val="0"/>
        <charset val="1"/>
      </rPr>
      <t xml:space="preserve">MU </t>
    </r>
    <r>
      <rPr>
        <sz val="8"/>
        <color rgb="FF303030"/>
        <rFont val="Noto Sans CJK SC"/>
        <family val="2"/>
      </rPr>
      <t xml:space="preserve">相对 </t>
    </r>
    <r>
      <rPr>
        <sz val="8"/>
        <color rgb="FF303030"/>
        <rFont val="Arial"/>
        <family val="0"/>
        <charset val="1"/>
      </rPr>
      <t xml:space="preserve">SNDK </t>
    </r>
    <r>
      <rPr>
        <sz val="8"/>
        <color rgb="FF303030"/>
        <rFont val="Noto Sans CJK SC"/>
        <family val="2"/>
      </rPr>
      <t xml:space="preserve">的结构性优势。</t>
    </r>
  </si>
  <si>
    <r>
      <rPr>
        <sz val="8"/>
        <color rgb="FFB3202C"/>
        <rFont val="Arial"/>
        <family val="0"/>
        <charset val="1"/>
      </rPr>
      <t xml:space="preserve">DRAM </t>
    </r>
    <r>
      <rPr>
        <sz val="8"/>
        <color rgb="FFB3202C"/>
        <rFont val="Noto Sans CJK SC"/>
        <family val="2"/>
      </rPr>
      <t xml:space="preserve">与 </t>
    </r>
    <r>
      <rPr>
        <sz val="8"/>
        <color rgb="FFB3202C"/>
        <rFont val="Arial"/>
        <family val="0"/>
        <charset val="1"/>
      </rPr>
      <t xml:space="preserve">NAND </t>
    </r>
    <r>
      <rPr>
        <sz val="8"/>
        <color rgb="FFB3202C"/>
        <rFont val="Noto Sans CJK SC"/>
        <family val="2"/>
      </rPr>
      <t xml:space="preserve">的价格走势若开始同步，本情形的核心论据即失效</t>
    </r>
  </si>
  <si>
    <r>
      <rPr>
        <b val="true"/>
        <sz val="9"/>
        <color rgb="FF16305B"/>
        <rFont val="Noto Sans CJK SC"/>
        <family val="2"/>
      </rPr>
      <t xml:space="preserve">终局毛利率 </t>
    </r>
    <r>
      <rPr>
        <b val="true"/>
        <sz val="9"/>
        <color rgb="FF16305B"/>
        <rFont val="Arial"/>
        <family val="0"/>
        <charset val="1"/>
      </rPr>
      <t xml:space="preserve">68%</t>
    </r>
  </si>
  <si>
    <t xml:space="preserve">FY32 = 68%</t>
  </si>
  <si>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指引约 </t>
    </r>
    <r>
      <rPr>
        <sz val="8"/>
        <color rgb="FF404040"/>
        <rFont val="Arial"/>
        <family val="0"/>
        <charset val="1"/>
      </rPr>
      <t xml:space="preserve">86%</t>
    </r>
    <r>
      <rPr>
        <sz val="8"/>
        <color rgb="FF404040"/>
        <rFont val="Noto Sans CJK SC"/>
        <family val="2"/>
      </rPr>
      <t xml:space="preserve">；</t>
    </r>
    <r>
      <rPr>
        <sz val="8"/>
        <color rgb="FF404040"/>
        <rFont val="Arial"/>
        <family val="0"/>
        <charset val="1"/>
      </rPr>
      <t xml:space="preserve">FY25 </t>
    </r>
    <r>
      <rPr>
        <sz val="8"/>
        <color rgb="FF404040"/>
        <rFont val="Noto Sans CJK SC"/>
        <family val="2"/>
      </rPr>
      <t xml:space="preserve">全年 </t>
    </r>
    <r>
      <rPr>
        <sz val="8"/>
        <color rgb="FF404040"/>
        <rFont val="Arial"/>
        <family val="0"/>
        <charset val="1"/>
      </rPr>
      <t xml:space="preserve">40.2%</t>
    </r>
  </si>
  <si>
    <r>
      <rPr>
        <sz val="8"/>
        <color rgb="FF303030"/>
        <rFont val="Noto Sans CJK SC"/>
        <family val="2"/>
      </rPr>
      <t xml:space="preserve">介于当前峰值与历史中枢之间。支撑理由是 </t>
    </r>
    <r>
      <rPr>
        <sz val="8"/>
        <color rgb="FF303030"/>
        <rFont val="Arial"/>
        <family val="0"/>
        <charset val="1"/>
      </rPr>
      <t xml:space="preserve">SCA</t>
    </r>
    <r>
      <rPr>
        <sz val="8"/>
        <color rgb="FF303030"/>
        <rFont val="Noto Sans CJK SC"/>
        <family val="2"/>
      </rPr>
      <t xml:space="preserve">：</t>
    </r>
    <r>
      <rPr>
        <sz val="8"/>
        <color rgb="FF303030"/>
        <rFont val="Arial"/>
        <family val="0"/>
        <charset val="1"/>
      </rPr>
      <t xml:space="preserve">16 </t>
    </r>
    <r>
      <rPr>
        <sz val="8"/>
        <color rgb="FF303030"/>
        <rFont val="Noto Sans CJK SC"/>
        <family val="2"/>
      </rPr>
      <t xml:space="preserve">份照付不议协议、约 </t>
    </r>
    <r>
      <rPr>
        <sz val="8"/>
        <color rgb="FF303030"/>
        <rFont val="Arial"/>
        <family val="0"/>
        <charset val="1"/>
      </rPr>
      <t xml:space="preserve">$1,000 </t>
    </r>
    <r>
      <rPr>
        <sz val="8"/>
        <color rgb="FF303030"/>
        <rFont val="Noto Sans CJK SC"/>
        <family val="2"/>
      </rPr>
      <t xml:space="preserve">亿最低合约收入、</t>
    </r>
    <r>
      <rPr>
        <sz val="8"/>
        <color rgb="FF303030"/>
        <rFont val="Arial"/>
        <family val="0"/>
        <charset val="1"/>
      </rPr>
      <t xml:space="preserve">$220 </t>
    </r>
    <r>
      <rPr>
        <sz val="8"/>
        <color rgb="FF303030"/>
        <rFont val="Noto Sans CJK SC"/>
        <family val="2"/>
      </rPr>
      <t xml:space="preserve">亿客户资金承诺，覆盖约 </t>
    </r>
    <r>
      <rPr>
        <sz val="8"/>
        <color rgb="FF303030"/>
        <rFont val="Arial"/>
        <family val="0"/>
        <charset val="1"/>
      </rPr>
      <t xml:space="preserve">20% DRAM </t>
    </r>
    <r>
      <rPr>
        <sz val="8"/>
        <color rgb="FF303030"/>
        <rFont val="Noto Sans CJK SC"/>
        <family val="2"/>
      </rPr>
      <t xml:space="preserve">量与三分之一 </t>
    </r>
    <r>
      <rPr>
        <sz val="8"/>
        <color rgb="FF303030"/>
        <rFont val="Arial"/>
        <family val="0"/>
        <charset val="1"/>
      </rPr>
      <t xml:space="preserve">NAND </t>
    </r>
    <r>
      <rPr>
        <sz val="8"/>
        <color rgb="FF303030"/>
        <rFont val="Noto Sans CJK SC"/>
        <family val="2"/>
      </rPr>
      <t xml:space="preserve">量，管理层目标是把一半以上收入纳入 </t>
    </r>
    <r>
      <rPr>
        <sz val="8"/>
        <color rgb="FF303030"/>
        <rFont val="Arial"/>
        <family val="0"/>
        <charset val="1"/>
      </rPr>
      <t xml:space="preserve">SCA</t>
    </r>
    <r>
      <rPr>
        <sz val="8"/>
        <color rgb="FF303030"/>
        <rFont val="Noto Sans CJK SC"/>
        <family val="2"/>
      </rPr>
      <t xml:space="preserve">。但本情形不接受「</t>
    </r>
    <r>
      <rPr>
        <sz val="8"/>
        <color rgb="FF303030"/>
        <rFont val="Arial"/>
        <family val="0"/>
        <charset val="1"/>
      </rPr>
      <t xml:space="preserve">86% </t>
    </r>
    <r>
      <rPr>
        <sz val="8"/>
        <color rgb="FF303030"/>
        <rFont val="Noto Sans CJK SC"/>
        <family val="2"/>
      </rPr>
      <t xml:space="preserve">可以维持到永续」。</t>
    </r>
  </si>
  <si>
    <r>
      <rPr>
        <sz val="8"/>
        <color rgb="FFB3202C"/>
        <rFont val="Arial"/>
        <family val="0"/>
        <charset val="1"/>
      </rPr>
      <t xml:space="preserve">SCA </t>
    </r>
    <r>
      <rPr>
        <sz val="8"/>
        <color rgb="FFB3202C"/>
        <rFont val="Noto Sans CJK SC"/>
        <family val="2"/>
      </rPr>
      <t xml:space="preserve">签约进度停滞在 </t>
    </r>
    <r>
      <rPr>
        <sz val="8"/>
        <color rgb="FFB3202C"/>
        <rFont val="Arial"/>
        <family val="0"/>
        <charset val="1"/>
      </rPr>
      <t xml:space="preserve">20% </t>
    </r>
    <r>
      <rPr>
        <sz val="8"/>
        <color rgb="FFB3202C"/>
        <rFont val="Noto Sans CJK SC"/>
        <family val="2"/>
      </rPr>
      <t xml:space="preserve">一线；或续约价格显著低于当前合约价</t>
    </r>
  </si>
  <si>
    <r>
      <rPr>
        <b val="true"/>
        <sz val="9"/>
        <color rgb="FF16305B"/>
        <rFont val="Noto Sans CJK SC"/>
        <family val="2"/>
      </rPr>
      <t xml:space="preserve">资本开支率 </t>
    </r>
    <r>
      <rPr>
        <b val="true"/>
        <sz val="9"/>
        <color rgb="FF16305B"/>
        <rFont val="Arial"/>
        <family val="0"/>
        <charset val="1"/>
      </rPr>
      <t xml:space="preserve">18%</t>
    </r>
  </si>
  <si>
    <r>
      <rPr>
        <b val="true"/>
        <sz val="9"/>
        <color rgb="FF16305B"/>
        <rFont val="Noto Sans CJK SC"/>
        <family val="2"/>
      </rPr>
      <t xml:space="preserve">占收入 </t>
    </r>
    <r>
      <rPr>
        <b val="true"/>
        <sz val="9"/>
        <color rgb="FF16305B"/>
        <rFont val="Arial"/>
        <family val="0"/>
        <charset val="1"/>
      </rPr>
      <t xml:space="preserve">18%</t>
    </r>
  </si>
  <si>
    <r>
      <rPr>
        <sz val="8"/>
        <color rgb="FF404040"/>
        <rFont val="Arial"/>
        <family val="0"/>
        <charset val="1"/>
      </rPr>
      <t xml:space="preserve">FY25 36.9% / FY26 </t>
    </r>
    <r>
      <rPr>
        <sz val="8"/>
        <color rgb="FF404040"/>
        <rFont val="Noto Sans CJK SC"/>
        <family val="2"/>
      </rPr>
      <t xml:space="preserve">约 </t>
    </r>
    <r>
      <rPr>
        <sz val="8"/>
        <color rgb="FF404040"/>
        <rFont val="Arial"/>
        <family val="0"/>
        <charset val="1"/>
      </rPr>
      <t xml:space="preserve">20.9%</t>
    </r>
  </si>
  <si>
    <r>
      <rPr>
        <sz val="8"/>
        <color rgb="FF303030"/>
        <rFont val="Noto Sans CJK SC"/>
        <family val="2"/>
      </rPr>
      <t xml:space="preserve">管理层已明确 </t>
    </r>
    <r>
      <rPr>
        <sz val="8"/>
        <color rgb="FF303030"/>
        <rFont val="Arial"/>
        <family val="0"/>
        <charset val="1"/>
      </rPr>
      <t xml:space="preserve">FY27 </t>
    </r>
    <r>
      <rPr>
        <sz val="8"/>
        <color rgb="FF303030"/>
        <rFont val="Noto Sans CJK SC"/>
        <family val="2"/>
      </rPr>
      <t xml:space="preserve">季度资本开支高于 </t>
    </r>
    <r>
      <rPr>
        <sz val="8"/>
        <color rgb="FF303030"/>
        <rFont val="Arial"/>
        <family val="0"/>
        <charset val="1"/>
      </rPr>
      <t xml:space="preserve">FY26 Q4</t>
    </r>
    <r>
      <rPr>
        <sz val="8"/>
        <color rgb="FF303030"/>
        <rFont val="Noto Sans CJK SC"/>
        <family val="2"/>
      </rPr>
      <t xml:space="preserve">（约 </t>
    </r>
    <r>
      <rPr>
        <sz val="8"/>
        <color rgb="FF303030"/>
        <rFont val="Arial"/>
        <family val="0"/>
        <charset val="1"/>
      </rPr>
      <t xml:space="preserve">$100 </t>
    </r>
    <r>
      <rPr>
        <sz val="8"/>
        <color rgb="FF303030"/>
        <rFont val="Noto Sans CJK SC"/>
        <family val="2"/>
      </rPr>
      <t xml:space="preserve">亿</t>
    </r>
    <r>
      <rPr>
        <sz val="8"/>
        <color rgb="FF303030"/>
        <rFont val="Arial"/>
        <family val="0"/>
        <charset val="1"/>
      </rPr>
      <t xml:space="preserve">/</t>
    </r>
    <r>
      <rPr>
        <sz val="8"/>
        <color rgb="FF303030"/>
        <rFont val="Noto Sans CJK SC"/>
        <family val="2"/>
      </rPr>
      <t xml:space="preserve">季），其中建设性资本开支同比增加超 </t>
    </r>
    <r>
      <rPr>
        <sz val="8"/>
        <color rgb="FF303030"/>
        <rFont val="Arial"/>
        <family val="0"/>
        <charset val="1"/>
      </rPr>
      <t xml:space="preserve">$100 </t>
    </r>
    <r>
      <rPr>
        <sz val="8"/>
        <color rgb="FF303030"/>
        <rFont val="Noto Sans CJK SC"/>
        <family val="2"/>
      </rPr>
      <t xml:space="preserve">亿，另有 </t>
    </r>
    <r>
      <rPr>
        <sz val="8"/>
        <color rgb="FF303030"/>
        <rFont val="Arial"/>
        <family val="0"/>
        <charset val="1"/>
      </rPr>
      <t xml:space="preserve">2026 </t>
    </r>
    <r>
      <rPr>
        <sz val="8"/>
        <color rgb="FF303030"/>
        <rFont val="Noto Sans CJK SC"/>
        <family val="2"/>
      </rPr>
      <t xml:space="preserve">年 </t>
    </r>
    <r>
      <rPr>
        <sz val="8"/>
        <color rgb="FF303030"/>
        <rFont val="Arial"/>
        <family val="0"/>
        <charset val="1"/>
      </rPr>
      <t xml:space="preserve">8 </t>
    </r>
    <r>
      <rPr>
        <sz val="8"/>
        <color rgb="FF303030"/>
        <rFont val="Noto Sans CJK SC"/>
        <family val="2"/>
      </rPr>
      <t xml:space="preserve">月宣布的 </t>
    </r>
    <r>
      <rPr>
        <sz val="8"/>
        <color rgb="FF303030"/>
        <rFont val="Arial"/>
        <family val="0"/>
        <charset val="1"/>
      </rPr>
      <t xml:space="preserve">$100 </t>
    </r>
    <r>
      <rPr>
        <sz val="8"/>
        <color rgb="FF303030"/>
        <rFont val="Noto Sans CJK SC"/>
        <family val="2"/>
      </rPr>
      <t xml:space="preserve">亿博伊西 </t>
    </r>
    <r>
      <rPr>
        <sz val="8"/>
        <color rgb="FF303030"/>
        <rFont val="Arial"/>
        <family val="0"/>
        <charset val="1"/>
      </rPr>
      <t xml:space="preserve">AI </t>
    </r>
    <r>
      <rPr>
        <sz val="8"/>
        <color rgb="FF303030"/>
        <rFont val="Noto Sans CJK SC"/>
        <family val="2"/>
      </rPr>
      <t xml:space="preserve">研究实验室。按 </t>
    </r>
    <r>
      <rPr>
        <sz val="8"/>
        <color rgb="FF303030"/>
        <rFont val="Arial"/>
        <family val="0"/>
        <charset val="1"/>
      </rPr>
      <t xml:space="preserve">FY27 </t>
    </r>
    <r>
      <rPr>
        <sz val="8"/>
        <color rgb="FF303030"/>
        <rFont val="Noto Sans CJK SC"/>
        <family val="2"/>
      </rPr>
      <t xml:space="preserve">收入 </t>
    </r>
    <r>
      <rPr>
        <sz val="8"/>
        <color rgb="FF303030"/>
        <rFont val="Arial"/>
        <family val="0"/>
        <charset val="1"/>
      </rPr>
      <t xml:space="preserve">$2,050 </t>
    </r>
    <r>
      <rPr>
        <sz val="8"/>
        <color rgb="FF303030"/>
        <rFont val="Noto Sans CJK SC"/>
        <family val="2"/>
      </rPr>
      <t xml:space="preserve">亿计，</t>
    </r>
    <r>
      <rPr>
        <sz val="8"/>
        <color rgb="FF303030"/>
        <rFont val="Arial"/>
        <family val="0"/>
        <charset val="1"/>
      </rPr>
      <t xml:space="preserve">18% </t>
    </r>
    <r>
      <rPr>
        <sz val="8"/>
        <color rgb="FF303030"/>
        <rFont val="Noto Sans CJK SC"/>
        <family val="2"/>
      </rPr>
      <t xml:space="preserve">对应约 </t>
    </r>
    <r>
      <rPr>
        <sz val="8"/>
        <color rgb="FF303030"/>
        <rFont val="Arial"/>
        <family val="0"/>
        <charset val="1"/>
      </rPr>
      <t xml:space="preserve">$370 </t>
    </r>
    <r>
      <rPr>
        <sz val="8"/>
        <color rgb="FF303030"/>
        <rFont val="Noto Sans CJK SC"/>
        <family val="2"/>
      </rPr>
      <t xml:space="preserve">亿，与指引方向一致。</t>
    </r>
  </si>
  <si>
    <r>
      <rPr>
        <sz val="8"/>
        <color rgb="FFB3202C"/>
        <rFont val="Noto Sans CJK SC"/>
        <family val="2"/>
      </rPr>
      <t xml:space="preserve">公司给出明确的 </t>
    </r>
    <r>
      <rPr>
        <sz val="8"/>
        <color rgb="FFB3202C"/>
        <rFont val="Arial"/>
        <family val="0"/>
        <charset val="1"/>
      </rPr>
      <t xml:space="preserve">FY27 </t>
    </r>
    <r>
      <rPr>
        <sz val="8"/>
        <color rgb="FFB3202C"/>
        <rFont val="Noto Sans CJK SC"/>
        <family val="2"/>
      </rPr>
      <t xml:space="preserve">全年资本开支金额；实际值与本假设的偏离方向</t>
    </r>
  </si>
  <si>
    <r>
      <rPr>
        <b val="true"/>
        <sz val="9"/>
        <color rgb="FF16305B"/>
        <rFont val="Noto Sans CJK SC"/>
        <family val="2"/>
      </rPr>
      <t xml:space="preserve">政府补贴 </t>
    </r>
    <r>
      <rPr>
        <b val="true"/>
        <sz val="9"/>
        <color rgb="FF16305B"/>
        <rFont val="Arial"/>
        <family val="0"/>
        <charset val="1"/>
      </rPr>
      <t xml:space="preserve">10%</t>
    </r>
  </si>
  <si>
    <r>
      <rPr>
        <b val="true"/>
        <sz val="9"/>
        <color rgb="FF16305B"/>
        <rFont val="Noto Sans CJK SC"/>
        <family val="2"/>
      </rPr>
      <t xml:space="preserve">占资本开支 </t>
    </r>
    <r>
      <rPr>
        <b val="true"/>
        <sz val="9"/>
        <color rgb="FF16305B"/>
        <rFont val="Arial"/>
        <family val="0"/>
        <charset val="1"/>
      </rPr>
      <t xml:space="preserve">10%</t>
    </r>
  </si>
  <si>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前九个月 </t>
    </r>
    <r>
      <rPr>
        <sz val="8"/>
        <color rgb="FF404040"/>
        <rFont val="Arial"/>
        <family val="0"/>
        <charset val="1"/>
      </rPr>
      <t xml:space="preserve">$2,989M ÷ $19,602M = 15.2%</t>
    </r>
  </si>
  <si>
    <r>
      <rPr>
        <sz val="8"/>
        <color rgb="FF303030"/>
        <rFont val="Arial"/>
        <family val="0"/>
        <charset val="1"/>
      </rPr>
      <t xml:space="preserve">★ CHIPS </t>
    </r>
    <r>
      <rPr>
        <sz val="8"/>
        <color rgb="FF303030"/>
        <rFont val="Noto Sans CJK SC"/>
        <family val="2"/>
      </rPr>
      <t xml:space="preserve">法案补贴是 </t>
    </r>
    <r>
      <rPr>
        <sz val="8"/>
        <color rgb="FF303030"/>
        <rFont val="Arial"/>
        <family val="0"/>
        <charset val="1"/>
      </rPr>
      <t xml:space="preserve">MU </t>
    </r>
    <r>
      <rPr>
        <sz val="8"/>
        <color rgb="FF303030"/>
        <rFont val="Noto Sans CJK SC"/>
        <family val="2"/>
      </rPr>
      <t xml:space="preserve">独有、</t>
    </r>
    <r>
      <rPr>
        <sz val="8"/>
        <color rgb="FF303030"/>
        <rFont val="Arial"/>
        <family val="0"/>
        <charset val="1"/>
      </rPr>
      <t xml:space="preserve">SNDK </t>
    </r>
    <r>
      <rPr>
        <sz val="8"/>
        <color rgb="FF303030"/>
        <rFont val="Noto Sans CJK SC"/>
        <family val="2"/>
      </rPr>
      <t xml:space="preserve">完全没有的现金流来源。但补贴总额有上限、领取有窗口，随着资本开支基数扩大，补贴占比会自然下降，因此取低于历史的 </t>
    </r>
    <r>
      <rPr>
        <sz val="8"/>
        <color rgb="FF303030"/>
        <rFont val="Arial"/>
        <family val="0"/>
        <charset val="1"/>
      </rPr>
      <t xml:space="preserve">10%</t>
    </r>
    <r>
      <rPr>
        <sz val="8"/>
        <color rgb="FF303030"/>
        <rFont val="Noto Sans CJK SC"/>
        <family val="2"/>
      </rPr>
      <t xml:space="preserve">。</t>
    </r>
  </si>
  <si>
    <r>
      <rPr>
        <sz val="8"/>
        <color rgb="FFB3202C"/>
        <rFont val="Arial"/>
        <family val="0"/>
        <charset val="1"/>
      </rPr>
      <t xml:space="preserve">CHIPS </t>
    </r>
    <r>
      <rPr>
        <sz val="8"/>
        <color rgb="FFB3202C"/>
        <rFont val="Noto Sans CJK SC"/>
        <family val="2"/>
      </rPr>
      <t xml:space="preserve">拨付节奏变化；或政策环境调整</t>
    </r>
  </si>
  <si>
    <t xml:space="preserve">WACC 11.0%</t>
  </si>
  <si>
    <r>
      <rPr>
        <b val="true"/>
        <sz val="9"/>
        <color rgb="FF16305B"/>
        <rFont val="Noto Sans CJK SC"/>
        <family val="2"/>
      </rPr>
      <t xml:space="preserve">隐含 </t>
    </r>
    <r>
      <rPr>
        <b val="true"/>
        <sz val="9"/>
        <color rgb="FF16305B"/>
        <rFont val="Arial"/>
        <family val="0"/>
        <charset val="1"/>
      </rPr>
      <t xml:space="preserve">β ≈ 1.36</t>
    </r>
  </si>
  <si>
    <r>
      <rPr>
        <sz val="8"/>
        <color rgb="FF303030"/>
        <rFont val="Arial"/>
        <family val="0"/>
        <charset val="1"/>
      </rPr>
      <t xml:space="preserve">MU </t>
    </r>
    <r>
      <rPr>
        <sz val="8"/>
        <color rgb="FF303030"/>
        <rFont val="Noto Sans CJK SC"/>
        <family val="2"/>
      </rPr>
      <t xml:space="preserve">穿越周期的历史 </t>
    </r>
    <r>
      <rPr>
        <sz val="8"/>
        <color rgb="FF303030"/>
        <rFont val="Arial"/>
        <family val="0"/>
        <charset val="1"/>
      </rPr>
      <t xml:space="preserve">β </t>
    </r>
    <r>
      <rPr>
        <sz val="8"/>
        <color rgb="FF303030"/>
        <rFont val="Noto Sans CJK SC"/>
        <family val="2"/>
      </rPr>
      <t xml:space="preserve">通常在 </t>
    </r>
    <r>
      <rPr>
        <sz val="8"/>
        <color rgb="FF303030"/>
        <rFont val="Arial"/>
        <family val="0"/>
        <charset val="1"/>
      </rPr>
      <t xml:space="preserve">1.2–1.5</t>
    </r>
    <r>
      <rPr>
        <sz val="8"/>
        <color rgb="FF303030"/>
        <rFont val="Noto Sans CJK SC"/>
        <family val="2"/>
      </rPr>
      <t xml:space="preserve">。公司为净现金结构（现金及投资 </t>
    </r>
    <r>
      <rPr>
        <sz val="8"/>
        <color rgb="FF303030"/>
        <rFont val="Arial"/>
        <family val="0"/>
        <charset val="1"/>
      </rPr>
      <t xml:space="preserve">$302 </t>
    </r>
    <r>
      <rPr>
        <sz val="8"/>
        <color rgb="FF303030"/>
        <rFont val="Noto Sans CJK SC"/>
        <family val="2"/>
      </rPr>
      <t xml:space="preserve">亿 </t>
    </r>
    <r>
      <rPr>
        <sz val="8"/>
        <color rgb="FF303030"/>
        <rFont val="Arial"/>
        <family val="0"/>
        <charset val="1"/>
      </rPr>
      <t xml:space="preserve">vs </t>
    </r>
    <r>
      <rPr>
        <sz val="8"/>
        <color rgb="FF303030"/>
        <rFont val="Noto Sans CJK SC"/>
        <family val="2"/>
      </rPr>
      <t xml:space="preserve">有息负债 </t>
    </r>
    <r>
      <rPr>
        <sz val="8"/>
        <color rgb="FF303030"/>
        <rFont val="Arial"/>
        <family val="0"/>
        <charset val="1"/>
      </rPr>
      <t xml:space="preserve">$57 </t>
    </r>
    <r>
      <rPr>
        <sz val="8"/>
        <color rgb="FF303030"/>
        <rFont val="Noto Sans CJK SC"/>
        <family val="2"/>
      </rPr>
      <t xml:space="preserve">亿），无财务杠杆放大。</t>
    </r>
  </si>
  <si>
    <t xml:space="preserve">债务结构变化；或收入的合约化程度显著提高</t>
  </si>
  <si>
    <r>
      <rPr>
        <b val="true"/>
        <sz val="11"/>
        <color rgb="FFFFFFFF"/>
        <rFont val="Arial"/>
        <family val="0"/>
        <charset val="1"/>
      </rPr>
      <t xml:space="preserve">09  </t>
    </r>
    <r>
      <rPr>
        <b val="true"/>
        <sz val="11"/>
        <color rgb="FFFFFFFF"/>
        <rFont val="Noto Sans CJK SC"/>
        <family val="2"/>
      </rPr>
      <t xml:space="preserve">参数控制台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Noto Sans CJK SC"/>
        <family val="2"/>
      </rPr>
      <t xml:space="preserve">拖动滑标，上方全表与下方全部图表实时重算（基准情形）</t>
    </r>
  </si>
  <si>
    <r>
      <rPr>
        <b val="true"/>
        <sz val="16"/>
        <color rgb="FFFFFFFF"/>
        <rFont val="Arial"/>
        <family val="0"/>
        <charset val="1"/>
      </rPr>
      <t xml:space="preserve">BULL · MU </t>
    </r>
    <r>
      <rPr>
        <b val="true"/>
        <sz val="16"/>
        <color rgb="FFFFFFFF"/>
        <rFont val="Noto Sans CJK SC"/>
        <family val="2"/>
      </rPr>
      <t xml:space="preserve">现金流折现模型 —— 乐观情形</t>
    </r>
  </si>
  <si>
    <r>
      <rPr>
        <sz val="9"/>
        <color rgb="FF3D3D3D"/>
        <rFont val="Noto Sans CJK SC"/>
        <family val="2"/>
      </rPr>
      <t xml:space="preserve">完全采纳管理层口径：</t>
    </r>
    <r>
      <rPr>
        <sz val="9"/>
        <color rgb="FF3D3D3D"/>
        <rFont val="Arial"/>
        <family val="0"/>
        <charset val="1"/>
      </rPr>
      <t xml:space="preserve">DRAM </t>
    </r>
    <r>
      <rPr>
        <sz val="9"/>
        <color rgb="FF3D3D3D"/>
        <rFont val="Noto Sans CJK SC"/>
        <family val="2"/>
      </rPr>
      <t xml:space="preserve">与 </t>
    </r>
    <r>
      <rPr>
        <sz val="9"/>
        <color rgb="FF3D3D3D"/>
        <rFont val="Arial"/>
        <family val="0"/>
        <charset val="1"/>
      </rPr>
      <t xml:space="preserve">NAND </t>
    </r>
    <r>
      <rPr>
        <sz val="9"/>
        <color rgb="FF3D3D3D"/>
        <rFont val="Noto Sans CJK SC"/>
        <family val="2"/>
      </rPr>
      <t xml:space="preserve">供需紧张持续到 </t>
    </r>
    <r>
      <rPr>
        <sz val="9"/>
        <color rgb="FF3D3D3D"/>
        <rFont val="Arial"/>
        <family val="0"/>
        <charset val="1"/>
      </rPr>
      <t xml:space="preserve">2027 </t>
    </r>
    <r>
      <rPr>
        <sz val="9"/>
        <color rgb="FF3D3D3D"/>
        <rFont val="Noto Sans CJK SC"/>
        <family val="2"/>
      </rPr>
      <t xml:space="preserve">日历年之后，</t>
    </r>
    <r>
      <rPr>
        <sz val="9"/>
        <color rgb="FF3D3D3D"/>
        <rFont val="Arial"/>
        <family val="0"/>
        <charset val="1"/>
      </rPr>
      <t xml:space="preserve">HBM3E/HBM4 </t>
    </r>
    <r>
      <rPr>
        <sz val="9"/>
        <color rgb="FF3D3D3D"/>
        <rFont val="Noto Sans CJK SC"/>
        <family val="2"/>
      </rPr>
      <t xml:space="preserve">已售罄至 </t>
    </r>
    <r>
      <rPr>
        <sz val="9"/>
        <color rgb="FF3D3D3D"/>
        <rFont val="Arial"/>
        <family val="0"/>
        <charset val="1"/>
      </rPr>
      <t xml:space="preserve">2027 </t>
    </r>
    <r>
      <rPr>
        <sz val="9"/>
        <color rgb="FF3D3D3D"/>
        <rFont val="Noto Sans CJK SC"/>
        <family val="2"/>
      </rPr>
      <t xml:space="preserve">年，</t>
    </r>
    <r>
      <rPr>
        <sz val="9"/>
        <color rgb="FF3D3D3D"/>
        <rFont val="Arial"/>
        <family val="0"/>
        <charset val="1"/>
      </rPr>
      <t xml:space="preserve">16 </t>
    </r>
    <r>
      <rPr>
        <sz val="9"/>
        <color rgb="FF3D3D3D"/>
        <rFont val="Noto Sans CJK SC"/>
        <family val="2"/>
      </rPr>
      <t xml:space="preserve">份 </t>
    </r>
    <r>
      <rPr>
        <sz val="9"/>
        <color rgb="FF3D3D3D"/>
        <rFont val="Arial"/>
        <family val="0"/>
        <charset val="1"/>
      </rPr>
      <t xml:space="preserve">SCA </t>
    </r>
    <r>
      <rPr>
        <sz val="9"/>
        <color rgb="FF3D3D3D"/>
        <rFont val="Noto Sans CJK SC"/>
        <family val="2"/>
      </rPr>
      <t xml:space="preserve">带来约 </t>
    </r>
    <r>
      <rPr>
        <sz val="9"/>
        <color rgb="FF3D3D3D"/>
        <rFont val="Arial"/>
        <family val="0"/>
        <charset val="1"/>
      </rPr>
      <t xml:space="preserve">$1,000 </t>
    </r>
    <r>
      <rPr>
        <sz val="9"/>
        <color rgb="FF3D3D3D"/>
        <rFont val="Noto Sans CJK SC"/>
        <family val="2"/>
      </rPr>
      <t xml:space="preserve">亿最低合约收入与 </t>
    </r>
    <r>
      <rPr>
        <sz val="9"/>
        <color rgb="FF3D3D3D"/>
        <rFont val="Arial"/>
        <family val="0"/>
        <charset val="1"/>
      </rPr>
      <t xml:space="preserve">$220 </t>
    </r>
    <r>
      <rPr>
        <sz val="9"/>
        <color rgb="FF3D3D3D"/>
        <rFont val="Noto Sans CJK SC"/>
        <family val="2"/>
      </rPr>
      <t xml:space="preserve">亿客户资金承诺，管理层目标是把一半以上收入纳入 </t>
    </r>
    <r>
      <rPr>
        <sz val="9"/>
        <color rgb="FF3D3D3D"/>
        <rFont val="Arial"/>
        <family val="0"/>
        <charset val="1"/>
      </rPr>
      <t xml:space="preserve">SCA</t>
    </r>
    <r>
      <rPr>
        <sz val="9"/>
        <color rgb="FF3D3D3D"/>
        <rFont val="Noto Sans CJK SC"/>
        <family val="2"/>
      </rPr>
      <t xml:space="preserve">。如果这套「照付不议」的合约体系真的把存储从周期股变成合约制生意，那么当前 </t>
    </r>
    <r>
      <rPr>
        <sz val="9"/>
        <color rgb="FF3D3D3D"/>
        <rFont val="Arial"/>
        <family val="0"/>
        <charset val="1"/>
      </rPr>
      <t xml:space="preserve">6–7 </t>
    </r>
    <r>
      <rPr>
        <sz val="9"/>
        <color rgb="FF3D3D3D"/>
        <rFont val="Noto Sans CJK SC"/>
        <family val="2"/>
      </rPr>
      <t xml:space="preserve">倍的前瞻市盈率是严重错配。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</si>
  <si>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1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FY27 </t>
    </r>
    <r>
      <rPr>
        <sz val="9"/>
        <color rgb="FF303030"/>
        <rFont val="Noto Sans CJK SC"/>
        <family val="2"/>
      </rPr>
      <t xml:space="preserve">逐季爬坡至 </t>
    </r>
    <r>
      <rPr>
        <sz val="9"/>
        <color rgb="FF303030"/>
        <rFont val="Arial"/>
        <family val="0"/>
        <charset val="1"/>
      </rPr>
      <t xml:space="preserve">$660 </t>
    </r>
    <r>
      <rPr>
        <sz val="9"/>
        <color rgb="FF303030"/>
        <rFont val="Noto Sans CJK SC"/>
        <family val="2"/>
      </rPr>
      <t xml:space="preserve">亿</t>
    </r>
    <r>
      <rPr>
        <sz val="9"/>
        <color rgb="FF303030"/>
        <rFont val="Arial"/>
        <family val="0"/>
        <charset val="1"/>
      </rPr>
      <t xml:space="preserve">/</t>
    </r>
    <r>
      <rPr>
        <sz val="9"/>
        <color rgb="FF303030"/>
        <rFont val="Noto Sans CJK SC"/>
        <family val="2"/>
      </rPr>
      <t xml:space="preserve">季，全年 </t>
    </r>
    <r>
      <rPr>
        <sz val="9"/>
        <color rgb="FF303030"/>
        <rFont val="Arial"/>
        <family val="0"/>
        <charset val="1"/>
      </rPr>
      <t xml:space="preserve">$2,430 </t>
    </r>
    <r>
      <rPr>
        <sz val="9"/>
        <color rgb="FF303030"/>
        <rFont val="Noto Sans CJK SC"/>
        <family val="2"/>
      </rPr>
      <t xml:space="preserve">亿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</si>
  <si>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2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FY28–FY30 </t>
    </r>
    <r>
      <rPr>
        <sz val="9"/>
        <color rgb="FF303030"/>
        <rFont val="Noto Sans CJK SC"/>
        <family val="2"/>
      </rPr>
      <t xml:space="preserve">毛利率维持 </t>
    </r>
    <r>
      <rPr>
        <sz val="9"/>
        <color rgb="FF303030"/>
        <rFont val="Arial"/>
        <family val="0"/>
        <charset val="1"/>
      </rPr>
      <t xml:space="preserve">78%–82%</t>
    </r>
    <r>
      <rPr>
        <sz val="9"/>
        <color rgb="FF303030"/>
        <rFont val="Noto Sans CJK SC"/>
        <family val="2"/>
      </rPr>
      <t xml:space="preserve">，对应管理层「紧张持续到 </t>
    </r>
    <r>
      <rPr>
        <sz val="9"/>
        <color rgb="FF303030"/>
        <rFont val="Arial"/>
        <family val="0"/>
        <charset val="1"/>
      </rPr>
      <t xml:space="preserve">CY2027 </t>
    </r>
    <r>
      <rPr>
        <sz val="9"/>
        <color rgb="FF303030"/>
        <rFont val="Noto Sans CJK SC"/>
        <family val="2"/>
      </rPr>
      <t xml:space="preserve">之后」的判断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</si>
  <si>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3</t>
    </r>
    <r>
      <rPr>
        <sz val="9"/>
        <color rgb="FF303030"/>
        <rFont val="Noto Sans CJK SC"/>
        <family val="2"/>
      </rPr>
      <t xml:space="preserve">．★ </t>
    </r>
    <r>
      <rPr>
        <sz val="9"/>
        <color rgb="FF303030"/>
        <rFont val="Arial"/>
        <family val="0"/>
        <charset val="1"/>
      </rPr>
      <t xml:space="preserve">SCA </t>
    </r>
    <r>
      <rPr>
        <sz val="9"/>
        <color rgb="FF303030"/>
        <rFont val="Noto Sans CJK SC"/>
        <family val="2"/>
      </rPr>
      <t xml:space="preserve">把价格地板锁在 </t>
    </r>
    <r>
      <rPr>
        <sz val="9"/>
        <color rgb="FF303030"/>
        <rFont val="Arial"/>
        <family val="0"/>
        <charset val="1"/>
      </rPr>
      <t xml:space="preserve">FY26 Q2 </t>
    </r>
    <r>
      <rPr>
        <sz val="9"/>
        <color rgb="FF303030"/>
        <rFont val="Noto Sans CJK SC"/>
        <family val="2"/>
      </rPr>
      <t xml:space="preserve">水平，下行周期的深度被合约结构截断</t>
    </r>
  </si>
  <si>
    <r>
      <rPr>
        <sz val="9"/>
        <color rgb="FF303030"/>
        <rFont val="Noto Sans CJK SC"/>
        <family val="2"/>
      </rPr>
      <t xml:space="preserve">　</t>
    </r>
    <r>
      <rPr>
        <sz val="9"/>
        <color rgb="FF303030"/>
        <rFont val="Arial"/>
        <family val="0"/>
        <charset val="1"/>
      </rPr>
      <t xml:space="preserve">4</t>
    </r>
    <r>
      <rPr>
        <sz val="9"/>
        <color rgb="FF303030"/>
        <rFont val="Noto Sans CJK SC"/>
        <family val="2"/>
      </rPr>
      <t xml:space="preserve">．</t>
    </r>
    <r>
      <rPr>
        <sz val="9"/>
        <color rgb="FF303030"/>
        <rFont val="Arial"/>
        <family val="0"/>
        <charset val="1"/>
      </rPr>
      <t xml:space="preserve">WACC </t>
    </r>
    <r>
      <rPr>
        <sz val="9"/>
        <color rgb="FF303030"/>
        <rFont val="Noto Sans CJK SC"/>
        <family val="2"/>
      </rPr>
      <t xml:space="preserve">降到 </t>
    </r>
    <r>
      <rPr>
        <sz val="9"/>
        <color rgb="FF303030"/>
        <rFont val="Arial"/>
        <family val="0"/>
        <charset val="1"/>
      </rPr>
      <t xml:space="preserve">9.5%</t>
    </r>
    <r>
      <rPr>
        <sz val="9"/>
        <color rgb="FF303030"/>
        <rFont val="Noto Sans CJK SC"/>
        <family val="2"/>
      </rPr>
      <t xml:space="preserve">（现金流可预测性提高），永续增长 </t>
    </r>
    <r>
      <rPr>
        <sz val="9"/>
        <color rgb="FF303030"/>
        <rFont val="Arial"/>
        <family val="0"/>
        <charset val="1"/>
      </rPr>
      <t xml:space="preserve">3.5%</t>
    </r>
  </si>
  <si>
    <r>
      <rPr>
        <b val="true"/>
        <sz val="9"/>
        <color rgb="FF2E7D4F"/>
        <rFont val="Arial"/>
        <family val="0"/>
        <charset val="1"/>
      </rPr>
      <t xml:space="preserve">$2,430 </t>
    </r>
    <r>
      <rPr>
        <b val="true"/>
        <sz val="9"/>
        <color rgb="FF2E7D4F"/>
        <rFont val="Noto Sans CJK SC"/>
        <family val="2"/>
      </rPr>
      <t xml:space="preserve">亿（逐季爬坡到 </t>
    </r>
    <r>
      <rPr>
        <b val="true"/>
        <sz val="9"/>
        <color rgb="FF2E7D4F"/>
        <rFont val="Arial"/>
        <family val="0"/>
        <charset val="1"/>
      </rPr>
      <t xml:space="preserve">$660 </t>
    </r>
    <r>
      <rPr>
        <b val="true"/>
        <sz val="9"/>
        <color rgb="FF2E7D4F"/>
        <rFont val="Noto Sans CJK SC"/>
        <family val="2"/>
      </rPr>
      <t xml:space="preserve">亿）</t>
    </r>
  </si>
  <si>
    <r>
      <rPr>
        <sz val="8"/>
        <color rgb="FF404040"/>
        <rFont val="Arial"/>
        <family val="0"/>
        <charset val="1"/>
      </rPr>
      <t xml:space="preserve">FY26 Q4 </t>
    </r>
    <r>
      <rPr>
        <sz val="8"/>
        <color rgb="FF404040"/>
        <rFont val="Noto Sans CJK SC"/>
        <family val="2"/>
      </rPr>
      <t xml:space="preserve">指引 </t>
    </r>
    <r>
      <rPr>
        <sz val="8"/>
        <color rgb="FF404040"/>
        <rFont val="Arial"/>
        <family val="0"/>
        <charset val="1"/>
      </rPr>
      <t xml:space="preserve">$500 </t>
    </r>
    <r>
      <rPr>
        <sz val="8"/>
        <color rgb="FF404040"/>
        <rFont val="Noto Sans CJK SC"/>
        <family val="2"/>
      </rPr>
      <t xml:space="preserve">亿；</t>
    </r>
    <r>
      <rPr>
        <sz val="8"/>
        <color rgb="FF404040"/>
        <rFont val="Arial"/>
        <family val="0"/>
        <charset val="1"/>
      </rPr>
      <t xml:space="preserve">Q3 </t>
    </r>
    <r>
      <rPr>
        <sz val="8"/>
        <color rgb="FF404040"/>
        <rFont val="Noto Sans CJK SC"/>
        <family val="2"/>
      </rPr>
      <t xml:space="preserve">数据中心年化已超 </t>
    </r>
    <r>
      <rPr>
        <sz val="8"/>
        <color rgb="FF404040"/>
        <rFont val="Arial"/>
        <family val="0"/>
        <charset val="1"/>
      </rPr>
      <t xml:space="preserve">$1,000 </t>
    </r>
    <r>
      <rPr>
        <sz val="8"/>
        <color rgb="FF404040"/>
        <rFont val="Noto Sans CJK SC"/>
        <family val="2"/>
      </rPr>
      <t xml:space="preserve">亿</t>
    </r>
  </si>
  <si>
    <r>
      <rPr>
        <sz val="8"/>
        <color rgb="FF303030"/>
        <rFont val="Noto Sans CJK SC"/>
        <family val="2"/>
      </rPr>
      <t xml:space="preserve">管理层原话：「</t>
    </r>
    <r>
      <rPr>
        <sz val="8"/>
        <color rgb="FF303030"/>
        <rFont val="Arial"/>
        <family val="0"/>
        <charset val="1"/>
      </rPr>
      <t xml:space="preserve">DRAM </t>
    </r>
    <r>
      <rPr>
        <sz val="8"/>
        <color rgb="FF303030"/>
        <rFont val="Noto Sans CJK SC"/>
        <family val="2"/>
      </rPr>
      <t xml:space="preserve">与 </t>
    </r>
    <r>
      <rPr>
        <sz val="8"/>
        <color rgb="FF303030"/>
        <rFont val="Arial"/>
        <family val="0"/>
        <charset val="1"/>
      </rPr>
      <t xml:space="preserve">NAND </t>
    </r>
    <r>
      <rPr>
        <sz val="8"/>
        <color rgb="FF303030"/>
        <rFont val="Noto Sans CJK SC"/>
        <family val="2"/>
      </rPr>
      <t xml:space="preserve">行业需求持续显著超过供给，预计紧张状况将持续到 </t>
    </r>
    <r>
      <rPr>
        <sz val="8"/>
        <color rgb="FF303030"/>
        <rFont val="Arial"/>
        <family val="0"/>
        <charset val="1"/>
      </rPr>
      <t xml:space="preserve">2027 </t>
    </r>
    <r>
      <rPr>
        <sz val="8"/>
        <color rgb="FF303030"/>
        <rFont val="Noto Sans CJK SC"/>
        <family val="2"/>
      </rPr>
      <t xml:space="preserve">日历年之后」。</t>
    </r>
    <r>
      <rPr>
        <sz val="8"/>
        <color rgb="FF303030"/>
        <rFont val="Arial"/>
        <family val="0"/>
        <charset val="1"/>
      </rPr>
      <t xml:space="preserve">HBM3E </t>
    </r>
    <r>
      <rPr>
        <sz val="8"/>
        <color rgb="FF303030"/>
        <rFont val="Noto Sans CJK SC"/>
        <family val="2"/>
      </rPr>
      <t xml:space="preserve">与 </t>
    </r>
    <r>
      <rPr>
        <sz val="8"/>
        <color rgb="FF303030"/>
        <rFont val="Arial"/>
        <family val="0"/>
        <charset val="1"/>
      </rPr>
      <t xml:space="preserve">HBM4 </t>
    </r>
    <r>
      <rPr>
        <sz val="8"/>
        <color rgb="FF303030"/>
        <rFont val="Noto Sans CJK SC"/>
        <family val="2"/>
      </rPr>
      <t xml:space="preserve">已售罄至 </t>
    </r>
    <r>
      <rPr>
        <sz val="8"/>
        <color rgb="FF303030"/>
        <rFont val="Arial"/>
        <family val="0"/>
        <charset val="1"/>
      </rPr>
      <t xml:space="preserve">2027 </t>
    </r>
    <r>
      <rPr>
        <sz val="8"/>
        <color rgb="FF303030"/>
        <rFont val="Noto Sans CJK SC"/>
        <family val="2"/>
      </rPr>
      <t xml:space="preserve">年，</t>
    </r>
    <r>
      <rPr>
        <sz val="8"/>
        <color rgb="FF303030"/>
        <rFont val="Arial"/>
        <family val="0"/>
        <charset val="1"/>
      </rPr>
      <t xml:space="preserve">HBM4 </t>
    </r>
    <r>
      <rPr>
        <sz val="8"/>
        <color rgb="FF303030"/>
        <rFont val="Noto Sans CJK SC"/>
        <family val="2"/>
      </rPr>
      <t xml:space="preserve">出货爬坡速度是 </t>
    </r>
    <r>
      <rPr>
        <sz val="8"/>
        <color rgb="FF303030"/>
        <rFont val="Arial"/>
        <family val="0"/>
        <charset val="1"/>
      </rPr>
      <t xml:space="preserve">HBM3E </t>
    </r>
    <r>
      <rPr>
        <sz val="8"/>
        <color rgb="FF303030"/>
        <rFont val="Noto Sans CJK SC"/>
        <family val="2"/>
      </rPr>
      <t xml:space="preserve">的两倍，</t>
    </r>
    <r>
      <rPr>
        <sz val="8"/>
        <color rgb="FF303030"/>
        <rFont val="Arial"/>
        <family val="0"/>
        <charset val="1"/>
      </rPr>
      <t xml:space="preserve">HBM4E </t>
    </r>
    <r>
      <rPr>
        <sz val="8"/>
        <color rgb="FF303030"/>
        <rFont val="Noto Sans CJK SC"/>
        <family val="2"/>
      </rPr>
      <t xml:space="preserve">计划 </t>
    </r>
    <r>
      <rPr>
        <sz val="8"/>
        <color rgb="FF303030"/>
        <rFont val="Arial"/>
        <family val="0"/>
        <charset val="1"/>
      </rPr>
      <t xml:space="preserve">2027 </t>
    </r>
    <r>
      <rPr>
        <sz val="8"/>
        <color rgb="FF303030"/>
        <rFont val="Noto Sans CJK SC"/>
        <family val="2"/>
      </rPr>
      <t xml:space="preserve">日历年量产。</t>
    </r>
  </si>
  <si>
    <r>
      <rPr>
        <sz val="8"/>
        <color rgb="FFB3202C"/>
        <rFont val="Noto Sans CJK SC"/>
        <family val="2"/>
      </rPr>
      <t xml:space="preserve">任一季度收入环比转负；或 </t>
    </r>
    <r>
      <rPr>
        <sz val="8"/>
        <color rgb="FFB3202C"/>
        <rFont val="Arial"/>
        <family val="0"/>
        <charset val="1"/>
      </rPr>
      <t xml:space="preserve">HBM </t>
    </r>
    <r>
      <rPr>
        <sz val="8"/>
        <color rgb="FFB3202C"/>
        <rFont val="Noto Sans CJK SC"/>
        <family val="2"/>
      </rPr>
      <t xml:space="preserve">份额被三星</t>
    </r>
    <r>
      <rPr>
        <sz val="8"/>
        <color rgb="FFB3202C"/>
        <rFont val="Arial"/>
        <family val="0"/>
        <charset val="1"/>
      </rPr>
      <t xml:space="preserve">/</t>
    </r>
    <r>
      <rPr>
        <sz val="8"/>
        <color rgb="FFB3202C"/>
        <rFont val="Noto Sans CJK SC"/>
        <family val="2"/>
      </rPr>
      <t xml:space="preserve">海力士夺回</t>
    </r>
  </si>
  <si>
    <r>
      <rPr>
        <b val="true"/>
        <sz val="9"/>
        <color rgb="FF16305B"/>
        <rFont val="Noto Sans CJK SC"/>
        <family val="2"/>
      </rPr>
      <t xml:space="preserve">终局毛利率 </t>
    </r>
    <r>
      <rPr>
        <b val="true"/>
        <sz val="9"/>
        <color rgb="FF16305B"/>
        <rFont val="Arial"/>
        <family val="0"/>
        <charset val="1"/>
      </rPr>
      <t xml:space="preserve">74%</t>
    </r>
  </si>
  <si>
    <r>
      <rPr>
        <b val="true"/>
        <sz val="9"/>
        <color rgb="FF2E7D4F"/>
        <rFont val="Arial"/>
        <family val="0"/>
        <charset val="1"/>
      </rPr>
      <t xml:space="preserve">FY32 = 74%</t>
    </r>
    <r>
      <rPr>
        <b val="true"/>
        <sz val="9"/>
        <color rgb="FF2E7D4F"/>
        <rFont val="Noto Sans CJK SC"/>
        <family val="2"/>
      </rPr>
      <t xml:space="preserve">，</t>
    </r>
    <r>
      <rPr>
        <b val="true"/>
        <sz val="9"/>
        <color rgb="FF2E7D4F"/>
        <rFont val="Arial"/>
        <family val="0"/>
        <charset val="1"/>
      </rPr>
      <t xml:space="preserve">FY28–30 = 78%–82%</t>
    </r>
  </si>
  <si>
    <r>
      <rPr>
        <sz val="8"/>
        <color rgb="FF404040"/>
        <rFont val="Arial"/>
        <family val="0"/>
        <charset val="1"/>
      </rPr>
      <t xml:space="preserve">FY26 Q3 </t>
    </r>
    <r>
      <rPr>
        <sz val="8"/>
        <color rgb="FF404040"/>
        <rFont val="Noto Sans CJK SC"/>
        <family val="2"/>
      </rPr>
      <t xml:space="preserve">实际 </t>
    </r>
    <r>
      <rPr>
        <sz val="8"/>
        <color rgb="FF404040"/>
        <rFont val="Arial"/>
        <family val="0"/>
        <charset val="1"/>
      </rPr>
      <t xml:space="preserve">84.6%</t>
    </r>
    <r>
      <rPr>
        <sz val="8"/>
        <color rgb="FF404040"/>
        <rFont val="Noto Sans CJK SC"/>
        <family val="2"/>
      </rPr>
      <t xml:space="preserve">、</t>
    </r>
    <r>
      <rPr>
        <sz val="8"/>
        <color rgb="FF404040"/>
        <rFont val="Arial"/>
        <family val="0"/>
        <charset val="1"/>
      </rPr>
      <t xml:space="preserve">Q4 </t>
    </r>
    <r>
      <rPr>
        <sz val="8"/>
        <color rgb="FF404040"/>
        <rFont val="Noto Sans CJK SC"/>
        <family val="2"/>
      </rPr>
      <t xml:space="preserve">指引约 </t>
    </r>
    <r>
      <rPr>
        <sz val="8"/>
        <color rgb="FF404040"/>
        <rFont val="Arial"/>
        <family val="0"/>
        <charset val="1"/>
      </rPr>
      <t xml:space="preserve">86%</t>
    </r>
  </si>
  <si>
    <r>
      <rPr>
        <sz val="8"/>
        <color rgb="FF303030"/>
        <rFont val="Noto Sans CJK SC"/>
        <family val="2"/>
      </rPr>
      <t xml:space="preserve">★ 本情形与另外两个最根本的分歧点：假设 </t>
    </r>
    <r>
      <rPr>
        <sz val="8"/>
        <color rgb="FF303030"/>
        <rFont val="Arial"/>
        <family val="0"/>
        <charset val="1"/>
      </rPr>
      <t xml:space="preserve">SCA </t>
    </r>
    <r>
      <rPr>
        <sz val="8"/>
        <color rgb="FF303030"/>
        <rFont val="Noto Sans CJK SC"/>
        <family val="2"/>
      </rPr>
      <t xml:space="preserve">的照付不议结构真的把价格地板锁住，周期波动被合约截断。管理层称 </t>
    </r>
    <r>
      <rPr>
        <sz val="8"/>
        <color rgb="FF303030"/>
        <rFont val="Arial"/>
        <family val="0"/>
        <charset val="1"/>
      </rPr>
      <t xml:space="preserve">SCA </t>
    </r>
    <r>
      <rPr>
        <sz val="8"/>
        <color rgb="FF303030"/>
        <rFont val="Noto Sans CJK SC"/>
        <family val="2"/>
      </rPr>
      <t xml:space="preserve">将「从根本上改变我们的商业模式」，并计划把一半以上收入纳入其中。</t>
    </r>
  </si>
  <si>
    <r>
      <rPr>
        <sz val="8"/>
        <color rgb="FFB3202C"/>
        <rFont val="Noto Sans CJK SC"/>
        <family val="2"/>
      </rPr>
      <t xml:space="preserve">若某一季度毛利率环比下滑超过 </t>
    </r>
    <r>
      <rPr>
        <sz val="8"/>
        <color rgb="FFB3202C"/>
        <rFont val="Arial"/>
        <family val="0"/>
        <charset val="1"/>
      </rPr>
      <t xml:space="preserve">5pp</t>
    </r>
    <r>
      <rPr>
        <sz val="8"/>
        <color rgb="FFB3202C"/>
        <rFont val="Noto Sans CJK SC"/>
        <family val="2"/>
      </rPr>
      <t xml:space="preserve">，整个「结构性去周期」论点就要重估</t>
    </r>
  </si>
  <si>
    <r>
      <rPr>
        <b val="true"/>
        <sz val="9"/>
        <color rgb="FF16305B"/>
        <rFont val="Noto Sans CJK SC"/>
        <family val="2"/>
      </rPr>
      <t xml:space="preserve">资本开支率 </t>
    </r>
    <r>
      <rPr>
        <b val="true"/>
        <sz val="9"/>
        <color rgb="FF16305B"/>
        <rFont val="Arial"/>
        <family val="0"/>
        <charset val="1"/>
      </rPr>
      <t xml:space="preserve">15.5%</t>
    </r>
  </si>
  <si>
    <r>
      <rPr>
        <b val="true"/>
        <sz val="9"/>
        <color rgb="FF2E7D4F"/>
        <rFont val="Noto Sans CJK SC"/>
        <family val="2"/>
      </rPr>
      <t xml:space="preserve">占收入 </t>
    </r>
    <r>
      <rPr>
        <b val="true"/>
        <sz val="9"/>
        <color rgb="FF2E7D4F"/>
        <rFont val="Arial"/>
        <family val="0"/>
        <charset val="1"/>
      </rPr>
      <t xml:space="preserve">15.5%</t>
    </r>
  </si>
  <si>
    <r>
      <rPr>
        <sz val="8"/>
        <color rgb="FF303030"/>
        <rFont val="Noto Sans CJK SC"/>
        <family val="2"/>
      </rPr>
      <t xml:space="preserve">收入分母做大后，同样的绝对投入摊薄成更低的占比。绝对额仍在上升（</t>
    </r>
    <r>
      <rPr>
        <sz val="8"/>
        <color rgb="FF303030"/>
        <rFont val="Arial"/>
        <family val="0"/>
        <charset val="1"/>
      </rPr>
      <t xml:space="preserve">FY27 </t>
    </r>
    <r>
      <rPr>
        <sz val="8"/>
        <color rgb="FF303030"/>
        <rFont val="Noto Sans CJK SC"/>
        <family val="2"/>
      </rPr>
      <t xml:space="preserve">约 </t>
    </r>
    <r>
      <rPr>
        <sz val="8"/>
        <color rgb="FF303030"/>
        <rFont val="Arial"/>
        <family val="0"/>
        <charset val="1"/>
      </rPr>
      <t xml:space="preserve">$375 </t>
    </r>
    <r>
      <rPr>
        <sz val="8"/>
        <color rgb="FF303030"/>
        <rFont val="Noto Sans CJK SC"/>
        <family val="2"/>
      </rPr>
      <t xml:space="preserve">亿），但增速慢于收入。</t>
    </r>
  </si>
  <si>
    <t xml:space="preserve">资本开支绝对额增速持续快于收入增速</t>
  </si>
  <si>
    <r>
      <rPr>
        <b val="true"/>
        <sz val="9"/>
        <color rgb="FF16305B"/>
        <rFont val="Noto Sans CJK SC"/>
        <family val="2"/>
      </rPr>
      <t xml:space="preserve">折旧摊销率 </t>
    </r>
    <r>
      <rPr>
        <b val="true"/>
        <sz val="9"/>
        <color rgb="FF16305B"/>
        <rFont val="Arial"/>
        <family val="0"/>
        <charset val="1"/>
      </rPr>
      <t xml:space="preserve">6.5%</t>
    </r>
  </si>
  <si>
    <r>
      <rPr>
        <b val="true"/>
        <sz val="9"/>
        <color rgb="FF2E7D4F"/>
        <rFont val="Noto Sans CJK SC"/>
        <family val="2"/>
      </rPr>
      <t xml:space="preserve">占收入 </t>
    </r>
    <r>
      <rPr>
        <b val="true"/>
        <sz val="9"/>
        <color rgb="FF2E7D4F"/>
        <rFont val="Arial"/>
        <family val="0"/>
        <charset val="1"/>
      </rPr>
      <t xml:space="preserve">6.5%</t>
    </r>
  </si>
  <si>
    <r>
      <rPr>
        <sz val="8"/>
        <color rgb="FF404040"/>
        <rFont val="Arial"/>
        <family val="0"/>
        <charset val="1"/>
      </rPr>
      <t xml:space="preserve">FY26 </t>
    </r>
    <r>
      <rPr>
        <sz val="8"/>
        <color rgb="FF404040"/>
        <rFont val="Noto Sans CJK SC"/>
        <family val="2"/>
      </rPr>
      <t xml:space="preserve">约 </t>
    </r>
    <r>
      <rPr>
        <sz val="8"/>
        <color rgb="FF404040"/>
        <rFont val="Arial"/>
        <family val="0"/>
        <charset val="1"/>
      </rPr>
      <t xml:space="preserve">7.3%</t>
    </r>
  </si>
  <si>
    <t xml:space="preserve">同样是分母效应。注意这是本情形中最容易被高估的一项——巨额资本开支终将转化为折旧。</t>
  </si>
  <si>
    <t xml:space="preserve">固定资产净额同比增速远超收入增速</t>
  </si>
  <si>
    <t xml:space="preserve">WACC 9.5%</t>
  </si>
  <si>
    <r>
      <rPr>
        <b val="true"/>
        <sz val="9"/>
        <color rgb="FF2E7D4F"/>
        <rFont val="Noto Sans CJK SC"/>
        <family val="2"/>
      </rPr>
      <t xml:space="preserve">隐含 </t>
    </r>
    <r>
      <rPr>
        <b val="true"/>
        <sz val="9"/>
        <color rgb="FF2E7D4F"/>
        <rFont val="Arial"/>
        <family val="0"/>
        <charset val="1"/>
      </rPr>
      <t xml:space="preserve">β ≈ 1.06</t>
    </r>
  </si>
  <si>
    <r>
      <rPr>
        <sz val="8"/>
        <color rgb="FF303030"/>
        <rFont val="Noto Sans CJK SC"/>
        <family val="2"/>
      </rPr>
      <t xml:space="preserve">若 </t>
    </r>
    <r>
      <rPr>
        <sz val="8"/>
        <color rgb="FF303030"/>
        <rFont val="Arial"/>
        <family val="0"/>
        <charset val="1"/>
      </rPr>
      <t xml:space="preserve">SCA </t>
    </r>
    <r>
      <rPr>
        <sz val="8"/>
        <color rgb="FF303030"/>
        <rFont val="Noto Sans CJK SC"/>
        <family val="2"/>
      </rPr>
      <t xml:space="preserve">真的把现金流合约化，可预测性提高，风险溢价应当下降。</t>
    </r>
    <r>
      <rPr>
        <sz val="8"/>
        <color rgb="FF303030"/>
        <rFont val="Arial"/>
        <family val="0"/>
        <charset val="1"/>
      </rPr>
      <t xml:space="preserve">β 1.06 </t>
    </r>
    <r>
      <rPr>
        <sz val="8"/>
        <color rgb="FF303030"/>
        <rFont val="Noto Sans CJK SC"/>
        <family val="2"/>
      </rPr>
      <t xml:space="preserve">已接近大盘水平——这本身就是一个强假设。</t>
    </r>
  </si>
  <si>
    <t xml:space="preserve">合约收入占比若不能持续提升，此假设不成立</t>
  </si>
  <si>
    <r>
      <rPr>
        <b val="true"/>
        <sz val="11"/>
        <color rgb="FFFFFFFF"/>
        <rFont val="Arial"/>
        <family val="0"/>
        <charset val="1"/>
      </rPr>
      <t xml:space="preserve">09  </t>
    </r>
    <r>
      <rPr>
        <b val="true"/>
        <sz val="11"/>
        <color rgb="FFFFFFFF"/>
        <rFont val="Noto Sans CJK SC"/>
        <family val="2"/>
      </rPr>
      <t xml:space="preserve">参数控制台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Noto Sans CJK SC"/>
        <family val="2"/>
      </rPr>
      <t xml:space="preserve">拖动滑标，上方全表与下方全部图表实时重算（乐观情形）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</si>
</sst>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\$#,##0.00"/>
    <numFmt numFmtId="166" formatCode="\$#,##0\M"/>
    <numFmt numFmtId="167" formatCode="#,##0"/>
    <numFmt numFmtId="168" formatCode="0.00%"/>
    <numFmt numFmtId="169" formatCode="\$#,##0"/>
    <numFmt numFmtId="170" formatCode="\+0.0%;[RED]\-0.0%"/>
    <numFmt numFmtId="171" formatCode="0.0%"/>
    <numFmt numFmtId="172" formatCode="#,##0;[RED]\(#,##0\);\-"/>
    <numFmt numFmtId="173" formatCode="0.0%;[RED]\-0.0%;\-"/>
    <numFmt numFmtId="174" formatCode="#,##0.00;[RED]\(#,##0.00\);\-"/>
    <numFmt numFmtId="175" formatCode="0%"/>
    <numFmt numFmtId="176" formatCode="0%;[RED]\-0%;\-"/>
    <numFmt numFmtId="177" formatCode="0.0\天"/>
    <numFmt numFmtId="178" formatCode="0.00"/>
    <numFmt numFmtId="179" formatCode="#,##0.0"/>
    <numFmt numFmtId="180" formatCode="0.00\x"/>
    <numFmt numFmtId="181" formatCode="0.0\x"/>
    <numFmt numFmtId="182" formatCode="0.000"/>
    <numFmt numFmtId="183" formatCode="0"/>
    <numFmt numFmtId="184" formatCode="&quot;+$&quot;#,##0;[RED]&quot;-$&quot;#,##0"/>
    <numFmt numFmtId="185" formatCode="0\x"/>
    <numFmt numFmtId="186" formatCode="\+0.00&quot;pp&quot;;[RED]\-0.00&quot;pp&quot;;0.00&quot;pp&quot;"/>
  </numFmts>
  <fonts count="7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Noto Sans CJK SC"/>
      <family val="2"/>
    </font>
    <font>
      <i val="true"/>
      <sz val="9"/>
      <color rgb="FF7A7A7A"/>
      <name val="Noto Sans CJK SC"/>
      <family val="2"/>
    </font>
    <font>
      <i val="true"/>
      <sz val="9"/>
      <color rgb="FF7A7A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9"/>
      <color rgb="FF16305B"/>
      <name val="Noto Sans CJK SC"/>
      <family val="2"/>
    </font>
    <font>
      <b val="true"/>
      <sz val="9"/>
      <color rgb="FF000000"/>
      <name val="Noto Sans CJK SC"/>
      <family val="2"/>
    </font>
    <font>
      <b val="true"/>
      <sz val="9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404040"/>
      <name val="Noto Sans CJK SC"/>
      <family val="2"/>
    </font>
    <font>
      <sz val="9"/>
      <color rgb="FF404040"/>
      <name val="Arial"/>
      <family val="0"/>
      <charset val="1"/>
    </font>
    <font>
      <b val="true"/>
      <sz val="11"/>
      <color rgb="FFB3202C"/>
      <name val="Arial"/>
      <family val="0"/>
      <charset val="1"/>
    </font>
    <font>
      <b val="true"/>
      <sz val="9"/>
      <color rgb="FF16305B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303030"/>
      <name val="Arial"/>
      <family val="0"/>
      <charset val="1"/>
    </font>
    <font>
      <sz val="9"/>
      <color rgb="FF303030"/>
      <name val="Noto Sans CJK SC"/>
      <family val="2"/>
    </font>
    <font>
      <b val="true"/>
      <sz val="12"/>
      <color rgb="FF16305B"/>
      <name val="Arial"/>
      <family val="0"/>
      <charset val="1"/>
    </font>
    <font>
      <b val="true"/>
      <sz val="12"/>
      <color rgb="FF2E7D4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9"/>
      <color rgb="FF3D3D3D"/>
      <name val="Noto Sans CJK SC"/>
      <family val="2"/>
    </font>
    <font>
      <sz val="9"/>
      <color rgb="FF3D3D3D"/>
      <name val="Arial"/>
      <family val="0"/>
      <charset val="1"/>
    </font>
    <font>
      <sz val="9"/>
      <color rgb="FF000000"/>
      <name val="Noto Sans CJK SC"/>
      <family val="2"/>
    </font>
    <font>
      <sz val="9"/>
      <color rgb="FF000000"/>
      <name val="Arial"/>
      <family val="0"/>
      <charset val="1"/>
    </font>
    <font>
      <sz val="9"/>
      <color rgb="FF606060"/>
      <name val="Arial"/>
      <family val="0"/>
      <charset val="1"/>
    </font>
    <font>
      <b val="true"/>
      <sz val="9"/>
      <color rgb="FFB3202C"/>
      <name val="Noto Sans CJK SC"/>
      <family val="2"/>
    </font>
    <font>
      <b val="true"/>
      <sz val="9"/>
      <color rgb="FFB3202C"/>
      <name val="Arial"/>
      <family val="0"/>
      <charset val="1"/>
    </font>
    <font>
      <sz val="8"/>
      <color rgb="FF404040"/>
      <name val="Arial"/>
      <family val="0"/>
      <charset val="1"/>
    </font>
    <font>
      <sz val="8"/>
      <color rgb="FF404040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9"/>
      <color rgb="FF008000"/>
      <name val="Noto Sans CJK SC"/>
      <family val="2"/>
    </font>
    <font>
      <b val="true"/>
      <sz val="9"/>
      <color rgb="FF008000"/>
      <name val="Arial"/>
      <family val="0"/>
      <charset val="1"/>
    </font>
    <font>
      <i val="true"/>
      <sz val="8"/>
      <color rgb="FF8A8A8A"/>
      <name val="Noto Sans CJK SC"/>
      <family val="2"/>
    </font>
    <font>
      <i val="true"/>
      <sz val="8"/>
      <color rgb="FF8A8A8A"/>
      <name val="Arial"/>
      <family val="0"/>
      <charset val="1"/>
    </font>
    <font>
      <b val="true"/>
      <sz val="10"/>
      <color rgb="FFB3202C"/>
      <name val="Arial"/>
      <family val="0"/>
      <charset val="1"/>
    </font>
    <font>
      <sz val="9"/>
      <color rgb="FFB0B0B0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3"/>
      <color rgb="FF16305B"/>
      <name val="Noto Sans CJK SC"/>
      <family val="2"/>
    </font>
    <font>
      <b val="true"/>
      <sz val="13"/>
      <color rgb="FF16305B"/>
      <name val="Arial"/>
      <family val="2"/>
    </font>
    <font>
      <sz val="9"/>
      <color rgb="FF595959"/>
      <name val="Arial"/>
      <family val="2"/>
    </font>
    <font>
      <b val="true"/>
      <sz val="9.5"/>
      <color rgb="FF404040"/>
      <name val="Noto Sans CJK SC"/>
      <family val="2"/>
    </font>
    <font>
      <sz val="9"/>
      <color rgb="FF404040"/>
      <name val="Arial"/>
      <family val="2"/>
    </font>
    <font>
      <b val="true"/>
      <sz val="9"/>
      <color rgb="FFC0392B"/>
      <name val="Arial"/>
      <family val="0"/>
      <charset val="1"/>
    </font>
    <font>
      <b val="true"/>
      <sz val="9"/>
      <color rgb="FF60606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4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C0392B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7A7A7A"/>
      <name val="Arial"/>
      <family val="0"/>
      <charset val="1"/>
    </font>
    <font>
      <sz val="8"/>
      <color rgb="FF4A4A4A"/>
      <name val="Noto Sans CJK SC"/>
      <family val="2"/>
    </font>
    <font>
      <sz val="8"/>
      <color rgb="FF4A4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6305B"/>
      <name val="Arial"/>
      <family val="0"/>
      <charset val="1"/>
    </font>
    <font>
      <b val="true"/>
      <sz val="9"/>
      <color rgb="FFC0392B"/>
      <name val="Noto Sans CJK SC"/>
      <family val="2"/>
    </font>
    <font>
      <sz val="8"/>
      <color rgb="FF303030"/>
      <name val="Arial"/>
      <family val="0"/>
      <charset val="1"/>
    </font>
    <font>
      <sz val="8"/>
      <color rgb="FF303030"/>
      <name val="Noto Sans CJK SC"/>
      <family val="2"/>
    </font>
    <font>
      <sz val="8"/>
      <color rgb="FFB3202C"/>
      <name val="Arial"/>
      <family val="0"/>
      <charset val="1"/>
    </font>
    <font>
      <sz val="8"/>
      <color rgb="FFB3202C"/>
      <name val="Noto Sans CJK SC"/>
      <family val="2"/>
    </font>
    <font>
      <b val="true"/>
      <sz val="11"/>
      <color rgb="FFC0392B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6305B"/>
      <name val="Arial"/>
      <family val="0"/>
      <charset val="1"/>
    </font>
    <font>
      <b val="true"/>
      <sz val="13"/>
      <color rgb="FF16305B"/>
      <name val="Arial"/>
      <family val="0"/>
      <charset val="1"/>
    </font>
    <font>
      <b val="true"/>
      <sz val="11"/>
      <color rgb="FF16305B"/>
      <name val="Arial"/>
      <family val="0"/>
      <charset val="1"/>
    </font>
    <font>
      <b val="true"/>
      <sz val="9"/>
      <color rgb="FF2E7D4F"/>
      <name val="Arial"/>
      <family val="0"/>
      <charset val="1"/>
    </font>
    <font>
      <b val="true"/>
      <sz val="14"/>
      <color rgb="FF2E7D4F"/>
      <name val="Arial"/>
      <family val="0"/>
      <charset val="1"/>
    </font>
    <font>
      <b val="true"/>
      <sz val="13"/>
      <color rgb="FF2E7D4F"/>
      <name val="Arial"/>
      <family val="0"/>
      <charset val="1"/>
    </font>
    <font>
      <b val="true"/>
      <sz val="9"/>
      <color rgb="FF2E7D4F"/>
      <name val="Noto Sans CJK SC"/>
      <family val="2"/>
    </font>
    <font>
      <b val="true"/>
      <sz val="11"/>
      <color rgb="FF2E7D4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6305B"/>
        <bgColor rgb="FF303030"/>
      </patternFill>
    </fill>
    <fill>
      <patternFill patternType="solid">
        <fgColor rgb="FFF4F7FB"/>
        <bgColor rgb="FFEAF1FB"/>
      </patternFill>
    </fill>
    <fill>
      <patternFill patternType="solid">
        <fgColor rgb="FF2E5C8A"/>
        <bgColor rgb="FF44688F"/>
      </patternFill>
    </fill>
    <fill>
      <patternFill patternType="solid">
        <fgColor rgb="FFDCE6F2"/>
        <bgColor rgb="FFE9EDF2"/>
      </patternFill>
    </fill>
    <fill>
      <patternFill patternType="solid">
        <fgColor rgb="FFFFF4D6"/>
        <bgColor rgb="FFFFF9E8"/>
      </patternFill>
    </fill>
    <fill>
      <patternFill patternType="solid">
        <fgColor rgb="FFC0392B"/>
        <bgColor rgb="FFB3202C"/>
      </patternFill>
    </fill>
    <fill>
      <patternFill patternType="solid">
        <fgColor rgb="FFE4F0E2"/>
        <bgColor rgb="FFE9EDF2"/>
      </patternFill>
    </fill>
    <fill>
      <patternFill patternType="solid">
        <fgColor rgb="FF2E7D4F"/>
        <bgColor rgb="FF1E6B3A"/>
      </patternFill>
    </fill>
    <fill>
      <patternFill patternType="solid">
        <fgColor rgb="FFFBE7EA"/>
        <bgColor rgb="FFE9EDF2"/>
      </patternFill>
    </fill>
    <fill>
      <patternFill patternType="solid">
        <fgColor rgb="FFFFF9E8"/>
        <bgColor rgb="FFFFF4D6"/>
      </patternFill>
    </fill>
    <fill>
      <patternFill patternType="solid">
        <fgColor rgb="FF44688F"/>
        <bgColor rgb="FF2E5C8A"/>
      </patternFill>
    </fill>
    <fill>
      <patternFill patternType="solid">
        <fgColor rgb="FFC9D8EC"/>
        <bgColor rgb="FFC9DCF0"/>
      </patternFill>
    </fill>
    <fill>
      <patternFill patternType="solid">
        <fgColor rgb="FFFFFFFF"/>
        <bgColor rgb="FFF4F7FB"/>
      </patternFill>
    </fill>
    <fill>
      <patternFill patternType="solid">
        <fgColor rgb="FFEAF1FB"/>
        <bgColor rgb="FFE9ED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9D2DD"/>
      </left>
      <right style="thin">
        <color rgb="FFC9D2DD"/>
      </right>
      <top style="thin">
        <color rgb="FFC9D2DD"/>
      </top>
      <bottom style="medium">
        <color rgb="FF44688F"/>
      </bottom>
      <diagonal/>
    </border>
    <border diagonalUp="false" diagonalDown="false">
      <left style="thin">
        <color rgb="FFC9D2DD"/>
      </left>
      <right style="thin">
        <color rgb="FFC9D2DD"/>
      </right>
      <top style="thin">
        <color rgb="FFC9D2DD"/>
      </top>
      <bottom style="thin">
        <color rgb="FFC9D2DD"/>
      </bottom>
      <diagonal/>
    </border>
    <border diagonalUp="false" diagonalDown="false">
      <left style="thin">
        <color rgb="FFC9D2DD"/>
      </left>
      <right/>
      <top style="thin">
        <color rgb="FFC9D2DD"/>
      </top>
      <bottom style="thin">
        <color rgb="FFC9D2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3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3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3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4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5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5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4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5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5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5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5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5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5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5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5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5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1" fontId="5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6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5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6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6" fontId="5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5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6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6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2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6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6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7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7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7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1E6B3A"/>
        <sz val="10"/>
      </font>
      <fill>
        <patternFill>
          <bgColor rgb="FFE4F0E2"/>
        </patternFill>
      </fill>
    </dxf>
    <dxf>
      <font>
        <name val="Arial"/>
        <charset val="1"/>
        <family val="0"/>
        <b val="1"/>
        <color rgb="FF9B1B26"/>
        <sz val="10"/>
      </font>
      <fill>
        <patternFill>
          <bgColor rgb="FFF8D0D5"/>
        </patternFill>
      </fill>
    </dxf>
    <dxf>
      <font>
        <name val="Arial"/>
        <charset val="1"/>
        <family val="0"/>
        <b val="1"/>
        <color rgb="FF1E6B3A"/>
        <sz val="14"/>
      </font>
      <fill>
        <patternFill>
          <bgColor rgb="FFE4F0E2"/>
        </patternFill>
      </fill>
    </dxf>
    <dxf>
      <font>
        <name val="Arial"/>
        <charset val="1"/>
        <family val="0"/>
        <b val="1"/>
        <color rgb="FF9B1B26"/>
        <sz val="14"/>
      </font>
      <fill>
        <patternFill>
          <bgColor rgb="FFF8D0D5"/>
        </patternFill>
      </fill>
    </dxf>
    <dxf>
      <font>
        <name val="Arial"/>
        <charset val="1"/>
        <family val="0"/>
        <b val="1"/>
        <color rgb="FF1E6B3A"/>
        <sz val="9"/>
      </font>
      <fill>
        <patternFill>
          <bgColor rgb="FFE4F0E2"/>
        </patternFill>
      </fill>
    </dxf>
    <dxf>
      <font>
        <name val="Arial"/>
        <charset val="1"/>
        <family val="0"/>
        <b val="1"/>
        <color rgb="FF9B1B26"/>
        <sz val="9"/>
      </font>
      <fill>
        <patternFill>
          <bgColor rgb="FFF8D0D5"/>
        </patternFill>
      </fill>
    </dxf>
    <dxf>
      <font>
        <name val="Arial"/>
        <charset val="1"/>
        <family val="0"/>
        <b val="1"/>
        <color rgb="FF1E6B3A"/>
        <sz val="13"/>
      </font>
      <fill>
        <patternFill>
          <bgColor rgb="FFE4F0E2"/>
        </patternFill>
      </fill>
    </dxf>
    <dxf>
      <font>
        <name val="Arial"/>
        <charset val="1"/>
        <family val="0"/>
        <b val="1"/>
        <color rgb="FF9B1B26"/>
        <sz val="13"/>
      </font>
      <fill>
        <patternFill>
          <bgColor rgb="FFF8D0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BE7EA"/>
      <rgbColor rgb="FFFF00FF"/>
      <rgbColor rgb="FF00FFFF"/>
      <rgbColor rgb="FF800000"/>
      <rgbColor rgb="FF008000"/>
      <rgbColor rgb="FF000080"/>
      <rgbColor rgb="FF606060"/>
      <rgbColor rgb="FF800080"/>
      <rgbColor rgb="FF2E7D4F"/>
      <rgbColor rgb="FFBFBFBF"/>
      <rgbColor rgb="FF7A7A7A"/>
      <rgbColor rgb="FFB0B0B0"/>
      <rgbColor rgb="FFB3202C"/>
      <rgbColor rgb="FFFFF4D6"/>
      <rgbColor rgb="FFEAF1FB"/>
      <rgbColor rgb="FF595959"/>
      <rgbColor rgb="FFFF8080"/>
      <rgbColor rgb="FF2E5C8A"/>
      <rgbColor rgb="FFC9D8EC"/>
      <rgbColor rgb="FF000080"/>
      <rgbColor rgb="FFFF00FF"/>
      <rgbColor rgb="FFF4F7FB"/>
      <rgbColor rgb="FF00FFFF"/>
      <rgbColor rgb="FF800080"/>
      <rgbColor rgb="FF800000"/>
      <rgbColor rgb="FF1E6B3A"/>
      <rgbColor rgb="FF0000FF"/>
      <rgbColor rgb="FF00CCFF"/>
      <rgbColor rgb="FFE9EDF2"/>
      <rgbColor rgb="FFE4F0E2"/>
      <rgbColor rgb="FFFFF9E8"/>
      <rgbColor rgb="FF9DC3E6"/>
      <rgbColor rgb="FFC9D2DD"/>
      <rgbColor rgb="FFB7C0CC"/>
      <rgbColor rgb="FFF8D0D5"/>
      <rgbColor rgb="FF4472C4"/>
      <rgbColor rgb="FFC9DCF0"/>
      <rgbColor rgb="FF7FB069"/>
      <rgbColor rgb="FFDCE6F2"/>
      <rgbColor rgb="FFE08A1E"/>
      <rgbColor rgb="FFFF6600"/>
      <rgbColor rgb="FF44688F"/>
      <rgbColor rgb="FF8A8A8A"/>
      <rgbColor rgb="FF16305B"/>
      <rgbColor rgb="FF2E9B57"/>
      <rgbColor rgb="FF4A4A4A"/>
      <rgbColor rgb="FF3D3D3D"/>
      <rgbColor rgb="FF9B1B26"/>
      <rgbColor rgb="FFC0392B"/>
      <rgbColor rgb="FF404040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1 · 收入 / 营业成本 / 毛利：收入涨 3.7 倍，营业成本几乎没动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'00-三表与联动'!A27</c:f>
              <c:strCache>
                <c:ptCount val="1"/>
                <c:pt idx="0">
                  <c:v>营业收入 Revenue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'00-三表与联动'!$B$26:$E$26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Q4E
（指引）</c:v>
                </c:pt>
              </c:strCache>
            </c:strRef>
          </c:cat>
          <c:val>
            <c:numRef>
              <c:f>'00-三表与联动'!$B$27:$E$27</c:f>
              <c:numCache>
                <c:formatCode>#,##0;[RED]\(#,##0\);\-</c:formatCode>
                <c:ptCount val="4"/>
                <c:pt idx="0">
                  <c:v>13643</c:v>
                </c:pt>
                <c:pt idx="1">
                  <c:v>23860</c:v>
                </c:pt>
                <c:pt idx="2">
                  <c:v>41456</c:v>
                </c:pt>
                <c:pt idx="3">
                  <c:v>50000</c:v>
                </c:pt>
              </c:numCache>
            </c:numRef>
          </c:val>
        </c:ser>
        <c:ser>
          <c:idx val="1"/>
          <c:order val="1"/>
          <c:tx>
            <c:strRef>
              <c:f>'00-三表与联动'!A28</c:f>
              <c:strCache>
                <c:ptCount val="1"/>
                <c:pt idx="0">
                  <c:v>营业成本 Cost of goods sold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'00-三表与联动'!$B$26:$E$26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Q4E
（指引）</c:v>
                </c:pt>
              </c:strCache>
            </c:strRef>
          </c:cat>
          <c:val>
            <c:numRef>
              <c:f>'00-三表与联动'!$B$28:$E$28</c:f>
              <c:numCache>
                <c:formatCode>#,##0;[RED]\(#,##0\);\-</c:formatCode>
                <c:ptCount val="4"/>
                <c:pt idx="0">
                  <c:v>5997</c:v>
                </c:pt>
                <c:pt idx="1">
                  <c:v>6105</c:v>
                </c:pt>
                <c:pt idx="2">
                  <c:v>6400</c:v>
                </c:pt>
                <c:pt idx="3">
                  <c:v>7000</c:v>
                </c:pt>
              </c:numCache>
            </c:numRef>
          </c:val>
        </c:ser>
        <c:ser>
          <c:idx val="2"/>
          <c:order val="2"/>
          <c:tx>
            <c:strRef>
              <c:f>'00-三表与联动'!A29</c:f>
              <c:strCache>
                <c:ptCount val="1"/>
                <c:pt idx="0">
                  <c:v>毛利 Gross margin</c:v>
                </c:pt>
              </c:strCache>
            </c:strRef>
          </c:tx>
          <c:spPr>
            <a:solidFill>
              <a:srgbClr val="2e9b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'00-三表与联动'!$B$26:$E$26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Q4E
（指引）</c:v>
                </c:pt>
              </c:strCache>
            </c:strRef>
          </c:cat>
          <c:val>
            <c:numRef>
              <c:f>'00-三表与联动'!$B$29:$E$29</c:f>
              <c:numCache>
                <c:formatCode>#,##0;[RED]\(#,##0\);\-</c:formatCode>
                <c:ptCount val="4"/>
                <c:pt idx="0">
                  <c:v>7646</c:v>
                </c:pt>
                <c:pt idx="1">
                  <c:v>17755</c:v>
                </c:pt>
                <c:pt idx="2">
                  <c:v>35056</c:v>
                </c:pt>
                <c:pt idx="3">
                  <c:v>43000</c:v>
                </c:pt>
              </c:numCache>
            </c:numRef>
          </c:val>
        </c:ser>
        <c:gapWidth val="55"/>
        <c:overlap val="0"/>
        <c:axId val="86146039"/>
        <c:axId val="50441642"/>
      </c:barChart>
      <c:catAx>
        <c:axId val="861460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0441642"/>
        <c:crosses val="autoZero"/>
        <c:auto val="1"/>
        <c:lblAlgn val="ctr"/>
        <c:lblOffset val="100"/>
        <c:noMultiLvlLbl val="0"/>
      </c:catAx>
      <c:valAx>
        <c:axId val="50441642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61460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2 · 四个季度的利润率路径：毛利率 56.0% → 约 86%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'00-三表与联动'!$A$42</c:f>
              <c:strCache>
                <c:ptCount val="1"/>
                <c:pt idx="0">
                  <c:v>毛利率 Gross margin</c:v>
                </c:pt>
              </c:strCache>
            </c:strRef>
          </c:tx>
          <c:spPr>
            <a:solidFill>
              <a:srgbClr val="c0392b"/>
            </a:solidFill>
            <a:ln w="22320">
              <a:solidFill>
                <a:srgbClr val="c0392b"/>
              </a:solidFill>
              <a:round/>
            </a:ln>
          </c:spPr>
          <c:marker>
            <c:symbol val="circle"/>
            <c:size val="9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'00-三表与联动'!$B$26:$E$26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Q4E
（指引）</c:v>
                </c:pt>
              </c:strCache>
            </c:strRef>
          </c:cat>
          <c:val>
            <c:numRef>
              <c:f>'00-三表与联动'!$B$42:$E$42</c:f>
              <c:numCache>
                <c:formatCode>0.0%</c:formatCode>
                <c:ptCount val="4"/>
                <c:pt idx="0">
                  <c:v>0.560433922157883</c:v>
                </c:pt>
                <c:pt idx="1">
                  <c:v>0.744132439228835</c:v>
                </c:pt>
                <c:pt idx="2">
                  <c:v>0.845619451949054</c:v>
                </c:pt>
                <c:pt idx="3">
                  <c:v>0.86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'00-三表与联动'!$A$43</c:f>
              <c:strCache>
                <c:ptCount val="1"/>
                <c:pt idx="0">
                  <c:v>营业利润率 Operating margin</c:v>
                </c:pt>
              </c:strCache>
            </c:strRef>
          </c:tx>
          <c:spPr>
            <a:solidFill>
              <a:srgbClr val="16305b"/>
            </a:solidFill>
            <a:ln w="22320">
              <a:solidFill>
                <a:srgbClr val="16305b"/>
              </a:solidFill>
              <a:round/>
            </a:ln>
          </c:spPr>
          <c:marker>
            <c:symbol val="circle"/>
            <c:size val="9"/>
            <c:spPr>
              <a:solidFill>
                <a:srgbClr val="1630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'00-三表与联动'!$B$26:$E$26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Q4E
（指引）</c:v>
                </c:pt>
              </c:strCache>
            </c:strRef>
          </c:cat>
          <c:val>
            <c:numRef>
              <c:f>'00-三表与联动'!$B$43:$E$43</c:f>
              <c:numCache>
                <c:formatCode>0.0%</c:formatCode>
                <c:ptCount val="4"/>
                <c:pt idx="0">
                  <c:v>0.449754452832955</c:v>
                </c:pt>
                <c:pt idx="1">
                  <c:v>0.676236378876781</c:v>
                </c:pt>
                <c:pt idx="2">
                  <c:v>0.80369548436897</c:v>
                </c:pt>
                <c:pt idx="3">
                  <c:v>0.8228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'00-三表与联动'!$A$44</c:f>
              <c:strCache>
                <c:ptCount val="1"/>
                <c:pt idx="0">
                  <c:v>净利率 Net margin</c:v>
                </c:pt>
              </c:strCache>
            </c:strRef>
          </c:tx>
          <c:spPr>
            <a:solidFill>
              <a:srgbClr val="2e9b57"/>
            </a:solidFill>
            <a:ln w="22320">
              <a:solidFill>
                <a:srgbClr val="2e9b57"/>
              </a:solidFill>
              <a:round/>
            </a:ln>
          </c:spPr>
          <c:marker>
            <c:symbol val="circle"/>
            <c:size val="9"/>
            <c:spPr>
              <a:solidFill>
                <a:srgbClr val="2e9b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'00-三表与联动'!$B$26:$E$26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Q4E
（指引）</c:v>
                </c:pt>
              </c:strCache>
            </c:strRef>
          </c:cat>
          <c:val>
            <c:numRef>
              <c:f>'00-三表与联动'!$B$44:$E$44</c:f>
              <c:numCache>
                <c:formatCode>0.0%</c:formatCode>
                <c:ptCount val="4"/>
                <c:pt idx="0">
                  <c:v>0.384079747856043</c:v>
                </c:pt>
                <c:pt idx="1">
                  <c:v>0.577745180217938</c:v>
                </c:pt>
                <c:pt idx="2">
                  <c:v>0.681276534156696</c:v>
                </c:pt>
                <c:pt idx="3">
                  <c:v>0.7068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959439"/>
        <c:axId val="88404970"/>
      </c:lineChart>
      <c:catAx>
        <c:axId val="569594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8404970"/>
        <c:crosses val="autoZero"/>
        <c:auto val="1"/>
        <c:lblAlgn val="ctr"/>
        <c:lblOffset val="100"/>
        <c:noMultiLvlLbl val="0"/>
      </c:catAx>
      <c:valAx>
        <c:axId val="88404970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占收入比重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69594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3 · 四大业务单元收入：数据中心两块合计占 61%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'00-三表与联动'!A55</c:f>
              <c:strCache>
                <c:ptCount val="1"/>
                <c:pt idx="0">
                  <c:v>云内存 Cloud Memory (CMBU)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'00-三表与联动'!$B$54:$D$54</c:f>
              <c:strCache>
                <c:ptCount val="3"/>
                <c:pt idx="0">
                  <c:v>Q2 收入</c:v>
                </c:pt>
                <c:pt idx="1">
                  <c:v>Q3 收入</c:v>
                </c:pt>
                <c:pt idx="2">
                  <c:v>Q3-25 收入</c:v>
                </c:pt>
              </c:strCache>
            </c:strRef>
          </c:cat>
          <c:val>
            <c:numRef>
              <c:f>'00-三表与联动'!$B$55:$D$55</c:f>
              <c:numCache>
                <c:formatCode>#,##0;[RED]\(#,##0\);\-</c:formatCode>
                <c:ptCount val="3"/>
                <c:pt idx="0">
                  <c:v>7749</c:v>
                </c:pt>
                <c:pt idx="1">
                  <c:v>13769</c:v>
                </c:pt>
                <c:pt idx="2">
                  <c:v>3386</c:v>
                </c:pt>
              </c:numCache>
            </c:numRef>
          </c:val>
        </c:ser>
        <c:ser>
          <c:idx val="1"/>
          <c:order val="1"/>
          <c:tx>
            <c:strRef>
              <c:f>'00-三表与联动'!A56</c:f>
              <c:strCache>
                <c:ptCount val="1"/>
                <c:pt idx="0">
                  <c:v>核心数据中心 Core Data Center (CDBU)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'00-三表与联动'!$B$54:$D$54</c:f>
              <c:strCache>
                <c:ptCount val="3"/>
                <c:pt idx="0">
                  <c:v>Q2 收入</c:v>
                </c:pt>
                <c:pt idx="1">
                  <c:v>Q3 收入</c:v>
                </c:pt>
                <c:pt idx="2">
                  <c:v>Q3-25 收入</c:v>
                </c:pt>
              </c:strCache>
            </c:strRef>
          </c:cat>
          <c:val>
            <c:numRef>
              <c:f>'00-三表与联动'!$B$56:$D$56</c:f>
              <c:numCache>
                <c:formatCode>#,##0;[RED]\(#,##0\);\-</c:formatCode>
                <c:ptCount val="3"/>
                <c:pt idx="0">
                  <c:v>5687</c:v>
                </c:pt>
                <c:pt idx="1">
                  <c:v>11524</c:v>
                </c:pt>
                <c:pt idx="2">
                  <c:v>1530</c:v>
                </c:pt>
              </c:numCache>
            </c:numRef>
          </c:val>
        </c:ser>
        <c:ser>
          <c:idx val="2"/>
          <c:order val="2"/>
          <c:tx>
            <c:strRef>
              <c:f>'00-三表与联动'!A57</c:f>
              <c:strCache>
                <c:ptCount val="1"/>
                <c:pt idx="0">
                  <c:v>移动与客户端 Mobile &amp; Client (MCBU)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'00-三表与联动'!$B$54:$D$54</c:f>
              <c:strCache>
                <c:ptCount val="3"/>
                <c:pt idx="0">
                  <c:v>Q2 收入</c:v>
                </c:pt>
                <c:pt idx="1">
                  <c:v>Q3 收入</c:v>
                </c:pt>
                <c:pt idx="2">
                  <c:v>Q3-25 收入</c:v>
                </c:pt>
              </c:strCache>
            </c:strRef>
          </c:cat>
          <c:val>
            <c:numRef>
              <c:f>'00-三表与联动'!$B$57:$D$57</c:f>
              <c:numCache>
                <c:formatCode>#,##0;[RED]\(#,##0\);\-</c:formatCode>
                <c:ptCount val="3"/>
                <c:pt idx="0">
                  <c:v>7711</c:v>
                </c:pt>
                <c:pt idx="1">
                  <c:v>11521</c:v>
                </c:pt>
                <c:pt idx="2">
                  <c:v>3255</c:v>
                </c:pt>
              </c:numCache>
            </c:numRef>
          </c:val>
        </c:ser>
        <c:ser>
          <c:idx val="3"/>
          <c:order val="3"/>
          <c:tx>
            <c:strRef>
              <c:f>'00-三表与联动'!A58</c:f>
              <c:strCache>
                <c:ptCount val="1"/>
                <c:pt idx="0">
                  <c:v>汽车与嵌入式 Auto &amp; Embedded (AEBU)</c:v>
                </c:pt>
              </c:strCache>
            </c:strRef>
          </c:tx>
          <c:spPr>
            <a:solidFill>
              <a:srgbClr val="c9dcf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'00-三表与联动'!$B$54:$D$54</c:f>
              <c:strCache>
                <c:ptCount val="3"/>
                <c:pt idx="0">
                  <c:v>Q2 收入</c:v>
                </c:pt>
                <c:pt idx="1">
                  <c:v>Q3 收入</c:v>
                </c:pt>
                <c:pt idx="2">
                  <c:v>Q3-25 收入</c:v>
                </c:pt>
              </c:strCache>
            </c:strRef>
          </c:cat>
          <c:val>
            <c:numRef>
              <c:f>'00-三表与联动'!$B$58:$D$58</c:f>
              <c:numCache>
                <c:formatCode>#,##0;[RED]\(#,##0\);\-</c:formatCode>
                <c:ptCount val="3"/>
                <c:pt idx="0">
                  <c:v>2708</c:v>
                </c:pt>
                <c:pt idx="1">
                  <c:v>4634</c:v>
                </c:pt>
                <c:pt idx="2">
                  <c:v>1127</c:v>
                </c:pt>
              </c:numCache>
            </c:numRef>
          </c:val>
        </c:ser>
        <c:gapWidth val="60"/>
        <c:overlap val="0"/>
        <c:axId val="89775740"/>
        <c:axId val="84738380"/>
      </c:barChart>
      <c:catAx>
        <c:axId val="897757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4738380"/>
        <c:crosses val="autoZero"/>
        <c:auto val="1"/>
        <c:lblAlgn val="ctr"/>
        <c:lblOffset val="100"/>
        <c:noMultiLvlLbl val="0"/>
      </c:catAx>
      <c:valAx>
        <c:axId val="84738380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97757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4 · 经营现金流、资本开支与调整后自由现金流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'00-三表与联动'!A134</c:f>
              <c:strCache>
                <c:ptCount val="1"/>
                <c:pt idx="0">
                  <c:v>经营活动现金流 OCF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'00-三表与联动'!$B$133:$D$133</c:f>
              <c:strCache>
                <c:ptCount val="3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</c:strCache>
            </c:strRef>
          </c:cat>
          <c:val>
            <c:numRef>
              <c:f>'00-三表与联动'!$B$134:$D$134</c:f>
              <c:numCache>
                <c:formatCode>#,##0;[RED]\(#,##0\);\-</c:formatCode>
                <c:ptCount val="3"/>
                <c:pt idx="0">
                  <c:v>8411</c:v>
                </c:pt>
                <c:pt idx="1">
                  <c:v>11903</c:v>
                </c:pt>
                <c:pt idx="2">
                  <c:v>25388</c:v>
                </c:pt>
              </c:numCache>
            </c:numRef>
          </c:val>
        </c:ser>
        <c:ser>
          <c:idx val="1"/>
          <c:order val="1"/>
          <c:tx>
            <c:strRef>
              <c:f>'00-三表与联动'!A135</c:f>
              <c:strCache>
                <c:ptCount val="1"/>
                <c:pt idx="0">
                  <c:v>购建固定资产 Expenditures for PP&amp;E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'00-三表与联动'!$B$133:$D$133</c:f>
              <c:strCache>
                <c:ptCount val="3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</c:strCache>
            </c:strRef>
          </c:cat>
          <c:val>
            <c:numRef>
              <c:f>'00-三表与联动'!$B$135:$D$135</c:f>
              <c:numCache>
                <c:formatCode>#,##0;[RED]\(#,##0\);\-</c:formatCode>
                <c:ptCount val="3"/>
                <c:pt idx="0">
                  <c:v>-5389</c:v>
                </c:pt>
                <c:pt idx="1">
                  <c:v>-6387</c:v>
                </c:pt>
                <c:pt idx="2">
                  <c:v>-7826</c:v>
                </c:pt>
              </c:numCache>
            </c:numRef>
          </c:val>
        </c:ser>
        <c:ser>
          <c:idx val="2"/>
          <c:order val="2"/>
          <c:tx>
            <c:strRef>
              <c:f>'00-三表与联动'!A139</c:f>
              <c:strCache>
                <c:ptCount val="1"/>
                <c:pt idx="0">
                  <c:v>调整后自由现金流 Adjusted FCF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'00-三表与联动'!$B$133:$D$133</c:f>
              <c:strCache>
                <c:ptCount val="3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</c:strCache>
            </c:strRef>
          </c:cat>
          <c:val>
            <c:numRef>
              <c:f>'00-三表与联动'!$B$139:$D$139</c:f>
              <c:numCache>
                <c:formatCode>#,##0;[RED]\(#,##0\);\-</c:formatCode>
                <c:ptCount val="3"/>
                <c:pt idx="0">
                  <c:v>3900</c:v>
                </c:pt>
                <c:pt idx="1">
                  <c:v>6899</c:v>
                </c:pt>
                <c:pt idx="2">
                  <c:v>18304</c:v>
                </c:pt>
              </c:numCache>
            </c:numRef>
          </c:val>
        </c:ser>
        <c:gapWidth val="60"/>
        <c:overlap val="0"/>
        <c:axId val="35574879"/>
        <c:axId val="93847836"/>
      </c:barChart>
      <c:catAx>
        <c:axId val="355748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3847836"/>
        <c:crosses val="autoZero"/>
        <c:auto val="1"/>
        <c:lblAlgn val="ctr"/>
        <c:lblOffset val="100"/>
        <c:noMultiLvlLbl val="0"/>
      </c:catAx>
      <c:valAx>
        <c:axId val="93847836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55748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5 · 摊薄每股收益：从 $4.60 到指引的 $30.73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'00-三表与联动'!$A$46</c:f>
              <c:strCache>
                <c:ptCount val="1"/>
                <c:pt idx="0">
                  <c:v>摊薄每股收益 Diluted EPS ($)</c:v>
                </c:pt>
              </c:strCache>
            </c:strRef>
          </c:tx>
          <c:spPr>
            <a:solidFill>
              <a:srgbClr val="16305b"/>
            </a:solidFill>
            <a:ln w="44280">
              <a:solidFill>
                <a:srgbClr val="16305b"/>
              </a:solidFill>
              <a:round/>
            </a:ln>
          </c:spPr>
          <c:marker>
            <c:symbol val="circle"/>
            <c:size val="12"/>
            <c:spPr>
              <a:solidFill>
                <a:srgbClr val="1630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'00-三表与联动'!$B$26:$E$26</c:f>
              <c:strCache>
                <c:ptCount val="4"/>
                <c:pt idx="0">
                  <c:v>FY26 Q1</c:v>
                </c:pt>
                <c:pt idx="1">
                  <c:v>FY26 Q2</c:v>
                </c:pt>
                <c:pt idx="2">
                  <c:v>FY26 Q3</c:v>
                </c:pt>
                <c:pt idx="3">
                  <c:v>FY26 Q4E
（指引）</c:v>
                </c:pt>
              </c:strCache>
            </c:strRef>
          </c:cat>
          <c:val>
            <c:numRef>
              <c:f>'00-三表与联动'!$B$46:$E$46</c:f>
              <c:numCache>
                <c:formatCode>#,##0.00;[RED]\(#,##0.00\);\-</c:formatCode>
                <c:ptCount val="4"/>
                <c:pt idx="0">
                  <c:v>4.6</c:v>
                </c:pt>
                <c:pt idx="1">
                  <c:v>12.07</c:v>
                </c:pt>
                <c:pt idx="2">
                  <c:v>24.67</c:v>
                </c:pt>
                <c:pt idx="3">
                  <c:v>30.73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6626792"/>
        <c:axId val="74372900"/>
      </c:lineChart>
      <c:catAx>
        <c:axId val="666267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4372900"/>
        <c:crosses val="autoZero"/>
        <c:auto val="1"/>
        <c:lblAlgn val="ctr"/>
        <c:lblOffset val="100"/>
        <c:noMultiLvlLbl val="0"/>
      </c:catAx>
      <c:valAx>
        <c:axId val="74372900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摊薄每股收益（美元）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666267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1 · 收入 / 毛利 / 营业利润（悲观）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'01-DCF-悲观'!A230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'01-DCF-悲观'!$B$230:$H$230</c:f>
              <c:numCache>
                <c:formatCode>#,##0;[RED]\(#,##0\);\-</c:formatCode>
                <c:ptCount val="7"/>
                <c:pt idx="0">
                  <c:v>128959</c:v>
                </c:pt>
                <c:pt idx="1">
                  <c:v>176999.928000006</c:v>
                </c:pt>
                <c:pt idx="2">
                  <c:v>115049.953200004</c:v>
                </c:pt>
                <c:pt idx="3">
                  <c:v>105845.956944003</c:v>
                </c:pt>
                <c:pt idx="4">
                  <c:v>120664.390916164</c:v>
                </c:pt>
                <c:pt idx="5">
                  <c:v>135144.117826104</c:v>
                </c:pt>
                <c:pt idx="6">
                  <c:v>145955.647252192</c:v>
                </c:pt>
              </c:numCache>
            </c:numRef>
          </c:val>
        </c:ser>
        <c:ser>
          <c:idx val="1"/>
          <c:order val="1"/>
          <c:tx>
            <c:strRef>
              <c:f>'01-DCF-悲观'!A231</c:f>
              <c:strCache>
                <c:ptCount val="1"/>
                <c:pt idx="0">
                  <c:v>毛利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'01-DCF-悲观'!$B$231:$H$231</c:f>
              <c:numCache>
                <c:formatCode>#,##0;[RED]\(#,##0\);\-</c:formatCode>
                <c:ptCount val="7"/>
                <c:pt idx="0">
                  <c:v>103457</c:v>
                </c:pt>
                <c:pt idx="1">
                  <c:v>129919.952614403</c:v>
                </c:pt>
                <c:pt idx="2">
                  <c:v>43718.9822160014</c:v>
                </c:pt>
                <c:pt idx="3">
                  <c:v>34929.1657915212</c:v>
                </c:pt>
                <c:pt idx="4">
                  <c:v>48265.7563664656</c:v>
                </c:pt>
                <c:pt idx="5">
                  <c:v>58111.9706652246</c:v>
                </c:pt>
                <c:pt idx="6">
                  <c:v>62760.9283184425</c:v>
                </c:pt>
              </c:numCache>
            </c:numRef>
          </c:val>
        </c:ser>
        <c:ser>
          <c:idx val="2"/>
          <c:order val="2"/>
          <c:tx>
            <c:strRef>
              <c:f>'01-DCF-悲观'!A232</c:f>
              <c:strCache>
                <c:ptCount val="1"/>
                <c:pt idx="0">
                  <c:v>营业利润 EBIT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'01-DCF-悲观'!$B$232:$H$232</c:f>
              <c:numCache>
                <c:formatCode>#,##0;[RED]\(#,##0\);\-</c:formatCode>
                <c:ptCount val="7"/>
                <c:pt idx="0">
                  <c:v>96729</c:v>
                </c:pt>
                <c:pt idx="1">
                  <c:v>120184.956574403</c:v>
                </c:pt>
                <c:pt idx="2">
                  <c:v>37391.2347900012</c:v>
                </c:pt>
                <c:pt idx="3">
                  <c:v>29107.638159601</c:v>
                </c:pt>
                <c:pt idx="4">
                  <c:v>41629.2148660766</c:v>
                </c:pt>
                <c:pt idx="5">
                  <c:v>50679.0441847889</c:v>
                </c:pt>
                <c:pt idx="6">
                  <c:v>54733.367719572</c:v>
                </c:pt>
              </c:numCache>
            </c:numRef>
          </c:val>
        </c:ser>
        <c:gapWidth val="55"/>
        <c:overlap val="0"/>
        <c:axId val="54470123"/>
        <c:axId val="96055949"/>
      </c:barChart>
      <c:catAx>
        <c:axId val="544701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6055949"/>
        <c:crosses val="autoZero"/>
        <c:auto val="1"/>
        <c:lblAlgn val="ctr"/>
        <c:lblOffset val="100"/>
        <c:noMultiLvlLbl val="0"/>
      </c:catAx>
      <c:valAx>
        <c:axId val="96055949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44701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2 · 三条利润率曲线：毛利率 / 营业利润率 / FCFF 利润率（悲观）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'01-DCF-悲观'!$A$235</c:f>
              <c:strCache>
                <c:ptCount val="1"/>
                <c:pt idx="0">
                  <c:v>毛利率</c:v>
                </c:pt>
              </c:strCache>
            </c:strRef>
          </c:tx>
          <c:spPr>
            <a:solidFill>
              <a:srgbClr val="c0392b"/>
            </a:solidFill>
            <a:ln w="22320">
              <a:solidFill>
                <a:srgbClr val="c0392b"/>
              </a:solidFill>
              <a:round/>
            </a:ln>
          </c:spPr>
          <c:marker>
            <c:symbol val="circle"/>
            <c:size val="8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'01-DCF-悲观'!$B$235:$H$235</c:f>
              <c:numCache>
                <c:formatCode>0.0%</c:formatCode>
                <c:ptCount val="7"/>
                <c:pt idx="0">
                  <c:v>0.802247225862483</c:v>
                </c:pt>
                <c:pt idx="1">
                  <c:v>0.734011330300647</c:v>
                </c:pt>
                <c:pt idx="2">
                  <c:v>0.38</c:v>
                </c:pt>
                <c:pt idx="3">
                  <c:v>0.33</c:v>
                </c:pt>
                <c:pt idx="4">
                  <c:v>0.4</c:v>
                </c:pt>
                <c:pt idx="5">
                  <c:v>0.43</c:v>
                </c:pt>
                <c:pt idx="6">
                  <c:v>0.43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'01-DCF-悲观'!$A$236</c:f>
              <c:strCache>
                <c:ptCount val="1"/>
                <c:pt idx="0">
                  <c:v>营业利润率</c:v>
                </c:pt>
              </c:strCache>
            </c:strRef>
          </c:tx>
          <c:spPr>
            <a:solidFill>
              <a:srgbClr val="16305b"/>
            </a:solidFill>
            <a:ln w="22320">
              <a:solidFill>
                <a:srgbClr val="16305b"/>
              </a:solidFill>
              <a:round/>
            </a:ln>
          </c:spPr>
          <c:marker>
            <c:symbol val="circle"/>
            <c:size val="8"/>
            <c:spPr>
              <a:solidFill>
                <a:srgbClr val="1630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'01-DCF-悲观'!$B$236:$H$236</c:f>
              <c:numCache>
                <c:formatCode>0.0%</c:formatCode>
                <c:ptCount val="7"/>
                <c:pt idx="0">
                  <c:v>0.75007560542498</c:v>
                </c:pt>
                <c:pt idx="1">
                  <c:v>0.679011330300647</c:v>
                </c:pt>
                <c:pt idx="2">
                  <c:v>0.325</c:v>
                </c:pt>
                <c:pt idx="3">
                  <c:v>0.275</c:v>
                </c:pt>
                <c:pt idx="4">
                  <c:v>0.345</c:v>
                </c:pt>
                <c:pt idx="5">
                  <c:v>0.375</c:v>
                </c:pt>
                <c:pt idx="6">
                  <c:v>0.375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'01-DCF-悲观'!$A$237</c:f>
              <c:strCache>
                <c:ptCount val="1"/>
                <c:pt idx="0">
                  <c:v>FCFF 利润率</c:v>
                </c:pt>
              </c:strCache>
            </c:strRef>
          </c:tx>
          <c:spPr>
            <a:solidFill>
              <a:srgbClr val="2e9b57"/>
            </a:solidFill>
            <a:ln w="22320">
              <a:solidFill>
                <a:srgbClr val="2e9b57"/>
              </a:solidFill>
              <a:round/>
            </a:ln>
          </c:spPr>
          <c:marker>
            <c:symbol val="circle"/>
            <c:size val="8"/>
            <c:spPr>
              <a:solidFill>
                <a:srgbClr val="2e9b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'01-DCF-悲观'!$B$237:$H$237</c:f>
              <c:numCache>
                <c:formatCode>0.0%</c:formatCode>
                <c:ptCount val="7"/>
                <c:pt idx="0">
                  <c:v>0.225676377763475</c:v>
                </c:pt>
                <c:pt idx="1">
                  <c:v>0.482129484277563</c:v>
                </c:pt>
                <c:pt idx="2">
                  <c:v>0.263330769230769</c:v>
                </c:pt>
                <c:pt idx="3">
                  <c:v>0.143317391304348</c:v>
                </c:pt>
                <c:pt idx="4">
                  <c:v>0.164008771929825</c:v>
                </c:pt>
                <c:pt idx="5">
                  <c:v>0.19135</c:v>
                </c:pt>
                <c:pt idx="6">
                  <c:v>0.197137037037037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742957"/>
        <c:axId val="27879110"/>
      </c:lineChart>
      <c:catAx>
        <c:axId val="347429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7879110"/>
        <c:crosses val="autoZero"/>
        <c:auto val="1"/>
        <c:lblAlgn val="ctr"/>
        <c:lblOffset val="100"/>
        <c:noMultiLvlLbl val="0"/>
      </c:catAx>
      <c:valAx>
        <c:axId val="27879110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占收入比重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47429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3 · 税后经营利润 NOPAT 与自由现金流 FCFF（悲观）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'01-DCF-悲观'!A233</c:f>
              <c:strCache>
                <c:ptCount val="1"/>
                <c:pt idx="0">
                  <c:v>税后经营利润 NOPAT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'01-DCF-悲观'!$B$233:$H$233</c:f>
              <c:numCache>
                <c:formatCode>#,##0;[RED]\(#,##0\);\-</c:formatCode>
                <c:ptCount val="7"/>
                <c:pt idx="0">
                  <c:v>82608</c:v>
                </c:pt>
                <c:pt idx="1">
                  <c:v>98551.6643910102</c:v>
                </c:pt>
                <c:pt idx="2">
                  <c:v>30660.812527801</c:v>
                </c:pt>
                <c:pt idx="3">
                  <c:v>23868.2632908728</c:v>
                </c:pt>
                <c:pt idx="4">
                  <c:v>34135.9561901828</c:v>
                </c:pt>
                <c:pt idx="5">
                  <c:v>41556.8162315269</c:v>
                </c:pt>
                <c:pt idx="6">
                  <c:v>44881.361530049</c:v>
                </c:pt>
              </c:numCache>
            </c:numRef>
          </c:val>
        </c:ser>
        <c:ser>
          <c:idx val="1"/>
          <c:order val="1"/>
          <c:tx>
            <c:strRef>
              <c:f>'01-DCF-悲观'!A234</c:f>
              <c:strCache>
                <c:ptCount val="1"/>
                <c:pt idx="0">
                  <c:v>自由现金流 FCFF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'01-DCF-悲观'!$B$234:$H$234</c:f>
              <c:numCache>
                <c:formatCode>#,##0;[RED]\(#,##0\);\-</c:formatCode>
                <c:ptCount val="7"/>
                <c:pt idx="0">
                  <c:v>29103</c:v>
                </c:pt>
                <c:pt idx="1">
                  <c:v>85336.8840038086</c:v>
                </c:pt>
                <c:pt idx="2">
                  <c:v>30296.192676121</c:v>
                </c:pt>
                <c:pt idx="3">
                  <c:v>15169.5664293269</c:v>
                </c:pt>
                <c:pt idx="4">
                  <c:v>19790.0185698203</c:v>
                </c:pt>
                <c:pt idx="5">
                  <c:v>25859.8269460249</c:v>
                </c:pt>
                <c:pt idx="6">
                  <c:v>28773.2638381201</c:v>
                </c:pt>
              </c:numCache>
            </c:numRef>
          </c:val>
        </c:ser>
        <c:gapWidth val="60"/>
        <c:overlap val="0"/>
        <c:axId val="30358047"/>
        <c:axId val="98606323"/>
      </c:barChart>
      <c:catAx>
        <c:axId val="303580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8606323"/>
        <c:crosses val="autoZero"/>
        <c:auto val="1"/>
        <c:lblAlgn val="ctr"/>
        <c:lblOffset val="100"/>
        <c:noMultiLvlLbl val="0"/>
      </c:catAx>
      <c:valAx>
        <c:axId val="98606323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03580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4 · 摊薄每股收益 EPS（悲观）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'01-DCF-悲观'!$A$238</c:f>
              <c:strCache>
                <c:ptCount val="1"/>
                <c:pt idx="0">
                  <c:v>摊薄每股收益 EPS</c:v>
                </c:pt>
              </c:strCache>
            </c:strRef>
          </c:tx>
          <c:spPr>
            <a:solidFill>
              <a:srgbClr val="c0392b"/>
            </a:solidFill>
            <a:ln w="44280">
              <a:solidFill>
                <a:srgbClr val="c0392b"/>
              </a:solidFill>
              <a:round/>
            </a:ln>
          </c:spPr>
          <c:marker>
            <c:symbol val="circle"/>
            <c:size val="12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'01-DCF-悲观'!$B$238:$H$238</c:f>
              <c:numCache>
                <c:formatCode>\$#,##0.00</c:formatCode>
                <c:ptCount val="7"/>
                <c:pt idx="0">
                  <c:v>72.21</c:v>
                </c:pt>
                <c:pt idx="1">
                  <c:v>85.6970994704437</c:v>
                </c:pt>
                <c:pt idx="2">
                  <c:v>26.6615761111313</c:v>
                </c:pt>
                <c:pt idx="3">
                  <c:v>20.7550115572807</c:v>
                </c:pt>
                <c:pt idx="4">
                  <c:v>29.6834401653763</c:v>
                </c:pt>
                <c:pt idx="5">
                  <c:v>36.1363619404582</c:v>
                </c:pt>
                <c:pt idx="6">
                  <c:v>39.0272708956948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155229"/>
        <c:axId val="59033329"/>
      </c:lineChart>
      <c:catAx>
        <c:axId val="481552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9033329"/>
        <c:crosses val="autoZero"/>
        <c:auto val="1"/>
        <c:lblAlgn val="ctr"/>
        <c:lblOffset val="100"/>
        <c:noMultiLvlLbl val="0"/>
      </c:catAx>
      <c:valAx>
        <c:axId val="59033329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每股收益（美元）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81552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5 · 收入增速：从超级周期回归常态（悲观）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'01-DCF-悲观'!A239</c:f>
              <c:strCache>
                <c:ptCount val="1"/>
                <c:pt idx="0">
                  <c:v>收入增速 YoY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'01-DCF-悲观'!$B$239:$H$239</c:f>
              <c:numCache>
                <c:formatCode>0.0%</c:formatCode>
                <c:ptCount val="7"/>
                <c:pt idx="0">
                  <c:v>16.5335146159075</c:v>
                </c:pt>
                <c:pt idx="1">
                  <c:v>0.372528695166726</c:v>
                </c:pt>
                <c:pt idx="2">
                  <c:v>-0.35</c:v>
                </c:pt>
                <c:pt idx="3">
                  <c:v>-0.0799999999999999</c:v>
                </c:pt>
                <c:pt idx="4">
                  <c:v>0.14</c:v>
                </c:pt>
                <c:pt idx="5">
                  <c:v>0.12</c:v>
                </c:pt>
                <c:pt idx="6">
                  <c:v>0.0800000000000001</c:v>
                </c:pt>
              </c:numCache>
            </c:numRef>
          </c:val>
        </c:ser>
        <c:gapWidth val="90"/>
        <c:overlap val="0"/>
        <c:axId val="81400062"/>
        <c:axId val="51898334"/>
      </c:barChart>
      <c:catAx>
        <c:axId val="81400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1898334"/>
        <c:crosses val="autoZero"/>
        <c:auto val="1"/>
        <c:lblAlgn val="ctr"/>
        <c:lblOffset val="100"/>
        <c:noMultiLvlLbl val="0"/>
      </c:catAx>
      <c:valAx>
        <c:axId val="51898334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同比增速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14000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6 · 敏感性：WACC × 终局毛利率下的每股价值（悲观）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'01-DCF-悲观'!I167</c:f>
              <c:strCache>
                <c:ptCount val="1"/>
                <c:pt idx="0">
                  <c:v>33.0%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'01-DCF-悲观'!$H$168:$H$172</c:f>
              <c:strCache>
                <c:ptCount val="5"/>
                <c:pt idx="0">
                  <c:v>11.00%</c:v>
                </c:pt>
                <c:pt idx="1">
                  <c:v>12.00%</c:v>
                </c:pt>
                <c:pt idx="2">
                  <c:v>13.00%</c:v>
                </c:pt>
                <c:pt idx="3">
                  <c:v>14.00%</c:v>
                </c:pt>
                <c:pt idx="4">
                  <c:v>15.00%</c:v>
                </c:pt>
              </c:strCache>
            </c:strRef>
          </c:cat>
          <c:val>
            <c:numRef>
              <c:f>'01-DCF-悲观'!$I$168:$I$172</c:f>
              <c:numCache>
                <c:formatCode>\$#,##0.00</c:formatCode>
                <c:ptCount val="5"/>
                <c:pt idx="0">
                  <c:v>262.811163119764</c:v>
                </c:pt>
                <c:pt idx="1">
                  <c:v>243.924324219185</c:v>
                </c:pt>
                <c:pt idx="2">
                  <c:v>228.189054788072</c:v>
                </c:pt>
                <c:pt idx="3">
                  <c:v>214.806258200821</c:v>
                </c:pt>
                <c:pt idx="4">
                  <c:v>203.231357744624</c:v>
                </c:pt>
              </c:numCache>
            </c:numRef>
          </c:val>
        </c:ser>
        <c:ser>
          <c:idx val="1"/>
          <c:order val="1"/>
          <c:tx>
            <c:strRef>
              <c:f>'01-DCF-悲观'!J167</c:f>
              <c:strCache>
                <c:ptCount val="1"/>
                <c:pt idx="0">
                  <c:v>38.0%</c:v>
                </c:pt>
              </c:strCache>
            </c:strRef>
          </c:tx>
          <c:spPr>
            <a:solidFill>
              <a:srgbClr val="e08a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'01-DCF-悲观'!$H$168:$H$172</c:f>
              <c:strCache>
                <c:ptCount val="5"/>
                <c:pt idx="0">
                  <c:v>11.00%</c:v>
                </c:pt>
                <c:pt idx="1">
                  <c:v>12.00%</c:v>
                </c:pt>
                <c:pt idx="2">
                  <c:v>13.00%</c:v>
                </c:pt>
                <c:pt idx="3">
                  <c:v>14.00%</c:v>
                </c:pt>
                <c:pt idx="4">
                  <c:v>15.00%</c:v>
                </c:pt>
              </c:strCache>
            </c:strRef>
          </c:cat>
          <c:val>
            <c:numRef>
              <c:f>'01-DCF-悲观'!$J$168:$J$172</c:f>
              <c:numCache>
                <c:formatCode>\$#,##0.00</c:formatCode>
                <c:ptCount val="5"/>
                <c:pt idx="0">
                  <c:v>296.359731057782</c:v>
                </c:pt>
                <c:pt idx="1">
                  <c:v>272.368872655166</c:v>
                </c:pt>
                <c:pt idx="2">
                  <c:v>252.587987256025</c:v>
                </c:pt>
                <c:pt idx="3">
                  <c:v>235.936469334992</c:v>
                </c:pt>
                <c:pt idx="4">
                  <c:v>221.678696791406</c:v>
                </c:pt>
              </c:numCache>
            </c:numRef>
          </c:val>
        </c:ser>
        <c:ser>
          <c:idx val="2"/>
          <c:order val="2"/>
          <c:tx>
            <c:strRef>
              <c:f>'01-DCF-悲观'!K167</c:f>
              <c:strCache>
                <c:ptCount val="1"/>
                <c:pt idx="0">
                  <c:v>43.0%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'01-DCF-悲观'!$H$168:$H$172</c:f>
              <c:strCache>
                <c:ptCount val="5"/>
                <c:pt idx="0">
                  <c:v>11.00%</c:v>
                </c:pt>
                <c:pt idx="1">
                  <c:v>12.00%</c:v>
                </c:pt>
                <c:pt idx="2">
                  <c:v>13.00%</c:v>
                </c:pt>
                <c:pt idx="3">
                  <c:v>14.00%</c:v>
                </c:pt>
                <c:pt idx="4">
                  <c:v>15.00%</c:v>
                </c:pt>
              </c:strCache>
            </c:strRef>
          </c:cat>
          <c:val>
            <c:numRef>
              <c:f>'01-DCF-悲观'!$K$168:$K$172</c:f>
              <c:numCache>
                <c:formatCode>\$#,##0.00</c:formatCode>
                <c:ptCount val="5"/>
                <c:pt idx="0">
                  <c:v>329.9082989958</c:v>
                </c:pt>
                <c:pt idx="1">
                  <c:v>300.813421091147</c:v>
                </c:pt>
                <c:pt idx="2">
                  <c:v>276.986919723978</c:v>
                </c:pt>
                <c:pt idx="3">
                  <c:v>257.066680469163</c:v>
                </c:pt>
                <c:pt idx="4">
                  <c:v>240.126035838188</c:v>
                </c:pt>
              </c:numCache>
            </c:numRef>
          </c:val>
        </c:ser>
        <c:ser>
          <c:idx val="3"/>
          <c:order val="3"/>
          <c:tx>
            <c:strRef>
              <c:f>'01-DCF-悲观'!L167</c:f>
              <c:strCache>
                <c:ptCount val="1"/>
                <c:pt idx="0">
                  <c:v>48.0%</c:v>
                </c:pt>
              </c:strCache>
            </c:strRef>
          </c:tx>
          <c:spPr>
            <a:solidFill>
              <a:srgbClr val="7fb06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'01-DCF-悲观'!$H$168:$H$172</c:f>
              <c:strCache>
                <c:ptCount val="5"/>
                <c:pt idx="0">
                  <c:v>11.00%</c:v>
                </c:pt>
                <c:pt idx="1">
                  <c:v>12.00%</c:v>
                </c:pt>
                <c:pt idx="2">
                  <c:v>13.00%</c:v>
                </c:pt>
                <c:pt idx="3">
                  <c:v>14.00%</c:v>
                </c:pt>
                <c:pt idx="4">
                  <c:v>15.00%</c:v>
                </c:pt>
              </c:strCache>
            </c:strRef>
          </c:cat>
          <c:val>
            <c:numRef>
              <c:f>'01-DCF-悲观'!$L$168:$L$172</c:f>
              <c:numCache>
                <c:formatCode>\$#,##0.00</c:formatCode>
                <c:ptCount val="5"/>
                <c:pt idx="0">
                  <c:v>363.456866933818</c:v>
                </c:pt>
                <c:pt idx="1">
                  <c:v>329.257969527127</c:v>
                </c:pt>
                <c:pt idx="2">
                  <c:v>301.385852191931</c:v>
                </c:pt>
                <c:pt idx="3">
                  <c:v>278.196891603334</c:v>
                </c:pt>
                <c:pt idx="4">
                  <c:v>258.573374884969</c:v>
                </c:pt>
              </c:numCache>
            </c:numRef>
          </c:val>
        </c:ser>
        <c:ser>
          <c:idx val="4"/>
          <c:order val="4"/>
          <c:tx>
            <c:strRef>
              <c:f>'01-DCF-悲观'!M167</c:f>
              <c:strCache>
                <c:ptCount val="1"/>
                <c:pt idx="0">
                  <c:v>53.0%</c:v>
                </c:pt>
              </c:strCache>
            </c:strRef>
          </c:tx>
          <c:spPr>
            <a:solidFill>
              <a:srgbClr val="2e7d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'01-DCF-悲观'!$H$168:$H$172</c:f>
              <c:strCache>
                <c:ptCount val="5"/>
                <c:pt idx="0">
                  <c:v>11.00%</c:v>
                </c:pt>
                <c:pt idx="1">
                  <c:v>12.00%</c:v>
                </c:pt>
                <c:pt idx="2">
                  <c:v>13.00%</c:v>
                </c:pt>
                <c:pt idx="3">
                  <c:v>14.00%</c:v>
                </c:pt>
                <c:pt idx="4">
                  <c:v>15.00%</c:v>
                </c:pt>
              </c:strCache>
            </c:strRef>
          </c:cat>
          <c:val>
            <c:numRef>
              <c:f>'01-DCF-悲观'!$M$168:$M$172</c:f>
              <c:numCache>
                <c:formatCode>\$#,##0.00</c:formatCode>
                <c:ptCount val="5"/>
                <c:pt idx="0">
                  <c:v>397.005434871836</c:v>
                </c:pt>
                <c:pt idx="1">
                  <c:v>357.702517963108</c:v>
                </c:pt>
                <c:pt idx="2">
                  <c:v>325.784784659885</c:v>
                </c:pt>
                <c:pt idx="3">
                  <c:v>299.327102737504</c:v>
                </c:pt>
                <c:pt idx="4">
                  <c:v>277.020713931751</c:v>
                </c:pt>
              </c:numCache>
            </c:numRef>
          </c:val>
        </c:ser>
        <c:gapWidth val="45"/>
        <c:overlap val="0"/>
        <c:axId val="86544127"/>
        <c:axId val="94259443"/>
      </c:barChart>
      <c:catAx>
        <c:axId val="86544127"/>
        <c:scaling>
          <c:orientation val="minMax"/>
        </c:scaling>
        <c:delete val="0"/>
        <c:axPos val="b"/>
        <c:numFmt formatCode="\$#,##0.00" sourceLinked="0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4259443"/>
        <c:crosses val="autoZero"/>
        <c:auto val="1"/>
        <c:lblAlgn val="ctr"/>
        <c:lblOffset val="100"/>
        <c:noMultiLvlLbl val="0"/>
      </c:catAx>
      <c:valAx>
        <c:axId val="94259443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65441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7 · 回购把股本压缩到什么程度（悲观）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'01-DCF-悲观'!A240</c:f>
              <c:strCache>
                <c:ptCount val="1"/>
                <c:pt idx="0">
                  <c:v>期末摊薄股数（百万股）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'01-DCF-悲观'!$B$240:$H$240</c:f>
              <c:numCache>
                <c:formatCode>#,##0.0</c:formatCode>
                <c:ptCount val="7"/>
                <c:pt idx="0">
                  <c:v>1150</c:v>
                </c:pt>
                <c:pt idx="1">
                  <c:v>1063.22752873298</c:v>
                </c:pt>
                <c:pt idx="2">
                  <c:v>1036.51921064832</c:v>
                </c:pt>
                <c:pt idx="3">
                  <c:v>1025.13717754778</c:v>
                </c:pt>
                <c:pt idx="4">
                  <c:v>1011.8519693909</c:v>
                </c:pt>
                <c:pt idx="5">
                  <c:v>996.323681976333</c:v>
                </c:pt>
                <c:pt idx="6">
                  <c:v>981.004941496087</c:v>
                </c:pt>
              </c:numCache>
            </c:numRef>
          </c:val>
        </c:ser>
        <c:gapWidth val="80"/>
        <c:overlap val="0"/>
        <c:axId val="51957839"/>
        <c:axId val="53510862"/>
      </c:barChart>
      <c:catAx>
        <c:axId val="519578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3510862"/>
        <c:crosses val="autoZero"/>
        <c:auto val="1"/>
        <c:lblAlgn val="ctr"/>
        <c:lblOffset val="100"/>
        <c:noMultiLvlLbl val="0"/>
      </c:catAx>
      <c:valAx>
        <c:axId val="53510862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期末摊薄股数（百万股）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19578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8 · 四种口径的每股价值对照（悲观）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'01-DCF-悲观'!B221</c:f>
              <c:strCache>
                <c:ptCount val="1"/>
                <c:pt idx="0">
                  <c:v>每股价值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'01-DCF-悲观'!$A$222:$A$226</c:f>
              <c:strCache>
                <c:ptCount val="5"/>
                <c:pt idx="0">
                  <c:v>DCF（企业自由现金流）</c:v>
                </c:pt>
                <c:pt idx="1">
                  <c:v>EPS × P/E（含回购）</c:v>
                </c:pt>
                <c:pt idx="2">
                  <c:v>12 个月目标价（FY27）</c:v>
                </c:pt>
                <c:pt idx="3">
                  <c:v>当前股价</c:v>
                </c:pt>
                <c:pt idx="4">
                  <c:v>卖方一致目标价</c:v>
                </c:pt>
              </c:strCache>
            </c:strRef>
          </c:cat>
          <c:val>
            <c:numRef>
              <c:f>'01-DCF-悲观'!$B$222:$B$226</c:f>
              <c:numCache>
                <c:formatCode>\$#,##0</c:formatCode>
                <c:ptCount val="5"/>
                <c:pt idx="0">
                  <c:v>282.161082479923</c:v>
                </c:pt>
                <c:pt idx="1">
                  <c:v>209.735709975894</c:v>
                </c:pt>
                <c:pt idx="2">
                  <c:v>393.744185746322</c:v>
                </c:pt>
                <c:pt idx="3">
                  <c:v>903.09</c:v>
                </c:pt>
                <c:pt idx="4">
                  <c:v>2126</c:v>
                </c:pt>
              </c:numCache>
            </c:numRef>
          </c:val>
        </c:ser>
        <c:gapWidth val="55"/>
        <c:overlap val="0"/>
        <c:axId val="55207253"/>
        <c:axId val="4443633"/>
      </c:barChart>
      <c:catAx>
        <c:axId val="55207253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443633"/>
        <c:crosses val="autoZero"/>
        <c:auto val="1"/>
        <c:lblAlgn val="ctr"/>
        <c:lblOffset val="100"/>
        <c:noMultiLvlLbl val="0"/>
      </c:catAx>
      <c:valAx>
        <c:axId val="4443633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52072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1 · 收入 / 毛利 / 营业利润（基准）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'02-DCF-基准'!A230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'02-DCF-基准'!$B$230:$H$230</c:f>
              <c:numCache>
                <c:formatCode>#,##0;[RED]\(#,##0\);\-</c:formatCode>
                <c:ptCount val="7"/>
                <c:pt idx="0">
                  <c:v>128959</c:v>
                </c:pt>
                <c:pt idx="1">
                  <c:v>205000.088743726</c:v>
                </c:pt>
                <c:pt idx="2">
                  <c:v>164000.070994981</c:v>
                </c:pt>
                <c:pt idx="3">
                  <c:v>183680.079514378</c:v>
                </c:pt>
                <c:pt idx="4">
                  <c:v>209395.290646391</c:v>
                </c:pt>
                <c:pt idx="5">
                  <c:v>234522.725523958</c:v>
                </c:pt>
                <c:pt idx="6">
                  <c:v>257974.998076354</c:v>
                </c:pt>
              </c:numCache>
            </c:numRef>
          </c:val>
        </c:ser>
        <c:ser>
          <c:idx val="1"/>
          <c:order val="1"/>
          <c:tx>
            <c:strRef>
              <c:f>'02-DCF-基准'!A231</c:f>
              <c:strCache>
                <c:ptCount val="1"/>
                <c:pt idx="0">
                  <c:v>毛利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'02-DCF-基准'!$B$231:$H$231</c:f>
              <c:numCache>
                <c:formatCode>#,##0;[RED]\(#,##0\);\-</c:formatCode>
                <c:ptCount val="7"/>
                <c:pt idx="0">
                  <c:v>103457</c:v>
                </c:pt>
                <c:pt idx="1">
                  <c:v>169445.07015905</c:v>
                </c:pt>
                <c:pt idx="2">
                  <c:v>111520.048276587</c:v>
                </c:pt>
                <c:pt idx="3">
                  <c:v>128576.055660065</c:v>
                </c:pt>
                <c:pt idx="4">
                  <c:v>150764.609265402</c:v>
                </c:pt>
                <c:pt idx="5">
                  <c:v>164165.907866771</c:v>
                </c:pt>
                <c:pt idx="6">
                  <c:v>175422.998691921</c:v>
                </c:pt>
              </c:numCache>
            </c:numRef>
          </c:val>
        </c:ser>
        <c:ser>
          <c:idx val="2"/>
          <c:order val="2"/>
          <c:tx>
            <c:strRef>
              <c:f>'02-DCF-基准'!A232</c:f>
              <c:strCache>
                <c:ptCount val="1"/>
                <c:pt idx="0">
                  <c:v>营业利润 EBIT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'02-DCF-基准'!$B$232:$H$232</c:f>
              <c:numCache>
                <c:formatCode>#,##0;[RED]\(#,##0\);\-</c:formatCode>
                <c:ptCount val="7"/>
                <c:pt idx="0">
                  <c:v>96729</c:v>
                </c:pt>
                <c:pt idx="1">
                  <c:v>160835.066431813</c:v>
                </c:pt>
                <c:pt idx="2">
                  <c:v>104632.045294798</c:v>
                </c:pt>
                <c:pt idx="3">
                  <c:v>120861.492320461</c:v>
                </c:pt>
                <c:pt idx="4">
                  <c:v>141970.007058253</c:v>
                </c:pt>
                <c:pt idx="5">
                  <c:v>154315.953394764</c:v>
                </c:pt>
                <c:pt idx="6">
                  <c:v>164588.048772714</c:v>
                </c:pt>
              </c:numCache>
            </c:numRef>
          </c:val>
        </c:ser>
        <c:gapWidth val="55"/>
        <c:overlap val="0"/>
        <c:axId val="50504338"/>
        <c:axId val="35550102"/>
      </c:barChart>
      <c:catAx>
        <c:axId val="50504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5550102"/>
        <c:crosses val="autoZero"/>
        <c:auto val="1"/>
        <c:lblAlgn val="ctr"/>
        <c:lblOffset val="100"/>
        <c:noMultiLvlLbl val="0"/>
      </c:catAx>
      <c:valAx>
        <c:axId val="35550102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05043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2 · 三条利润率曲线：毛利率 / 营业利润率 / FCFF 利润率（基准）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'02-DCF-基准'!$A$235</c:f>
              <c:strCache>
                <c:ptCount val="1"/>
                <c:pt idx="0">
                  <c:v>毛利率</c:v>
                </c:pt>
              </c:strCache>
            </c:strRef>
          </c:tx>
          <c:spPr>
            <a:solidFill>
              <a:srgbClr val="c0392b"/>
            </a:solidFill>
            <a:ln w="22320">
              <a:solidFill>
                <a:srgbClr val="c0392b"/>
              </a:solidFill>
              <a:round/>
            </a:ln>
          </c:spPr>
          <c:marker>
            <c:symbol val="circle"/>
            <c:size val="8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'02-DCF-基准'!$B$235:$H$235</c:f>
              <c:numCache>
                <c:formatCode>0.0%</c:formatCode>
                <c:ptCount val="7"/>
                <c:pt idx="0">
                  <c:v>0.802247225862483</c:v>
                </c:pt>
                <c:pt idx="1">
                  <c:v>0.826560960033906</c:v>
                </c:pt>
                <c:pt idx="2">
                  <c:v>0.68</c:v>
                </c:pt>
                <c:pt idx="3">
                  <c:v>0.7</c:v>
                </c:pt>
                <c:pt idx="4">
                  <c:v>0.72</c:v>
                </c:pt>
                <c:pt idx="5">
                  <c:v>0.7</c:v>
                </c:pt>
                <c:pt idx="6">
                  <c:v>0.68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'02-DCF-基准'!$A$236</c:f>
              <c:strCache>
                <c:ptCount val="1"/>
                <c:pt idx="0">
                  <c:v>营业利润率</c:v>
                </c:pt>
              </c:strCache>
            </c:strRef>
          </c:tx>
          <c:spPr>
            <a:solidFill>
              <a:srgbClr val="16305b"/>
            </a:solidFill>
            <a:ln w="22320">
              <a:solidFill>
                <a:srgbClr val="16305b"/>
              </a:solidFill>
              <a:round/>
            </a:ln>
          </c:spPr>
          <c:marker>
            <c:symbol val="circle"/>
            <c:size val="8"/>
            <c:spPr>
              <a:solidFill>
                <a:srgbClr val="1630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'02-DCF-基准'!$B$236:$H$236</c:f>
              <c:numCache>
                <c:formatCode>0.0%</c:formatCode>
                <c:ptCount val="7"/>
                <c:pt idx="0">
                  <c:v>0.75007560542498</c:v>
                </c:pt>
                <c:pt idx="1">
                  <c:v>0.784560960033906</c:v>
                </c:pt>
                <c:pt idx="2">
                  <c:v>0.638</c:v>
                </c:pt>
                <c:pt idx="3">
                  <c:v>0.658</c:v>
                </c:pt>
                <c:pt idx="4">
                  <c:v>0.678</c:v>
                </c:pt>
                <c:pt idx="5">
                  <c:v>0.658</c:v>
                </c:pt>
                <c:pt idx="6">
                  <c:v>0.638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'02-DCF-基准'!$A$237</c:f>
              <c:strCache>
                <c:ptCount val="1"/>
                <c:pt idx="0">
                  <c:v>FCFF 利润率</c:v>
                </c:pt>
              </c:strCache>
            </c:strRef>
          </c:tx>
          <c:spPr>
            <a:solidFill>
              <a:srgbClr val="2e9b57"/>
            </a:solidFill>
            <a:ln w="22320">
              <a:solidFill>
                <a:srgbClr val="2e9b57"/>
              </a:solidFill>
              <a:round/>
            </a:ln>
          </c:spPr>
          <c:marker>
            <c:symbol val="circle"/>
            <c:size val="8"/>
            <c:spPr>
              <a:solidFill>
                <a:srgbClr val="2e9b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'02-DCF-基准'!$B$237:$H$237</c:f>
              <c:numCache>
                <c:formatCode>0.0%</c:formatCode>
                <c:ptCount val="7"/>
                <c:pt idx="0">
                  <c:v>0.225676377763475</c:v>
                </c:pt>
                <c:pt idx="1">
                  <c:v>0.564449801692307</c:v>
                </c:pt>
                <c:pt idx="2">
                  <c:v>0.48323</c:v>
                </c:pt>
                <c:pt idx="3">
                  <c:v>0.446358571428571</c:v>
                </c:pt>
                <c:pt idx="4">
                  <c:v>0.460708947368421</c:v>
                </c:pt>
                <c:pt idx="5">
                  <c:v>0.446358571428571</c:v>
                </c:pt>
                <c:pt idx="6">
                  <c:v>0.432093636363636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706854"/>
        <c:axId val="63694462"/>
      </c:lineChart>
      <c:catAx>
        <c:axId val="837068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63694462"/>
        <c:crosses val="autoZero"/>
        <c:auto val="1"/>
        <c:lblAlgn val="ctr"/>
        <c:lblOffset val="100"/>
        <c:noMultiLvlLbl val="0"/>
      </c:catAx>
      <c:valAx>
        <c:axId val="63694462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占收入比重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37068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3 · 税后经营利润 NOPAT 与自由现金流 FCFF（基准）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'02-DCF-基准'!A233</c:f>
              <c:strCache>
                <c:ptCount val="1"/>
                <c:pt idx="0">
                  <c:v>税后经营利润 NOPAT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'02-DCF-基准'!$B$233:$H$233</c:f>
              <c:numCache>
                <c:formatCode>#,##0;[RED]\(#,##0\);\-</c:formatCode>
                <c:ptCount val="7"/>
                <c:pt idx="0">
                  <c:v>82608</c:v>
                </c:pt>
                <c:pt idx="1">
                  <c:v>134297.280470564</c:v>
                </c:pt>
                <c:pt idx="2">
                  <c:v>87367.757821156</c:v>
                </c:pt>
                <c:pt idx="3">
                  <c:v>100919.346087585</c:v>
                </c:pt>
                <c:pt idx="4">
                  <c:v>118544.955893641</c:v>
                </c:pt>
                <c:pt idx="5">
                  <c:v>128853.821084628</c:v>
                </c:pt>
                <c:pt idx="6">
                  <c:v>137431.020725216</c:v>
                </c:pt>
              </c:numCache>
            </c:numRef>
          </c:val>
        </c:ser>
        <c:ser>
          <c:idx val="1"/>
          <c:order val="1"/>
          <c:tx>
            <c:strRef>
              <c:f>'02-DCF-基准'!A234</c:f>
              <c:strCache>
                <c:ptCount val="1"/>
                <c:pt idx="0">
                  <c:v>自由现金流 FCFF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'02-DCF-基准'!$B$234:$H$234</c:f>
              <c:numCache>
                <c:formatCode>#,##0;[RED]\(#,##0\);\-</c:formatCode>
                <c:ptCount val="7"/>
                <c:pt idx="0">
                  <c:v>29103</c:v>
                </c:pt>
                <c:pt idx="1">
                  <c:v>115712.259438301</c:v>
                </c:pt>
                <c:pt idx="2">
                  <c:v>79249.7543069044</c:v>
                </c:pt>
                <c:pt idx="3">
                  <c:v>81987.1778919243</c:v>
                </c:pt>
                <c:pt idx="4">
                  <c:v>96470.2839376035</c:v>
                </c:pt>
                <c:pt idx="5">
                  <c:v>104681.228732409</c:v>
                </c:pt>
                <c:pt idx="6">
                  <c:v>111469.355009714</c:v>
                </c:pt>
              </c:numCache>
            </c:numRef>
          </c:val>
        </c:ser>
        <c:gapWidth val="60"/>
        <c:overlap val="0"/>
        <c:axId val="50746588"/>
        <c:axId val="75669981"/>
      </c:barChart>
      <c:catAx>
        <c:axId val="507465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5669981"/>
        <c:crosses val="autoZero"/>
        <c:auto val="1"/>
        <c:lblAlgn val="ctr"/>
        <c:lblOffset val="100"/>
        <c:noMultiLvlLbl val="0"/>
      </c:catAx>
      <c:valAx>
        <c:axId val="75669981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07465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4 · 摊薄每股收益 EPS（基准）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'02-DCF-基准'!$A$238</c:f>
              <c:strCache>
                <c:ptCount val="1"/>
                <c:pt idx="0">
                  <c:v>摊薄每股收益 EPS</c:v>
                </c:pt>
              </c:strCache>
            </c:strRef>
          </c:tx>
          <c:spPr>
            <a:solidFill>
              <a:srgbClr val="16305b"/>
            </a:solidFill>
            <a:ln w="44280">
              <a:solidFill>
                <a:srgbClr val="16305b"/>
              </a:solidFill>
              <a:round/>
            </a:ln>
          </c:spPr>
          <c:marker>
            <c:symbol val="circle"/>
            <c:size val="12"/>
            <c:spPr>
              <a:solidFill>
                <a:srgbClr val="1630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'02-DCF-基准'!$B$238:$H$238</c:f>
              <c:numCache>
                <c:formatCode>\$#,##0.00</c:formatCode>
                <c:ptCount val="7"/>
                <c:pt idx="0">
                  <c:v>72.21</c:v>
                </c:pt>
                <c:pt idx="1">
                  <c:v>116.780243887447</c:v>
                </c:pt>
                <c:pt idx="2">
                  <c:v>75.9719633227443</c:v>
                </c:pt>
                <c:pt idx="3">
                  <c:v>87.755953119639</c:v>
                </c:pt>
                <c:pt idx="4">
                  <c:v>103.082570342297</c:v>
                </c:pt>
                <c:pt idx="5">
                  <c:v>112.046800943155</c:v>
                </c:pt>
                <c:pt idx="6">
                  <c:v>119.505235413231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446744"/>
        <c:axId val="85118480"/>
      </c:lineChart>
      <c:catAx>
        <c:axId val="734467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5118480"/>
        <c:crosses val="autoZero"/>
        <c:auto val="1"/>
        <c:lblAlgn val="ctr"/>
        <c:lblOffset val="100"/>
        <c:noMultiLvlLbl val="0"/>
      </c:catAx>
      <c:valAx>
        <c:axId val="85118480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每股收益（美元）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34467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5 · 收入增速：从超级周期回归常态（基准）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'02-DCF-基准'!A239</c:f>
              <c:strCache>
                <c:ptCount val="1"/>
                <c:pt idx="0">
                  <c:v>收入增速 YoY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'02-DCF-基准'!$B$239:$H$239</c:f>
              <c:numCache>
                <c:formatCode>0.0%</c:formatCode>
                <c:ptCount val="7"/>
                <c:pt idx="0">
                  <c:v>16.5335146159075</c:v>
                </c:pt>
                <c:pt idx="1">
                  <c:v>0.589653213375768</c:v>
                </c:pt>
                <c:pt idx="2">
                  <c:v>-0.2</c:v>
                </c:pt>
                <c:pt idx="3">
                  <c:v>0.12</c:v>
                </c:pt>
                <c:pt idx="4">
                  <c:v>0.14</c:v>
                </c:pt>
                <c:pt idx="5">
                  <c:v>0.12</c:v>
                </c:pt>
                <c:pt idx="6">
                  <c:v>0.1</c:v>
                </c:pt>
              </c:numCache>
            </c:numRef>
          </c:val>
        </c:ser>
        <c:gapWidth val="90"/>
        <c:overlap val="0"/>
        <c:axId val="40957919"/>
        <c:axId val="54769872"/>
      </c:barChart>
      <c:catAx>
        <c:axId val="409579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4769872"/>
        <c:crosses val="autoZero"/>
        <c:auto val="1"/>
        <c:lblAlgn val="ctr"/>
        <c:lblOffset val="100"/>
        <c:noMultiLvlLbl val="0"/>
      </c:catAx>
      <c:valAx>
        <c:axId val="54769872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同比增速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09579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6 · 敏感性：WACC × 终局毛利率下的每股价值（基准）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'02-DCF-基准'!I167</c:f>
              <c:strCache>
                <c:ptCount val="1"/>
                <c:pt idx="0">
                  <c:v>58.0%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'02-DCF-基准'!$H$168:$H$172</c:f>
              <c:strCache>
                <c:ptCount val="5"/>
                <c:pt idx="0">
                  <c:v>9.00%</c:v>
                </c:pt>
                <c:pt idx="1">
                  <c:v>10.00%</c:v>
                </c:pt>
                <c:pt idx="2">
                  <c:v>11.00%</c:v>
                </c:pt>
                <c:pt idx="3">
                  <c:v>12.00%</c:v>
                </c:pt>
                <c:pt idx="4">
                  <c:v>13.00%</c:v>
                </c:pt>
              </c:strCache>
            </c:strRef>
          </c:cat>
          <c:val>
            <c:numRef>
              <c:f>'02-DCF-基准'!$I$168:$I$172</c:f>
              <c:numCache>
                <c:formatCode>\$#,##0.00</c:formatCode>
                <c:ptCount val="5"/>
                <c:pt idx="0">
                  <c:v>1225.67323979273</c:v>
                </c:pt>
                <c:pt idx="1">
                  <c:v>1062.03379908969</c:v>
                </c:pt>
                <c:pt idx="2">
                  <c:v>938.610086675621</c:v>
                </c:pt>
                <c:pt idx="3">
                  <c:v>842.019396203023</c:v>
                </c:pt>
                <c:pt idx="4">
                  <c:v>764.232206610018</c:v>
                </c:pt>
              </c:numCache>
            </c:numRef>
          </c:val>
        </c:ser>
        <c:ser>
          <c:idx val="1"/>
          <c:order val="1"/>
          <c:tx>
            <c:strRef>
              <c:f>'02-DCF-基准'!J167</c:f>
              <c:strCache>
                <c:ptCount val="1"/>
                <c:pt idx="0">
                  <c:v>63.0%</c:v>
                </c:pt>
              </c:strCache>
            </c:strRef>
          </c:tx>
          <c:spPr>
            <a:solidFill>
              <a:srgbClr val="e08a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'02-DCF-基准'!$H$168:$H$172</c:f>
              <c:strCache>
                <c:ptCount val="5"/>
                <c:pt idx="0">
                  <c:v>9.00%</c:v>
                </c:pt>
                <c:pt idx="1">
                  <c:v>10.00%</c:v>
                </c:pt>
                <c:pt idx="2">
                  <c:v>11.00%</c:v>
                </c:pt>
                <c:pt idx="3">
                  <c:v>12.00%</c:v>
                </c:pt>
                <c:pt idx="4">
                  <c:v>13.00%</c:v>
                </c:pt>
              </c:strCache>
            </c:strRef>
          </c:cat>
          <c:val>
            <c:numRef>
              <c:f>'02-DCF-基准'!$J$168:$J$172</c:f>
              <c:numCache>
                <c:formatCode>\$#,##0.00</c:formatCode>
                <c:ptCount val="5"/>
                <c:pt idx="0">
                  <c:v>1321.53893896456</c:v>
                </c:pt>
                <c:pt idx="1">
                  <c:v>1139.82300373879</c:v>
                </c:pt>
                <c:pt idx="2">
                  <c:v>1003.0782982231</c:v>
                </c:pt>
                <c:pt idx="3">
                  <c:v>896.322272854089</c:v>
                </c:pt>
                <c:pt idx="4">
                  <c:v>810.566529537182</c:v>
                </c:pt>
              </c:numCache>
            </c:numRef>
          </c:val>
        </c:ser>
        <c:ser>
          <c:idx val="2"/>
          <c:order val="2"/>
          <c:tx>
            <c:strRef>
              <c:f>'02-DCF-基准'!K167</c:f>
              <c:strCache>
                <c:ptCount val="1"/>
                <c:pt idx="0">
                  <c:v>68.0%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'02-DCF-基准'!$H$168:$H$172</c:f>
              <c:strCache>
                <c:ptCount val="5"/>
                <c:pt idx="0">
                  <c:v>9.00%</c:v>
                </c:pt>
                <c:pt idx="1">
                  <c:v>10.00%</c:v>
                </c:pt>
                <c:pt idx="2">
                  <c:v>11.00%</c:v>
                </c:pt>
                <c:pt idx="3">
                  <c:v>12.00%</c:v>
                </c:pt>
                <c:pt idx="4">
                  <c:v>13.00%</c:v>
                </c:pt>
              </c:strCache>
            </c:strRef>
          </c:cat>
          <c:val>
            <c:numRef>
              <c:f>'02-DCF-基准'!$K$168:$K$172</c:f>
              <c:numCache>
                <c:formatCode>\$#,##0.00</c:formatCode>
                <c:ptCount val="5"/>
                <c:pt idx="0">
                  <c:v>1417.4046381364</c:v>
                </c:pt>
                <c:pt idx="1">
                  <c:v>1217.61220838789</c:v>
                </c:pt>
                <c:pt idx="2">
                  <c:v>1067.54650977058</c:v>
                </c:pt>
                <c:pt idx="3">
                  <c:v>950.625149505155</c:v>
                </c:pt>
                <c:pt idx="4">
                  <c:v>856.900852464346</c:v>
                </c:pt>
              </c:numCache>
            </c:numRef>
          </c:val>
        </c:ser>
        <c:ser>
          <c:idx val="3"/>
          <c:order val="3"/>
          <c:tx>
            <c:strRef>
              <c:f>'02-DCF-基准'!L167</c:f>
              <c:strCache>
                <c:ptCount val="1"/>
                <c:pt idx="0">
                  <c:v>73.0%</c:v>
                </c:pt>
              </c:strCache>
            </c:strRef>
          </c:tx>
          <c:spPr>
            <a:solidFill>
              <a:srgbClr val="7fb06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'02-DCF-基准'!$H$168:$H$172</c:f>
              <c:strCache>
                <c:ptCount val="5"/>
                <c:pt idx="0">
                  <c:v>9.00%</c:v>
                </c:pt>
                <c:pt idx="1">
                  <c:v>10.00%</c:v>
                </c:pt>
                <c:pt idx="2">
                  <c:v>11.00%</c:v>
                </c:pt>
                <c:pt idx="3">
                  <c:v>12.00%</c:v>
                </c:pt>
                <c:pt idx="4">
                  <c:v>13.00%</c:v>
                </c:pt>
              </c:strCache>
            </c:strRef>
          </c:cat>
          <c:val>
            <c:numRef>
              <c:f>'02-DCF-基准'!$L$168:$L$172</c:f>
              <c:numCache>
                <c:formatCode>\$#,##0.00</c:formatCode>
                <c:ptCount val="5"/>
                <c:pt idx="0">
                  <c:v>1513.27033730823</c:v>
                </c:pt>
                <c:pt idx="1">
                  <c:v>1295.401413037</c:v>
                </c:pt>
                <c:pt idx="2">
                  <c:v>1132.01472131806</c:v>
                </c:pt>
                <c:pt idx="3">
                  <c:v>1004.92802615622</c:v>
                </c:pt>
                <c:pt idx="4">
                  <c:v>903.23517539151</c:v>
                </c:pt>
              </c:numCache>
            </c:numRef>
          </c:val>
        </c:ser>
        <c:ser>
          <c:idx val="4"/>
          <c:order val="4"/>
          <c:tx>
            <c:strRef>
              <c:f>'02-DCF-基准'!M167</c:f>
              <c:strCache>
                <c:ptCount val="1"/>
                <c:pt idx="0">
                  <c:v>78.0%</c:v>
                </c:pt>
              </c:strCache>
            </c:strRef>
          </c:tx>
          <c:spPr>
            <a:solidFill>
              <a:srgbClr val="2e7d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'02-DCF-基准'!$H$168:$H$172</c:f>
              <c:strCache>
                <c:ptCount val="5"/>
                <c:pt idx="0">
                  <c:v>9.00%</c:v>
                </c:pt>
                <c:pt idx="1">
                  <c:v>10.00%</c:v>
                </c:pt>
                <c:pt idx="2">
                  <c:v>11.00%</c:v>
                </c:pt>
                <c:pt idx="3">
                  <c:v>12.00%</c:v>
                </c:pt>
                <c:pt idx="4">
                  <c:v>13.00%</c:v>
                </c:pt>
              </c:strCache>
            </c:strRef>
          </c:cat>
          <c:val>
            <c:numRef>
              <c:f>'02-DCF-基准'!$M$168:$M$172</c:f>
              <c:numCache>
                <c:formatCode>\$#,##0.00</c:formatCode>
                <c:ptCount val="5"/>
                <c:pt idx="0">
                  <c:v>1609.13603648007</c:v>
                </c:pt>
                <c:pt idx="1">
                  <c:v>1373.1906176861</c:v>
                </c:pt>
                <c:pt idx="2">
                  <c:v>1196.48293286554</c:v>
                </c:pt>
                <c:pt idx="3">
                  <c:v>1059.23090280729</c:v>
                </c:pt>
                <c:pt idx="4">
                  <c:v>949.569498318674</c:v>
                </c:pt>
              </c:numCache>
            </c:numRef>
          </c:val>
        </c:ser>
        <c:gapWidth val="45"/>
        <c:overlap val="0"/>
        <c:axId val="8791189"/>
        <c:axId val="96481937"/>
      </c:barChart>
      <c:catAx>
        <c:axId val="8791189"/>
        <c:scaling>
          <c:orientation val="minMax"/>
        </c:scaling>
        <c:delete val="0"/>
        <c:axPos val="b"/>
        <c:numFmt formatCode="\$#,##0.00" sourceLinked="0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6481937"/>
        <c:crosses val="autoZero"/>
        <c:auto val="1"/>
        <c:lblAlgn val="ctr"/>
        <c:lblOffset val="100"/>
        <c:noMultiLvlLbl val="0"/>
      </c:catAx>
      <c:valAx>
        <c:axId val="96481937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7911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7 · 回购把股本压缩到什么程度（基准）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'02-DCF-基准'!A240</c:f>
              <c:strCache>
                <c:ptCount val="1"/>
                <c:pt idx="0">
                  <c:v>期末摊薄股数（百万股）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'02-DCF-基准'!$B$240:$H$240</c:f>
              <c:numCache>
                <c:formatCode>#,##0.0</c:formatCode>
                <c:ptCount val="7"/>
                <c:pt idx="0">
                  <c:v>1150</c:v>
                </c:pt>
                <c:pt idx="1">
                  <c:v>1030.86284278555</c:v>
                </c:pt>
                <c:pt idx="2">
                  <c:v>957.610413656193</c:v>
                </c:pt>
                <c:pt idx="3">
                  <c:v>889.475201390648</c:v>
                </c:pt>
                <c:pt idx="4">
                  <c:v>817.189258720779</c:v>
                </c:pt>
                <c:pt idx="5">
                  <c:v>746.58213347068</c:v>
                </c:pt>
                <c:pt idx="6">
                  <c:v>678.906411321119</c:v>
                </c:pt>
              </c:numCache>
            </c:numRef>
          </c:val>
        </c:ser>
        <c:gapWidth val="80"/>
        <c:overlap val="0"/>
        <c:axId val="61990104"/>
        <c:axId val="81907778"/>
      </c:barChart>
      <c:catAx>
        <c:axId val="619901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1907778"/>
        <c:crosses val="autoZero"/>
        <c:auto val="1"/>
        <c:lblAlgn val="ctr"/>
        <c:lblOffset val="100"/>
        <c:noMultiLvlLbl val="0"/>
      </c:catAx>
      <c:valAx>
        <c:axId val="81907778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期末摊薄股数（百万股）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619901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8 · 四种口径的每股价值对照（基准）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'02-DCF-基准'!B221</c:f>
              <c:strCache>
                <c:ptCount val="1"/>
                <c:pt idx="0">
                  <c:v>每股价值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'02-DCF-基准'!$A$222:$A$226</c:f>
              <c:strCache>
                <c:ptCount val="5"/>
                <c:pt idx="0">
                  <c:v>DCF（企业自由现金流）</c:v>
                </c:pt>
                <c:pt idx="1">
                  <c:v>EPS × P/E（含回购）</c:v>
                </c:pt>
                <c:pt idx="2">
                  <c:v>12 个月目标价（FY27）</c:v>
                </c:pt>
                <c:pt idx="3">
                  <c:v>当前股价</c:v>
                </c:pt>
                <c:pt idx="4">
                  <c:v>卖方一致目标价</c:v>
                </c:pt>
              </c:strCache>
            </c:strRef>
          </c:cat>
          <c:val>
            <c:numRef>
              <c:f>'02-DCF-基准'!$B$222:$B$226</c:f>
              <c:numCache>
                <c:formatCode>\$#,##0</c:formatCode>
                <c:ptCount val="5"/>
                <c:pt idx="0">
                  <c:v>1081.85680296175</c:v>
                </c:pt>
                <c:pt idx="1">
                  <c:v>1209.74181408254</c:v>
                </c:pt>
                <c:pt idx="2">
                  <c:v>805.360954305049</c:v>
                </c:pt>
                <c:pt idx="3">
                  <c:v>903.09</c:v>
                </c:pt>
                <c:pt idx="4">
                  <c:v>2126</c:v>
                </c:pt>
              </c:numCache>
            </c:numRef>
          </c:val>
        </c:ser>
        <c:gapWidth val="55"/>
        <c:overlap val="0"/>
        <c:axId val="22385273"/>
        <c:axId val="94579656"/>
      </c:barChart>
      <c:catAx>
        <c:axId val="22385273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4579656"/>
        <c:crosses val="autoZero"/>
        <c:auto val="1"/>
        <c:lblAlgn val="ctr"/>
        <c:lblOffset val="100"/>
        <c:noMultiLvlLbl val="0"/>
      </c:catAx>
      <c:valAx>
        <c:axId val="94579656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23852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1 · 收入 / 毛利 / 营业利润（乐观）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'03-DCF-乐观'!A230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1630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'03-DCF-乐观'!$B$230:$H$230</c:f>
              <c:numCache>
                <c:formatCode>#,##0;[RED]\(#,##0\);\-</c:formatCode>
                <c:ptCount val="7"/>
                <c:pt idx="0">
                  <c:v>128959</c:v>
                </c:pt>
                <c:pt idx="1">
                  <c:v>242999.996298616</c:v>
                </c:pt>
                <c:pt idx="2">
                  <c:v>279449.995743408</c:v>
                </c:pt>
                <c:pt idx="3">
                  <c:v>318572.995147485</c:v>
                </c:pt>
                <c:pt idx="4">
                  <c:v>356801.754565183</c:v>
                </c:pt>
                <c:pt idx="5">
                  <c:v>392481.930021702</c:v>
                </c:pt>
                <c:pt idx="6">
                  <c:v>423880.484423438</c:v>
                </c:pt>
              </c:numCache>
            </c:numRef>
          </c:val>
        </c:ser>
        <c:ser>
          <c:idx val="1"/>
          <c:order val="1"/>
          <c:tx>
            <c:strRef>
              <c:f>'03-DCF-乐观'!A231</c:f>
              <c:strCache>
                <c:ptCount val="1"/>
                <c:pt idx="0">
                  <c:v>毛利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'03-DCF-乐观'!$B$231:$H$231</c:f>
              <c:numCache>
                <c:formatCode>#,##0;[RED]\(#,##0\);\-</c:formatCode>
                <c:ptCount val="7"/>
                <c:pt idx="0">
                  <c:v>103457</c:v>
                </c:pt>
                <c:pt idx="1">
                  <c:v>210474.99673664</c:v>
                </c:pt>
                <c:pt idx="2">
                  <c:v>229148.996509595</c:v>
                </c:pt>
                <c:pt idx="3">
                  <c:v>254858.396117988</c:v>
                </c:pt>
                <c:pt idx="4">
                  <c:v>278305.368560843</c:v>
                </c:pt>
                <c:pt idx="5">
                  <c:v>298286.266816493</c:v>
                </c:pt>
                <c:pt idx="6">
                  <c:v>313671.558473344</c:v>
                </c:pt>
              </c:numCache>
            </c:numRef>
          </c:val>
        </c:ser>
        <c:ser>
          <c:idx val="2"/>
          <c:order val="2"/>
          <c:tx>
            <c:strRef>
              <c:f>'03-DCF-乐观'!A232</c:f>
              <c:strCache>
                <c:ptCount val="1"/>
                <c:pt idx="0">
                  <c:v>营业利润 EBIT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'03-DCF-乐观'!$B$232:$H$232</c:f>
              <c:numCache>
                <c:formatCode>#,##0;[RED]\(#,##0\);\-</c:formatCode>
                <c:ptCount val="7"/>
                <c:pt idx="0">
                  <c:v>96729</c:v>
                </c:pt>
                <c:pt idx="1">
                  <c:v>201969.996866188</c:v>
                </c:pt>
                <c:pt idx="2">
                  <c:v>219368.246658575</c:v>
                </c:pt>
                <c:pt idx="3">
                  <c:v>243708.341287826</c:v>
                </c:pt>
                <c:pt idx="4">
                  <c:v>265817.307151062</c:v>
                </c:pt>
                <c:pt idx="5">
                  <c:v>284549.399265734</c:v>
                </c:pt>
                <c:pt idx="6">
                  <c:v>298835.741518524</c:v>
                </c:pt>
              </c:numCache>
            </c:numRef>
          </c:val>
        </c:ser>
        <c:gapWidth val="55"/>
        <c:overlap val="0"/>
        <c:axId val="49351633"/>
        <c:axId val="37534960"/>
      </c:barChart>
      <c:catAx>
        <c:axId val="493516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7534960"/>
        <c:crosses val="autoZero"/>
        <c:auto val="1"/>
        <c:lblAlgn val="ctr"/>
        <c:lblOffset val="100"/>
        <c:noMultiLvlLbl val="0"/>
      </c:catAx>
      <c:valAx>
        <c:axId val="37534960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93516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2 · 三条利润率曲线：毛利率 / 营业利润率 / FCFF 利润率（乐观）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'03-DCF-乐观'!$A$235</c:f>
              <c:strCache>
                <c:ptCount val="1"/>
                <c:pt idx="0">
                  <c:v>毛利率</c:v>
                </c:pt>
              </c:strCache>
            </c:strRef>
          </c:tx>
          <c:spPr>
            <a:solidFill>
              <a:srgbClr val="c0392b"/>
            </a:solidFill>
            <a:ln w="22320">
              <a:solidFill>
                <a:srgbClr val="c0392b"/>
              </a:solidFill>
              <a:round/>
            </a:ln>
          </c:spPr>
          <c:marker>
            <c:symbol val="circle"/>
            <c:size val="8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'03-DCF-乐观'!$B$235:$H$235</c:f>
              <c:numCache>
                <c:formatCode>0.0%</c:formatCode>
                <c:ptCount val="7"/>
                <c:pt idx="0">
                  <c:v>0.802247225862483</c:v>
                </c:pt>
                <c:pt idx="1">
                  <c:v>0.866152263138281</c:v>
                </c:pt>
                <c:pt idx="2">
                  <c:v>0.82</c:v>
                </c:pt>
                <c:pt idx="3">
                  <c:v>0.8</c:v>
                </c:pt>
                <c:pt idx="4">
                  <c:v>0.78</c:v>
                </c:pt>
                <c:pt idx="5">
                  <c:v>0.76</c:v>
                </c:pt>
                <c:pt idx="6">
                  <c:v>0.74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'03-DCF-乐观'!$A$236</c:f>
              <c:strCache>
                <c:ptCount val="1"/>
                <c:pt idx="0">
                  <c:v>营业利润率</c:v>
                </c:pt>
              </c:strCache>
            </c:strRef>
          </c:tx>
          <c:spPr>
            <a:solidFill>
              <a:srgbClr val="16305b"/>
            </a:solidFill>
            <a:ln w="22320">
              <a:solidFill>
                <a:srgbClr val="16305b"/>
              </a:solidFill>
              <a:round/>
            </a:ln>
          </c:spPr>
          <c:marker>
            <c:symbol val="circle"/>
            <c:size val="8"/>
            <c:spPr>
              <a:solidFill>
                <a:srgbClr val="1630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'03-DCF-乐观'!$B$236:$H$236</c:f>
              <c:numCache>
                <c:formatCode>0.0%</c:formatCode>
                <c:ptCount val="7"/>
                <c:pt idx="0">
                  <c:v>0.75007560542498</c:v>
                </c:pt>
                <c:pt idx="1">
                  <c:v>0.831152263138281</c:v>
                </c:pt>
                <c:pt idx="2">
                  <c:v>0.785</c:v>
                </c:pt>
                <c:pt idx="3">
                  <c:v>0.765</c:v>
                </c:pt>
                <c:pt idx="4">
                  <c:v>0.745</c:v>
                </c:pt>
                <c:pt idx="5">
                  <c:v>0.725</c:v>
                </c:pt>
                <c:pt idx="6">
                  <c:v>0.705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'03-DCF-乐观'!$A$237</c:f>
              <c:strCache>
                <c:ptCount val="1"/>
                <c:pt idx="0">
                  <c:v>FCFF 利润率</c:v>
                </c:pt>
              </c:strCache>
            </c:strRef>
          </c:tx>
          <c:spPr>
            <a:solidFill>
              <a:srgbClr val="2e9b57"/>
            </a:solidFill>
            <a:ln w="22320">
              <a:solidFill>
                <a:srgbClr val="2e9b57"/>
              </a:solidFill>
              <a:round/>
            </a:ln>
          </c:spPr>
          <c:marker>
            <c:symbol val="circle"/>
            <c:size val="8"/>
            <c:spPr>
              <a:solidFill>
                <a:srgbClr val="2e9b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'03-DCF-乐观'!$B$237:$H$237</c:f>
              <c:numCache>
                <c:formatCode>0.0%</c:formatCode>
                <c:ptCount val="7"/>
                <c:pt idx="0">
                  <c:v>0.225676377763475</c:v>
                </c:pt>
                <c:pt idx="1">
                  <c:v>0.602384775155407</c:v>
                </c:pt>
                <c:pt idx="2">
                  <c:v>0.569666304347826</c:v>
                </c:pt>
                <c:pt idx="3">
                  <c:v>0.553796052631579</c:v>
                </c:pt>
                <c:pt idx="4">
                  <c:v>0.539010714285715</c:v>
                </c:pt>
                <c:pt idx="5">
                  <c:v>0.524302272727273</c:v>
                </c:pt>
                <c:pt idx="6">
                  <c:v>0.509675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717450"/>
        <c:axId val="95454841"/>
      </c:lineChart>
      <c:catAx>
        <c:axId val="977174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5454841"/>
        <c:crosses val="autoZero"/>
        <c:auto val="1"/>
        <c:lblAlgn val="ctr"/>
        <c:lblOffset val="100"/>
        <c:noMultiLvlLbl val="0"/>
      </c:catAx>
      <c:valAx>
        <c:axId val="95454841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占收入比重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77174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3 · 税后经营利润 NOPAT 与自由现金流 FCFF（乐观）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'03-DCF-乐观'!A233</c:f>
              <c:strCache>
                <c:ptCount val="1"/>
                <c:pt idx="0">
                  <c:v>税后经营利润 NOPAT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'03-DCF-乐观'!$B$233:$H$233</c:f>
              <c:numCache>
                <c:formatCode>#,##0;[RED]\(#,##0\);\-</c:formatCode>
                <c:ptCount val="7"/>
                <c:pt idx="0">
                  <c:v>82608</c:v>
                </c:pt>
                <c:pt idx="1">
                  <c:v>170664.647351929</c:v>
                </c:pt>
                <c:pt idx="2">
                  <c:v>185366.168426496</c:v>
                </c:pt>
                <c:pt idx="3">
                  <c:v>205933.548388213</c:v>
                </c:pt>
                <c:pt idx="4">
                  <c:v>224615.624542647</c:v>
                </c:pt>
                <c:pt idx="5">
                  <c:v>240444.242379545</c:v>
                </c:pt>
                <c:pt idx="6">
                  <c:v>252516.201583153</c:v>
                </c:pt>
              </c:numCache>
            </c:numRef>
          </c:val>
        </c:ser>
        <c:ser>
          <c:idx val="1"/>
          <c:order val="1"/>
          <c:tx>
            <c:strRef>
              <c:f>'03-DCF-乐观'!A234</c:f>
              <c:strCache>
                <c:ptCount val="1"/>
                <c:pt idx="0">
                  <c:v>自由现金流 FCFF</c:v>
                </c:pt>
              </c:strCache>
            </c:strRef>
          </c:tx>
          <c:spPr>
            <a:solidFill>
              <a:srgbClr val="2e7d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'03-DCF-乐观'!$B$234:$H$234</c:f>
              <c:numCache>
                <c:formatCode>#,##0;[RED]\(#,##0\);\-</c:formatCode>
                <c:ptCount val="7"/>
                <c:pt idx="0">
                  <c:v>29103</c:v>
                </c:pt>
                <c:pt idx="1">
                  <c:v>146379.498133106</c:v>
                </c:pt>
                <c:pt idx="2">
                  <c:v>159193.246325163</c:v>
                </c:pt>
                <c:pt idx="3">
                  <c:v>176424.467187696</c:v>
                </c:pt>
                <c:pt idx="4">
                  <c:v>192319.968586576</c:v>
                </c:pt>
                <c:pt idx="5">
                  <c:v>205779.167914765</c:v>
                </c:pt>
                <c:pt idx="6">
                  <c:v>216041.285898516</c:v>
                </c:pt>
              </c:numCache>
            </c:numRef>
          </c:val>
        </c:ser>
        <c:gapWidth val="60"/>
        <c:overlap val="0"/>
        <c:axId val="76293381"/>
        <c:axId val="95301793"/>
      </c:barChart>
      <c:catAx>
        <c:axId val="762933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5301793"/>
        <c:crosses val="autoZero"/>
        <c:auto val="1"/>
        <c:lblAlgn val="ctr"/>
        <c:lblOffset val="100"/>
        <c:noMultiLvlLbl val="0"/>
      </c:catAx>
      <c:valAx>
        <c:axId val="95301793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62933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4 · 摊薄每股收益 EPS（乐观）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'03-DCF-乐观'!$A$238</c:f>
              <c:strCache>
                <c:ptCount val="1"/>
                <c:pt idx="0">
                  <c:v>摊薄每股收益 EPS</c:v>
                </c:pt>
              </c:strCache>
            </c:strRef>
          </c:tx>
          <c:spPr>
            <a:solidFill>
              <a:srgbClr val="2e7d4f"/>
            </a:solidFill>
            <a:ln w="44280">
              <a:solidFill>
                <a:srgbClr val="2e7d4f"/>
              </a:solidFill>
              <a:round/>
            </a:ln>
          </c:spPr>
          <c:marker>
            <c:symbol val="circle"/>
            <c:size val="12"/>
            <c:spPr>
              <a:solidFill>
                <a:srgbClr val="2e7d4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'03-DCF-乐观'!$B$238:$H$238</c:f>
              <c:numCache>
                <c:formatCode>\$#,##0.00</c:formatCode>
                <c:ptCount val="7"/>
                <c:pt idx="0">
                  <c:v>72.21</c:v>
                </c:pt>
                <c:pt idx="1">
                  <c:v>148.404041175591</c:v>
                </c:pt>
                <c:pt idx="2">
                  <c:v>161.187972544779</c:v>
                </c:pt>
                <c:pt idx="3">
                  <c:v>179.072650772359</c:v>
                </c:pt>
                <c:pt idx="4">
                  <c:v>195.317934384911</c:v>
                </c:pt>
                <c:pt idx="5">
                  <c:v>209.081949895257</c:v>
                </c:pt>
                <c:pt idx="6">
                  <c:v>219.579305724481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325510"/>
        <c:axId val="67258301"/>
      </c:lineChart>
      <c:catAx>
        <c:axId val="843255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67258301"/>
        <c:crosses val="autoZero"/>
        <c:auto val="1"/>
        <c:lblAlgn val="ctr"/>
        <c:lblOffset val="100"/>
        <c:noMultiLvlLbl val="0"/>
      </c:catAx>
      <c:valAx>
        <c:axId val="67258301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每股收益（美元）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43255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5 · 收入增速：从超级周期回归常态（乐观）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'03-DCF-乐观'!A239</c:f>
              <c:strCache>
                <c:ptCount val="1"/>
                <c:pt idx="0">
                  <c:v>收入增速 YoY</c:v>
                </c:pt>
              </c:strCache>
            </c:strRef>
          </c:tx>
          <c:spPr>
            <a:solidFill>
              <a:srgbClr val="2e7d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'03-DCF-乐观'!$B$239:$H$239</c:f>
              <c:numCache>
                <c:formatCode>0.0%</c:formatCode>
                <c:ptCount val="7"/>
                <c:pt idx="0">
                  <c:v>16.5335146159075</c:v>
                </c:pt>
                <c:pt idx="1">
                  <c:v>0.884319793877245</c:v>
                </c:pt>
                <c:pt idx="2">
                  <c:v>0.15</c:v>
                </c:pt>
                <c:pt idx="3">
                  <c:v>0.14</c:v>
                </c:pt>
                <c:pt idx="4">
                  <c:v>0.12</c:v>
                </c:pt>
                <c:pt idx="5">
                  <c:v>0.1</c:v>
                </c:pt>
                <c:pt idx="6">
                  <c:v>0.0800000000000001</c:v>
                </c:pt>
              </c:numCache>
            </c:numRef>
          </c:val>
        </c:ser>
        <c:gapWidth val="90"/>
        <c:overlap val="0"/>
        <c:axId val="47314741"/>
        <c:axId val="1669001"/>
      </c:barChart>
      <c:catAx>
        <c:axId val="473147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1669001"/>
        <c:crosses val="autoZero"/>
        <c:auto val="1"/>
        <c:lblAlgn val="ctr"/>
        <c:lblOffset val="100"/>
        <c:noMultiLvlLbl val="0"/>
      </c:catAx>
      <c:valAx>
        <c:axId val="1669001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同比增速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73147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6 · 敏感性：WACC × 终局毛利率下的每股价值（乐观）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'03-DCF-乐观'!I167</c:f>
              <c:strCache>
                <c:ptCount val="1"/>
                <c:pt idx="0">
                  <c:v>64.0%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'03-DCF-乐观'!$H$168:$H$172</c:f>
              <c:strCache>
                <c:ptCount val="5"/>
                <c:pt idx="0">
                  <c:v>7.50%</c:v>
                </c:pt>
                <c:pt idx="1">
                  <c:v>8.50%</c:v>
                </c:pt>
                <c:pt idx="2">
                  <c:v>9.50%</c:v>
                </c:pt>
                <c:pt idx="3">
                  <c:v>10.50%</c:v>
                </c:pt>
                <c:pt idx="4">
                  <c:v>11.50%</c:v>
                </c:pt>
              </c:strCache>
            </c:strRef>
          </c:cat>
          <c:val>
            <c:numRef>
              <c:f>'03-DCF-乐观'!$I$168:$I$172</c:f>
              <c:numCache>
                <c:formatCode>\$#,##0.00</c:formatCode>
                <c:ptCount val="5"/>
                <c:pt idx="0">
                  <c:v>3416.12398019403</c:v>
                </c:pt>
                <c:pt idx="1">
                  <c:v>2752.5595499359</c:v>
                </c:pt>
                <c:pt idx="2">
                  <c:v>2308.93543560056</c:v>
                </c:pt>
                <c:pt idx="3">
                  <c:v>1991.00984145656</c:v>
                </c:pt>
                <c:pt idx="4">
                  <c:v>1751.6650053495</c:v>
                </c:pt>
              </c:numCache>
            </c:numRef>
          </c:val>
        </c:ser>
        <c:ser>
          <c:idx val="1"/>
          <c:order val="1"/>
          <c:tx>
            <c:strRef>
              <c:f>'03-DCF-乐观'!J167</c:f>
              <c:strCache>
                <c:ptCount val="1"/>
                <c:pt idx="0">
                  <c:v>69.0%</c:v>
                </c:pt>
              </c:strCache>
            </c:strRef>
          </c:tx>
          <c:spPr>
            <a:solidFill>
              <a:srgbClr val="e08a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'03-DCF-乐观'!$H$168:$H$172</c:f>
              <c:strCache>
                <c:ptCount val="5"/>
                <c:pt idx="0">
                  <c:v>7.50%</c:v>
                </c:pt>
                <c:pt idx="1">
                  <c:v>8.50%</c:v>
                </c:pt>
                <c:pt idx="2">
                  <c:v>9.50%</c:v>
                </c:pt>
                <c:pt idx="3">
                  <c:v>10.50%</c:v>
                </c:pt>
                <c:pt idx="4">
                  <c:v>11.50%</c:v>
                </c:pt>
              </c:strCache>
            </c:strRef>
          </c:cat>
          <c:val>
            <c:numRef>
              <c:f>'03-DCF-乐观'!$J$168:$J$172</c:f>
              <c:numCache>
                <c:formatCode>\$#,##0.00</c:formatCode>
                <c:ptCount val="5"/>
                <c:pt idx="0">
                  <c:v>3677.22097181354</c:v>
                </c:pt>
                <c:pt idx="1">
                  <c:v>2950.14920872878</c:v>
                </c:pt>
                <c:pt idx="2">
                  <c:v>2464.77462454208</c:v>
                </c:pt>
                <c:pt idx="3">
                  <c:v>2117.495398163</c:v>
                </c:pt>
                <c:pt idx="4">
                  <c:v>1856.51621698094</c:v>
                </c:pt>
              </c:numCache>
            </c:numRef>
          </c:val>
        </c:ser>
        <c:ser>
          <c:idx val="2"/>
          <c:order val="2"/>
          <c:tx>
            <c:strRef>
              <c:f>'03-DCF-乐观'!K167</c:f>
              <c:strCache>
                <c:ptCount val="1"/>
                <c:pt idx="0">
                  <c:v>74.0%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'03-DCF-乐观'!$H$168:$H$172</c:f>
              <c:strCache>
                <c:ptCount val="5"/>
                <c:pt idx="0">
                  <c:v>7.50%</c:v>
                </c:pt>
                <c:pt idx="1">
                  <c:v>8.50%</c:v>
                </c:pt>
                <c:pt idx="2">
                  <c:v>9.50%</c:v>
                </c:pt>
                <c:pt idx="3">
                  <c:v>10.50%</c:v>
                </c:pt>
                <c:pt idx="4">
                  <c:v>11.50%</c:v>
                </c:pt>
              </c:strCache>
            </c:strRef>
          </c:cat>
          <c:val>
            <c:numRef>
              <c:f>'03-DCF-乐观'!$K$168:$K$172</c:f>
              <c:numCache>
                <c:formatCode>\$#,##0.00</c:formatCode>
                <c:ptCount val="5"/>
                <c:pt idx="0">
                  <c:v>3938.31796343305</c:v>
                </c:pt>
                <c:pt idx="1">
                  <c:v>3147.73886752167</c:v>
                </c:pt>
                <c:pt idx="2">
                  <c:v>2620.61381348361</c:v>
                </c:pt>
                <c:pt idx="3">
                  <c:v>2243.98095486943</c:v>
                </c:pt>
                <c:pt idx="4">
                  <c:v>1961.36742861237</c:v>
                </c:pt>
              </c:numCache>
            </c:numRef>
          </c:val>
        </c:ser>
        <c:ser>
          <c:idx val="3"/>
          <c:order val="3"/>
          <c:tx>
            <c:strRef>
              <c:f>'03-DCF-乐观'!L167</c:f>
              <c:strCache>
                <c:ptCount val="1"/>
                <c:pt idx="0">
                  <c:v>79.0%</c:v>
                </c:pt>
              </c:strCache>
            </c:strRef>
          </c:tx>
          <c:spPr>
            <a:solidFill>
              <a:srgbClr val="7fb06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'03-DCF-乐观'!$H$168:$H$172</c:f>
              <c:strCache>
                <c:ptCount val="5"/>
                <c:pt idx="0">
                  <c:v>7.50%</c:v>
                </c:pt>
                <c:pt idx="1">
                  <c:v>8.50%</c:v>
                </c:pt>
                <c:pt idx="2">
                  <c:v>9.50%</c:v>
                </c:pt>
                <c:pt idx="3">
                  <c:v>10.50%</c:v>
                </c:pt>
                <c:pt idx="4">
                  <c:v>11.50%</c:v>
                </c:pt>
              </c:strCache>
            </c:strRef>
          </c:cat>
          <c:val>
            <c:numRef>
              <c:f>'03-DCF-乐观'!$L$168:$L$172</c:f>
              <c:numCache>
                <c:formatCode>\$#,##0.00</c:formatCode>
                <c:ptCount val="5"/>
                <c:pt idx="0">
                  <c:v>4199.41495505255</c:v>
                </c:pt>
                <c:pt idx="1">
                  <c:v>3345.32852631456</c:v>
                </c:pt>
                <c:pt idx="2">
                  <c:v>2776.45300242513</c:v>
                </c:pt>
                <c:pt idx="3">
                  <c:v>2370.46651157586</c:v>
                </c:pt>
                <c:pt idx="4">
                  <c:v>2066.21864024381</c:v>
                </c:pt>
              </c:numCache>
            </c:numRef>
          </c:val>
        </c:ser>
        <c:ser>
          <c:idx val="4"/>
          <c:order val="4"/>
          <c:tx>
            <c:strRef>
              <c:f>'03-DCF-乐观'!M167</c:f>
              <c:strCache>
                <c:ptCount val="1"/>
                <c:pt idx="0">
                  <c:v>84.0%</c:v>
                </c:pt>
              </c:strCache>
            </c:strRef>
          </c:tx>
          <c:spPr>
            <a:solidFill>
              <a:srgbClr val="2e7d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'03-DCF-乐观'!$H$168:$H$172</c:f>
              <c:strCache>
                <c:ptCount val="5"/>
                <c:pt idx="0">
                  <c:v>7.50%</c:v>
                </c:pt>
                <c:pt idx="1">
                  <c:v>8.50%</c:v>
                </c:pt>
                <c:pt idx="2">
                  <c:v>9.50%</c:v>
                </c:pt>
                <c:pt idx="3">
                  <c:v>10.50%</c:v>
                </c:pt>
                <c:pt idx="4">
                  <c:v>11.50%</c:v>
                </c:pt>
              </c:strCache>
            </c:strRef>
          </c:cat>
          <c:val>
            <c:numRef>
              <c:f>'03-DCF-乐观'!$M$168:$M$172</c:f>
              <c:numCache>
                <c:formatCode>\$#,##0.00</c:formatCode>
                <c:ptCount val="5"/>
                <c:pt idx="0">
                  <c:v>4460.51194667206</c:v>
                </c:pt>
                <c:pt idx="1">
                  <c:v>3542.91818510745</c:v>
                </c:pt>
                <c:pt idx="2">
                  <c:v>2932.29219136665</c:v>
                </c:pt>
                <c:pt idx="3">
                  <c:v>2496.95206828229</c:v>
                </c:pt>
                <c:pt idx="4">
                  <c:v>2171.06985187524</c:v>
                </c:pt>
              </c:numCache>
            </c:numRef>
          </c:val>
        </c:ser>
        <c:gapWidth val="45"/>
        <c:overlap val="0"/>
        <c:axId val="78309942"/>
        <c:axId val="29039231"/>
      </c:barChart>
      <c:catAx>
        <c:axId val="78309942"/>
        <c:scaling>
          <c:orientation val="minMax"/>
        </c:scaling>
        <c:delete val="0"/>
        <c:axPos val="b"/>
        <c:numFmt formatCode="\$#,##0.00" sourceLinked="0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9039231"/>
        <c:crosses val="autoZero"/>
        <c:auto val="1"/>
        <c:lblAlgn val="ctr"/>
        <c:lblOffset val="100"/>
        <c:noMultiLvlLbl val="0"/>
      </c:catAx>
      <c:valAx>
        <c:axId val="29039231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83099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7 · 回购把股本压缩到什么程度（乐观）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'03-DCF-乐观'!A240</c:f>
              <c:strCache>
                <c:ptCount val="1"/>
                <c:pt idx="0">
                  <c:v>期末摊薄股数（百万股）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'03-DCF-乐观'!$B$229:$H$229</c:f>
              <c:strCache>
                <c:ptCount val="7"/>
                <c:pt idx="0">
                  <c:v>FY26A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</c:strCache>
            </c:strRef>
          </c:cat>
          <c:val>
            <c:numRef>
              <c:f>'03-DCF-乐观'!$B$240:$H$240</c:f>
              <c:numCache>
                <c:formatCode>#,##0.0</c:formatCode>
                <c:ptCount val="7"/>
                <c:pt idx="0">
                  <c:v>1150</c:v>
                </c:pt>
                <c:pt idx="1">
                  <c:v>998.060401626069</c:v>
                </c:pt>
                <c:pt idx="2">
                  <c:v>847.32491390255</c:v>
                </c:pt>
                <c:pt idx="3">
                  <c:v>694.856785004065</c:v>
                </c:pt>
                <c:pt idx="4">
                  <c:v>543.159497259849</c:v>
                </c:pt>
                <c:pt idx="5">
                  <c:v>395.018577000096</c:v>
                </c:pt>
                <c:pt idx="6">
                  <c:v>253.074700174251</c:v>
                </c:pt>
              </c:numCache>
            </c:numRef>
          </c:val>
        </c:ser>
        <c:gapWidth val="80"/>
        <c:overlap val="0"/>
        <c:axId val="72763100"/>
        <c:axId val="11893836"/>
      </c:barChart>
      <c:catAx>
        <c:axId val="727631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财年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11893836"/>
        <c:crosses val="autoZero"/>
        <c:auto val="1"/>
        <c:lblAlgn val="ctr"/>
        <c:lblOffset val="100"/>
        <c:noMultiLvlLbl val="0"/>
      </c:catAx>
      <c:valAx>
        <c:axId val="11893836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404040"/>
                    </a:solidFill>
                    <a:latin typeface="Arial"/>
                  </a:defRPr>
                </a:pPr>
                <a:r>
                  <a:rPr b="1" sz="950" spc="-1" strike="noStrike">
                    <a:solidFill>
                      <a:srgbClr val="404040"/>
                    </a:solidFill>
                    <a:latin typeface="Arial"/>
                  </a:rPr>
                  <a:t>期末摊薄股数（百万股）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27631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6305b"/>
                </a:solidFill>
                <a:latin typeface="Arial"/>
              </a:defRPr>
            </a:pPr>
            <a:r>
              <a:rPr b="1" sz="1300" spc="-1" strike="noStrike">
                <a:solidFill>
                  <a:srgbClr val="16305b"/>
                </a:solidFill>
                <a:latin typeface="Arial"/>
              </a:rPr>
              <a:t>图 8 · 四种口径的每股价值对照（乐观）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'03-DCF-乐观'!B221</c:f>
              <c:strCache>
                <c:ptCount val="1"/>
                <c:pt idx="0">
                  <c:v>每股价值</c:v>
                </c:pt>
              </c:strCache>
            </c:strRef>
          </c:tx>
          <c:spPr>
            <a:solidFill>
              <a:srgbClr val="2e7d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'03-DCF-乐观'!$A$222:$A$226</c:f>
              <c:strCache>
                <c:ptCount val="5"/>
                <c:pt idx="0">
                  <c:v>DCF（企业自由现金流）</c:v>
                </c:pt>
                <c:pt idx="1">
                  <c:v>EPS × P/E（含回购）</c:v>
                </c:pt>
                <c:pt idx="2">
                  <c:v>12 个月目标价（FY27）</c:v>
                </c:pt>
                <c:pt idx="3">
                  <c:v>当前股价</c:v>
                </c:pt>
                <c:pt idx="4">
                  <c:v>卖方一致目标价</c:v>
                </c:pt>
              </c:strCache>
            </c:strRef>
          </c:cat>
          <c:val>
            <c:numRef>
              <c:f>'03-DCF-乐观'!$B$222:$B$226</c:f>
              <c:numCache>
                <c:formatCode>\$#,##0</c:formatCode>
                <c:ptCount val="5"/>
                <c:pt idx="0">
                  <c:v>2640.66001736083</c:v>
                </c:pt>
                <c:pt idx="1">
                  <c:v>8738.55249528739</c:v>
                </c:pt>
                <c:pt idx="2">
                  <c:v>1563.44728598098</c:v>
                </c:pt>
                <c:pt idx="3">
                  <c:v>903.09</c:v>
                </c:pt>
                <c:pt idx="4">
                  <c:v>2126</c:v>
                </c:pt>
              </c:numCache>
            </c:numRef>
          </c:val>
        </c:ser>
        <c:gapWidth val="55"/>
        <c:overlap val="0"/>
        <c:axId val="52980814"/>
        <c:axId val="70191426"/>
      </c:barChart>
      <c:catAx>
        <c:axId val="52980814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low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0191426"/>
        <c:crosses val="autoZero"/>
        <c:auto val="1"/>
        <c:lblAlgn val="ctr"/>
        <c:lblOffset val="100"/>
        <c:noMultiLvlLbl val="0"/>
      </c:catAx>
      <c:valAx>
        <c:axId val="70191426"/>
        <c:scaling>
          <c:orientation val="minMax"/>
        </c:scaling>
        <c:delete val="0"/>
        <c:axPos val="l"/>
        <c:majorGridlines>
          <c:spPr>
            <a:ln w="6480">
              <a:solidFill>
                <a:srgbClr val="e9edf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7c0cc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29808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trlProps/ctrlProp1.xml><?xml version="1.0" encoding="utf-8"?>
<formControlPr xmlns="http://schemas.microsoft.com/office/spreadsheetml/2009/9/main" objectType="Scroll" dx="16" fmlaLink="'01-DCF-悲观'!$H$133" horiz="1" inc="1" max="1000" min="0" page="83" val="1000"/>
</file>

<file path=xl/ctrlProps/ctrlProp2.xml><?xml version="1.0" encoding="utf-8"?>
<formControlPr xmlns="http://schemas.microsoft.com/office/spreadsheetml/2009/9/main" objectType="Scroll" dx="16" fmlaLink="'01-DCF-悲观'!$H$135" horiz="1" inc="1" max="250" min="40" page="17" val="100"/>
</file>

<file path=xl/ctrlProps/ctrlProp3.xml><?xml version="1.0" encoding="utf-8"?>
<formControlPr xmlns="http://schemas.microsoft.com/office/spreadsheetml/2009/9/main" objectType="Scroll" dx="16" fmlaLink="'01-DCF-悲观'!$H$137" horiz="1" inc="1" max="300" min="20" page="23" val="40"/>
</file>

<file path=xl/ctrlProps/ctrlProp4.xml><?xml version="1.0" encoding="utf-8"?>
<formControlPr xmlns="http://schemas.microsoft.com/office/spreadsheetml/2009/9/main" objectType="Scroll" dx="16" fmlaLink="'01-DCF-悲观'!$H$139" horiz="1" inc="1" max="300" min="20" page="23" val="70"/>
</file>

<file path=xl/ctrlProps/ctrlProp5.xml><?xml version="1.0" encoding="utf-8"?>
<formControlPr xmlns="http://schemas.microsoft.com/office/spreadsheetml/2009/9/main" objectType="Scroll" dx="16" fmlaLink="'01-DCF-悲观'!$H$141" horiz="1" inc="1" max="300" min="20" page="23" val="90"/>
</file>

<file path=xl/ctrlProps/ctrlProp6.xml><?xml version="1.0" encoding="utf-8"?>
<formControlPr xmlns="http://schemas.microsoft.com/office/spreadsheetml/2009/9/main" objectType="Scroll" dx="16" fmlaLink="'01-DCF-悲观'!$H$189" horiz="1" inc="1" max="180" min="40" page="11" val="104"/>
</file>

<file path=xl/ctrlProps/ctrlProp7.xml><?xml version="1.0" encoding="utf-8"?>
<formControlPr xmlns="http://schemas.microsoft.com/office/spreadsheetml/2009/9/main" objectType="Scroll" dx="16" fmlaLink="'01-DCF-悲观'!$H$191" horiz="1" inc="1" max="200" min="0" page="16" val="100"/>
</file>

<file path=xl/ctrlProps/ctrlProp8.xml><?xml version="1.0" encoding="utf-8"?>
<formControlPr xmlns="http://schemas.microsoft.com/office/spreadsheetml/2009/9/main" objectType="Scroll" dx="16" fmlaLink="'01-DCF-悲观'!$H$193" horiz="1" inc="1" max="300" min="0" page="25" val="150"/>
</file>

<file path=xl/ctrlProps/ctrlProp9.xml><?xml version="1.0" encoding="utf-8"?>
<formControlPr xmlns="http://schemas.microsoft.com/office/spreadsheetml/2009/9/main" objectType="Scroll" dx="16" fmlaLink="'01-DCF-悲观'!$H$195" horiz="1" inc="1" max="880" min="200" page="56" val="430"/>
</file>

<file path=xl/ctrlProps/ctrlProp10.xml><?xml version="1.0" encoding="utf-8"?>
<formControlPr xmlns="http://schemas.microsoft.com/office/spreadsheetml/2009/9/main" objectType="Scroll" dx="16" fmlaLink="'01-DCF-悲观'!$H$197" horiz="1" inc="1" max="250" min="0" page="20" val="100"/>
</file>

<file path=xl/ctrlProps/ctrlProp11.xml><?xml version="1.0" encoding="utf-8"?>
<formControlPr xmlns="http://schemas.microsoft.com/office/spreadsheetml/2009/9/main" objectType="Scroll" dx="16" fmlaLink="'01-DCF-悲观'!$H$199" horiz="1" inc="1" max="150" min="15" page="11" val="55"/>
</file>

<file path=xl/ctrlProps/ctrlProp12.xml><?xml version="1.0" encoding="utf-8"?>
<formControlPr xmlns="http://schemas.microsoft.com/office/spreadsheetml/2009/9/main" objectType="Scroll" dx="16" fmlaLink="'01-DCF-悲观'!$H$201" horiz="1" inc="1" max="300" min="50" page="20" val="180"/>
</file>

<file path=xl/ctrlProps/ctrlProp13.xml><?xml version="1.0" encoding="utf-8"?>
<formControlPr xmlns="http://schemas.microsoft.com/office/spreadsheetml/2009/9/main" objectType="Scroll" dx="16" fmlaLink="'01-DCF-悲观'!$H$203" horiz="1" inc="1" max="450" min="50" page="33" val="230"/>
</file>

<file path=xl/ctrlProps/ctrlProp14.xml><?xml version="1.0" encoding="utf-8"?>
<formControlPr xmlns="http://schemas.microsoft.com/office/spreadsheetml/2009/9/main" objectType="Scroll" dx="16" fmlaLink="'01-DCF-悲观'!$H$205" horiz="1" inc="1" max="300" min="0" page="25" val="120"/>
</file>

<file path=xl/ctrlProps/ctrlProp15.xml><?xml version="1.0" encoding="utf-8"?>
<formControlPr xmlns="http://schemas.microsoft.com/office/spreadsheetml/2009/9/main" objectType="Scroll" dx="16" fmlaLink="'01-DCF-悲观'!$H$207" horiz="1" inc="1" max="300" min="20" page="23" val="105"/>
</file>

<file path=xl/ctrlProps/ctrlProp16.xml><?xml version="1.0" encoding="utf-8"?>
<formControlPr xmlns="http://schemas.microsoft.com/office/spreadsheetml/2009/9/main" objectType="Scroll" dx="16" fmlaLink="'01-DCF-悲观'!$H$209" horiz="1" inc="1" max="350" min="30" page="26" val="175"/>
</file>

<file path=xl/ctrlProps/ctrlProp17.xml><?xml version="1.0" encoding="utf-8"?>
<formControlPr xmlns="http://schemas.microsoft.com/office/spreadsheetml/2009/9/main" objectType="Scroll" dx="16" fmlaLink="'01-DCF-悲观'!$H$211" horiz="1" inc="1" max="220" min="50" page="14" val="130"/>
</file>

<file path=xl/ctrlProps/ctrlProp18.xml><?xml version="1.0" encoding="utf-8"?>
<formControlPr xmlns="http://schemas.microsoft.com/office/spreadsheetml/2009/9/main" objectType="Scroll" dx="16" fmlaLink="'01-DCF-悲观'!$H$213" horiz="1" inc="1" max="60" min="0" page="5" val="25"/>
</file>

<file path=xl/ctrlProps/ctrlProp19.xml><?xml version="1.0" encoding="utf-8"?>
<formControlPr xmlns="http://schemas.microsoft.com/office/spreadsheetml/2009/9/main" objectType="Scroll" dx="16" fmlaLink="'02-DCF-基准'!$H$133" horiz="1" inc="1" max="1000" min="0" page="83" val="1000"/>
</file>

<file path=xl/ctrlProps/ctrlProp20.xml><?xml version="1.0" encoding="utf-8"?>
<formControlPr xmlns="http://schemas.microsoft.com/office/spreadsheetml/2009/9/main" objectType="Scroll" dx="16" fmlaLink="'02-DCF-基准'!$H$135" horiz="1" inc="1" max="250" min="40" page="17" val="100"/>
</file>

<file path=xl/ctrlProps/ctrlProp21.xml><?xml version="1.0" encoding="utf-8"?>
<formControlPr xmlns="http://schemas.microsoft.com/office/spreadsheetml/2009/9/main" objectType="Scroll" dx="16" fmlaLink="'02-DCF-基准'!$H$137" horiz="1" inc="1" max="300" min="20" page="23" val="60"/>
</file>

<file path=xl/ctrlProps/ctrlProp22.xml><?xml version="1.0" encoding="utf-8"?>
<formControlPr xmlns="http://schemas.microsoft.com/office/spreadsheetml/2009/9/main" objectType="Scroll" dx="16" fmlaLink="'02-DCF-基准'!$H$139" horiz="1" inc="1" max="300" min="20" page="23" val="90"/>
</file>

<file path=xl/ctrlProps/ctrlProp23.xml><?xml version="1.0" encoding="utf-8"?>
<formControlPr xmlns="http://schemas.microsoft.com/office/spreadsheetml/2009/9/main" objectType="Scroll" dx="16" fmlaLink="'02-DCF-基准'!$H$141" horiz="1" inc="1" max="300" min="20" page="23" val="110"/>
</file>

<file path=xl/ctrlProps/ctrlProp24.xml><?xml version="1.0" encoding="utf-8"?>
<formControlPr xmlns="http://schemas.microsoft.com/office/spreadsheetml/2009/9/main" objectType="Scroll" dx="16" fmlaLink="'02-DCF-基准'!$H$189" horiz="1" inc="1" max="180" min="40" page="11" val="106"/>
</file>

<file path=xl/ctrlProps/ctrlProp25.xml><?xml version="1.0" encoding="utf-8"?>
<formControlPr xmlns="http://schemas.microsoft.com/office/spreadsheetml/2009/9/main" objectType="Scroll" dx="16" fmlaLink="'02-DCF-基准'!$H$191" horiz="1" inc="1" max="200" min="0" page="16" val="100"/>
</file>

<file path=xl/ctrlProps/ctrlProp26.xml><?xml version="1.0" encoding="utf-8"?>
<formControlPr xmlns="http://schemas.microsoft.com/office/spreadsheetml/2009/9/main" objectType="Scroll" dx="16" fmlaLink="'02-DCF-基准'!$H$193" horiz="1" inc="1" max="300" min="0" page="25" val="150"/>
</file>

<file path=xl/ctrlProps/ctrlProp27.xml><?xml version="1.0" encoding="utf-8"?>
<formControlPr xmlns="http://schemas.microsoft.com/office/spreadsheetml/2009/9/main" objectType="Scroll" dx="16" fmlaLink="'02-DCF-基准'!$H$195" horiz="1" inc="1" max="880" min="200" page="56" val="680"/>
</file>

<file path=xl/ctrlProps/ctrlProp28.xml><?xml version="1.0" encoding="utf-8"?>
<formControlPr xmlns="http://schemas.microsoft.com/office/spreadsheetml/2009/9/main" objectType="Scroll" dx="16" fmlaLink="'02-DCF-基准'!$H$197" horiz="1" inc="1" max="250" min="0" page="20" val="100"/>
</file>

<file path=xl/ctrlProps/ctrlProp29.xml><?xml version="1.0" encoding="utf-8"?>
<formControlPr xmlns="http://schemas.microsoft.com/office/spreadsheetml/2009/9/main" objectType="Scroll" dx="16" fmlaLink="'02-DCF-基准'!$H$199" horiz="1" inc="1" max="150" min="15" page="11" val="42"/>
</file>

<file path=xl/ctrlProps/ctrlProp30.xml><?xml version="1.0" encoding="utf-8"?>
<formControlPr xmlns="http://schemas.microsoft.com/office/spreadsheetml/2009/9/main" objectType="Scroll" dx="16" fmlaLink="'02-DCF-基准'!$H$201" horiz="1" inc="1" max="300" min="50" page="20" val="165"/>
</file>

<file path=xl/ctrlProps/ctrlProp31.xml><?xml version="1.0" encoding="utf-8"?>
<formControlPr xmlns="http://schemas.microsoft.com/office/spreadsheetml/2009/9/main" objectType="Scroll" dx="16" fmlaLink="'02-DCF-基准'!$H$203" horiz="1" inc="1" max="450" min="50" page="33" val="180"/>
</file>

<file path=xl/ctrlProps/ctrlProp32.xml><?xml version="1.0" encoding="utf-8"?>
<formControlPr xmlns="http://schemas.microsoft.com/office/spreadsheetml/2009/9/main" objectType="Scroll" dx="16" fmlaLink="'02-DCF-基准'!$H$205" horiz="1" inc="1" max="300" min="0" page="25" val="100"/>
</file>

<file path=xl/ctrlProps/ctrlProp33.xml><?xml version="1.0" encoding="utf-8"?>
<formControlPr xmlns="http://schemas.microsoft.com/office/spreadsheetml/2009/9/main" objectType="Scroll" dx="16" fmlaLink="'02-DCF-基准'!$H$207" horiz="1" inc="1" max="300" min="20" page="23" val="75"/>
</file>

<file path=xl/ctrlProps/ctrlProp34.xml><?xml version="1.0" encoding="utf-8"?>
<formControlPr xmlns="http://schemas.microsoft.com/office/spreadsheetml/2009/9/main" objectType="Scroll" dx="16" fmlaLink="'02-DCF-基准'!$H$209" horiz="1" inc="1" max="350" min="30" page="26" val="150"/>
</file>

<file path=xl/ctrlProps/ctrlProp35.xml><?xml version="1.0" encoding="utf-8"?>
<formControlPr xmlns="http://schemas.microsoft.com/office/spreadsheetml/2009/9/main" objectType="Scroll" dx="16" fmlaLink="'02-DCF-基准'!$H$211" horiz="1" inc="1" max="220" min="50" page="14" val="110"/>
</file>

<file path=xl/ctrlProps/ctrlProp36.xml><?xml version="1.0" encoding="utf-8"?>
<formControlPr xmlns="http://schemas.microsoft.com/office/spreadsheetml/2009/9/main" objectType="Scroll" dx="16" fmlaLink="'02-DCF-基准'!$H$213" horiz="1" inc="1" max="60" min="0" page="5" val="30"/>
</file>

<file path=xl/ctrlProps/ctrlProp37.xml><?xml version="1.0" encoding="utf-8"?>
<formControlPr xmlns="http://schemas.microsoft.com/office/spreadsheetml/2009/9/main" objectType="Scroll" dx="16" fmlaLink="'03-DCF-乐观'!$H$133" horiz="1" inc="1" max="1000" min="0" page="83" val="1000"/>
</file>

<file path=xl/ctrlProps/ctrlProp38.xml><?xml version="1.0" encoding="utf-8"?>
<formControlPr xmlns="http://schemas.microsoft.com/office/spreadsheetml/2009/9/main" objectType="Scroll" dx="16" fmlaLink="'03-DCF-乐观'!$H$135" horiz="1" inc="1" max="250" min="40" page="17" val="100"/>
</file>

<file path=xl/ctrlProps/ctrlProp39.xml><?xml version="1.0" encoding="utf-8"?>
<formControlPr xmlns="http://schemas.microsoft.com/office/spreadsheetml/2009/9/main" objectType="Scroll" dx="16" fmlaLink="'03-DCF-乐观'!$H$137" horiz="1" inc="1" max="300" min="20" page="23" val="90"/>
</file>

<file path=xl/ctrlProps/ctrlProp40.xml><?xml version="1.0" encoding="utf-8"?>
<formControlPr xmlns="http://schemas.microsoft.com/office/spreadsheetml/2009/9/main" objectType="Scroll" dx="16" fmlaLink="'03-DCF-乐观'!$H$139" horiz="1" inc="1" max="300" min="20" page="23" val="120"/>
</file>

<file path=xl/ctrlProps/ctrlProp41.xml><?xml version="1.0" encoding="utf-8"?>
<formControlPr xmlns="http://schemas.microsoft.com/office/spreadsheetml/2009/9/main" objectType="Scroll" dx="16" fmlaLink="'03-DCF-乐观'!$H$141" horiz="1" inc="1" max="300" min="20" page="23" val="150"/>
</file>

<file path=xl/ctrlProps/ctrlProp42.xml><?xml version="1.0" encoding="utf-8"?>
<formControlPr xmlns="http://schemas.microsoft.com/office/spreadsheetml/2009/9/main" objectType="Scroll" dx="16" fmlaLink="'03-DCF-乐观'!$H$189" horiz="1" inc="1" max="180" min="40" page="11" val="110"/>
</file>

<file path=xl/ctrlProps/ctrlProp43.xml><?xml version="1.0" encoding="utf-8"?>
<formControlPr xmlns="http://schemas.microsoft.com/office/spreadsheetml/2009/9/main" objectType="Scroll" dx="16" fmlaLink="'03-DCF-乐观'!$H$191" horiz="1" inc="1" max="200" min="0" page="16" val="100"/>
</file>

<file path=xl/ctrlProps/ctrlProp44.xml><?xml version="1.0" encoding="utf-8"?>
<formControlPr xmlns="http://schemas.microsoft.com/office/spreadsheetml/2009/9/main" objectType="Scroll" dx="16" fmlaLink="'03-DCF-乐观'!$H$193" horiz="1" inc="1" max="300" min="0" page="25" val="150"/>
</file>

<file path=xl/ctrlProps/ctrlProp45.xml><?xml version="1.0" encoding="utf-8"?>
<formControlPr xmlns="http://schemas.microsoft.com/office/spreadsheetml/2009/9/main" objectType="Scroll" dx="16" fmlaLink="'03-DCF-乐观'!$H$195" horiz="1" inc="1" max="880" min="200" page="56" val="740"/>
</file>

<file path=xl/ctrlProps/ctrlProp46.xml><?xml version="1.0" encoding="utf-8"?>
<formControlPr xmlns="http://schemas.microsoft.com/office/spreadsheetml/2009/9/main" objectType="Scroll" dx="16" fmlaLink="'03-DCF-乐观'!$H$197" horiz="1" inc="1" max="250" min="0" page="20" val="100"/>
</file>

<file path=xl/ctrlProps/ctrlProp47.xml><?xml version="1.0" encoding="utf-8"?>
<formControlPr xmlns="http://schemas.microsoft.com/office/spreadsheetml/2009/9/main" objectType="Scroll" dx="16" fmlaLink="'03-DCF-乐观'!$H$199" horiz="1" inc="1" max="150" min="15" page="11" val="35"/>
</file>

<file path=xl/ctrlProps/ctrlProp48.xml><?xml version="1.0" encoding="utf-8"?>
<formControlPr xmlns="http://schemas.microsoft.com/office/spreadsheetml/2009/9/main" objectType="Scroll" dx="16" fmlaLink="'03-DCF-乐观'!$H$201" horiz="1" inc="1" max="300" min="50" page="20" val="155"/>
</file>

<file path=xl/ctrlProps/ctrlProp49.xml><?xml version="1.0" encoding="utf-8"?>
<formControlPr xmlns="http://schemas.microsoft.com/office/spreadsheetml/2009/9/main" objectType="Scroll" dx="16" fmlaLink="'03-DCF-乐观'!$H$203" horiz="1" inc="1" max="450" min="50" page="33" val="155"/>
</file>

<file path=xl/ctrlProps/ctrlProp50.xml><?xml version="1.0" encoding="utf-8"?>
<formControlPr xmlns="http://schemas.microsoft.com/office/spreadsheetml/2009/9/main" objectType="Scroll" dx="16" fmlaLink="'03-DCF-乐观'!$H$205" horiz="1" inc="1" max="300" min="0" page="25" val="90"/>
</file>

<file path=xl/ctrlProps/ctrlProp51.xml><?xml version="1.0" encoding="utf-8"?>
<formControlPr xmlns="http://schemas.microsoft.com/office/spreadsheetml/2009/9/main" objectType="Scroll" dx="16" fmlaLink="'03-DCF-乐观'!$H$207" horiz="1" inc="1" max="300" min="20" page="23" val="65"/>
</file>

<file path=xl/ctrlProps/ctrlProp52.xml><?xml version="1.0" encoding="utf-8"?>
<formControlPr xmlns="http://schemas.microsoft.com/office/spreadsheetml/2009/9/main" objectType="Scroll" dx="16" fmlaLink="'03-DCF-乐观'!$H$209" horiz="1" inc="1" max="350" min="30" page="26" val="135"/>
</file>

<file path=xl/ctrlProps/ctrlProp53.xml><?xml version="1.0" encoding="utf-8"?>
<formControlPr xmlns="http://schemas.microsoft.com/office/spreadsheetml/2009/9/main" objectType="Scroll" dx="16" fmlaLink="'03-DCF-乐观'!$H$211" horiz="1" inc="1" max="220" min="50" page="14" val="95"/>
</file>

<file path=xl/ctrlProps/ctrlProp54.xml><?xml version="1.0" encoding="utf-8"?>
<formControlPr xmlns="http://schemas.microsoft.com/office/spreadsheetml/2009/9/main" objectType="Scroll" dx="16" fmlaLink="'03-DCF-乐观'!$H$213" horiz="1" inc="1" max="60" min="0" page="5" val="35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5" Type="http://schemas.openxmlformats.org/officeDocument/2006/relationships/chart" Target="../charts/chart18.xml"/><Relationship Id="rId6" Type="http://schemas.openxmlformats.org/officeDocument/2006/relationships/chart" Target="../charts/chart19.xml"/><Relationship Id="rId7" Type="http://schemas.openxmlformats.org/officeDocument/2006/relationships/chart" Target="../charts/chart20.xml"/><Relationship Id="rId8" Type="http://schemas.openxmlformats.org/officeDocument/2006/relationships/chart" Target="../charts/chart2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Relationship Id="rId5" Type="http://schemas.openxmlformats.org/officeDocument/2006/relationships/chart" Target="../charts/chart26.xml"/><Relationship Id="rId6" Type="http://schemas.openxmlformats.org/officeDocument/2006/relationships/chart" Target="../charts/chart27.xml"/><Relationship Id="rId7" Type="http://schemas.openxmlformats.org/officeDocument/2006/relationships/chart" Target="../charts/chart28.xml"/><Relationship Id="rId8" Type="http://schemas.openxmlformats.org/officeDocument/2006/relationships/chart" Target="../charts/chart2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166</xdr:row>
      <xdr:rowOff>0</xdr:rowOff>
    </xdr:from>
    <xdr:to>
      <xdr:col>8</xdr:col>
      <xdr:colOff>767880</xdr:colOff>
      <xdr:row>192</xdr:row>
      <xdr:rowOff>86400</xdr:rowOff>
    </xdr:to>
    <xdr:graphicFrame>
      <xdr:nvGraphicFramePr>
        <xdr:cNvPr id="0" name="Chart 1"/>
        <xdr:cNvGraphicFramePr/>
      </xdr:nvGraphicFramePr>
      <xdr:xfrm>
        <a:off x="0" y="422337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196</xdr:row>
      <xdr:rowOff>0</xdr:rowOff>
    </xdr:from>
    <xdr:to>
      <xdr:col>8</xdr:col>
      <xdr:colOff>767880</xdr:colOff>
      <xdr:row>222</xdr:row>
      <xdr:rowOff>86400</xdr:rowOff>
    </xdr:to>
    <xdr:graphicFrame>
      <xdr:nvGraphicFramePr>
        <xdr:cNvPr id="1" name="Chart 2"/>
        <xdr:cNvGraphicFramePr/>
      </xdr:nvGraphicFramePr>
      <xdr:xfrm>
        <a:off x="0" y="479487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226</xdr:row>
      <xdr:rowOff>0</xdr:rowOff>
    </xdr:from>
    <xdr:to>
      <xdr:col>8</xdr:col>
      <xdr:colOff>767880</xdr:colOff>
      <xdr:row>252</xdr:row>
      <xdr:rowOff>86400</xdr:rowOff>
    </xdr:to>
    <xdr:graphicFrame>
      <xdr:nvGraphicFramePr>
        <xdr:cNvPr id="2" name="Chart 3"/>
        <xdr:cNvGraphicFramePr/>
      </xdr:nvGraphicFramePr>
      <xdr:xfrm>
        <a:off x="0" y="536637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256</xdr:row>
      <xdr:rowOff>0</xdr:rowOff>
    </xdr:from>
    <xdr:to>
      <xdr:col>8</xdr:col>
      <xdr:colOff>767880</xdr:colOff>
      <xdr:row>282</xdr:row>
      <xdr:rowOff>86400</xdr:rowOff>
    </xdr:to>
    <xdr:graphicFrame>
      <xdr:nvGraphicFramePr>
        <xdr:cNvPr id="3" name="Chart 4"/>
        <xdr:cNvGraphicFramePr/>
      </xdr:nvGraphicFramePr>
      <xdr:xfrm>
        <a:off x="0" y="593787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286</xdr:row>
      <xdr:rowOff>0</xdr:rowOff>
    </xdr:from>
    <xdr:to>
      <xdr:col>8</xdr:col>
      <xdr:colOff>767880</xdr:colOff>
      <xdr:row>312</xdr:row>
      <xdr:rowOff>86400</xdr:rowOff>
    </xdr:to>
    <xdr:graphicFrame>
      <xdr:nvGraphicFramePr>
        <xdr:cNvPr id="4" name="Chart 5"/>
        <xdr:cNvGraphicFramePr/>
      </xdr:nvGraphicFramePr>
      <xdr:xfrm>
        <a:off x="0" y="6509376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244</xdr:row>
      <xdr:rowOff>0</xdr:rowOff>
    </xdr:from>
    <xdr:to>
      <xdr:col>10</xdr:col>
      <xdr:colOff>204120</xdr:colOff>
      <xdr:row>270</xdr:row>
      <xdr:rowOff>86760</xdr:rowOff>
    </xdr:to>
    <xdr:graphicFrame>
      <xdr:nvGraphicFramePr>
        <xdr:cNvPr id="5" name="Chart 1"/>
        <xdr:cNvGraphicFramePr/>
      </xdr:nvGraphicFramePr>
      <xdr:xfrm>
        <a:off x="0" y="69199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274</xdr:row>
      <xdr:rowOff>0</xdr:rowOff>
    </xdr:from>
    <xdr:to>
      <xdr:col>10</xdr:col>
      <xdr:colOff>204120</xdr:colOff>
      <xdr:row>300</xdr:row>
      <xdr:rowOff>86760</xdr:rowOff>
    </xdr:to>
    <xdr:graphicFrame>
      <xdr:nvGraphicFramePr>
        <xdr:cNvPr id="6" name="Chart 2"/>
        <xdr:cNvGraphicFramePr/>
      </xdr:nvGraphicFramePr>
      <xdr:xfrm>
        <a:off x="0" y="74914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304</xdr:row>
      <xdr:rowOff>0</xdr:rowOff>
    </xdr:from>
    <xdr:to>
      <xdr:col>10</xdr:col>
      <xdr:colOff>204120</xdr:colOff>
      <xdr:row>330</xdr:row>
      <xdr:rowOff>86760</xdr:rowOff>
    </xdr:to>
    <xdr:graphicFrame>
      <xdr:nvGraphicFramePr>
        <xdr:cNvPr id="7" name="Chart 3"/>
        <xdr:cNvGraphicFramePr/>
      </xdr:nvGraphicFramePr>
      <xdr:xfrm>
        <a:off x="0" y="80629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334</xdr:row>
      <xdr:rowOff>0</xdr:rowOff>
    </xdr:from>
    <xdr:to>
      <xdr:col>10</xdr:col>
      <xdr:colOff>204120</xdr:colOff>
      <xdr:row>360</xdr:row>
      <xdr:rowOff>86760</xdr:rowOff>
    </xdr:to>
    <xdr:graphicFrame>
      <xdr:nvGraphicFramePr>
        <xdr:cNvPr id="8" name="Chart 4"/>
        <xdr:cNvGraphicFramePr/>
      </xdr:nvGraphicFramePr>
      <xdr:xfrm>
        <a:off x="0" y="86344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364</xdr:row>
      <xdr:rowOff>0</xdr:rowOff>
    </xdr:from>
    <xdr:to>
      <xdr:col>10</xdr:col>
      <xdr:colOff>204120</xdr:colOff>
      <xdr:row>390</xdr:row>
      <xdr:rowOff>86760</xdr:rowOff>
    </xdr:to>
    <xdr:graphicFrame>
      <xdr:nvGraphicFramePr>
        <xdr:cNvPr id="9" name="Chart 5"/>
        <xdr:cNvGraphicFramePr/>
      </xdr:nvGraphicFramePr>
      <xdr:xfrm>
        <a:off x="0" y="92059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394</xdr:row>
      <xdr:rowOff>0</xdr:rowOff>
    </xdr:from>
    <xdr:to>
      <xdr:col>10</xdr:col>
      <xdr:colOff>204120</xdr:colOff>
      <xdr:row>420</xdr:row>
      <xdr:rowOff>86760</xdr:rowOff>
    </xdr:to>
    <xdr:graphicFrame>
      <xdr:nvGraphicFramePr>
        <xdr:cNvPr id="10" name="Chart 6"/>
        <xdr:cNvGraphicFramePr/>
      </xdr:nvGraphicFramePr>
      <xdr:xfrm>
        <a:off x="0" y="97774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424</xdr:row>
      <xdr:rowOff>0</xdr:rowOff>
    </xdr:from>
    <xdr:to>
      <xdr:col>10</xdr:col>
      <xdr:colOff>204120</xdr:colOff>
      <xdr:row>450</xdr:row>
      <xdr:rowOff>86760</xdr:rowOff>
    </xdr:to>
    <xdr:graphicFrame>
      <xdr:nvGraphicFramePr>
        <xdr:cNvPr id="11" name="Chart 7"/>
        <xdr:cNvGraphicFramePr/>
      </xdr:nvGraphicFramePr>
      <xdr:xfrm>
        <a:off x="0" y="103489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454</xdr:row>
      <xdr:rowOff>0</xdr:rowOff>
    </xdr:from>
    <xdr:to>
      <xdr:col>10</xdr:col>
      <xdr:colOff>204120</xdr:colOff>
      <xdr:row>480</xdr:row>
      <xdr:rowOff>86760</xdr:rowOff>
    </xdr:to>
    <xdr:graphicFrame>
      <xdr:nvGraphicFramePr>
        <xdr:cNvPr id="12" name="Chart 8"/>
        <xdr:cNvGraphicFramePr/>
      </xdr:nvGraphicFramePr>
      <xdr:xfrm>
        <a:off x="0" y="109204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244</xdr:row>
      <xdr:rowOff>0</xdr:rowOff>
    </xdr:from>
    <xdr:to>
      <xdr:col>10</xdr:col>
      <xdr:colOff>204120</xdr:colOff>
      <xdr:row>270</xdr:row>
      <xdr:rowOff>86760</xdr:rowOff>
    </xdr:to>
    <xdr:graphicFrame>
      <xdr:nvGraphicFramePr>
        <xdr:cNvPr id="13" name="Chart 1"/>
        <xdr:cNvGraphicFramePr/>
      </xdr:nvGraphicFramePr>
      <xdr:xfrm>
        <a:off x="0" y="6924672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274</xdr:row>
      <xdr:rowOff>0</xdr:rowOff>
    </xdr:from>
    <xdr:to>
      <xdr:col>10</xdr:col>
      <xdr:colOff>204120</xdr:colOff>
      <xdr:row>300</xdr:row>
      <xdr:rowOff>86760</xdr:rowOff>
    </xdr:to>
    <xdr:graphicFrame>
      <xdr:nvGraphicFramePr>
        <xdr:cNvPr id="14" name="Chart 2"/>
        <xdr:cNvGraphicFramePr/>
      </xdr:nvGraphicFramePr>
      <xdr:xfrm>
        <a:off x="0" y="7496172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304</xdr:row>
      <xdr:rowOff>0</xdr:rowOff>
    </xdr:from>
    <xdr:to>
      <xdr:col>10</xdr:col>
      <xdr:colOff>204120</xdr:colOff>
      <xdr:row>330</xdr:row>
      <xdr:rowOff>86760</xdr:rowOff>
    </xdr:to>
    <xdr:graphicFrame>
      <xdr:nvGraphicFramePr>
        <xdr:cNvPr id="15" name="Chart 3"/>
        <xdr:cNvGraphicFramePr/>
      </xdr:nvGraphicFramePr>
      <xdr:xfrm>
        <a:off x="0" y="8067672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334</xdr:row>
      <xdr:rowOff>0</xdr:rowOff>
    </xdr:from>
    <xdr:to>
      <xdr:col>10</xdr:col>
      <xdr:colOff>204120</xdr:colOff>
      <xdr:row>360</xdr:row>
      <xdr:rowOff>86760</xdr:rowOff>
    </xdr:to>
    <xdr:graphicFrame>
      <xdr:nvGraphicFramePr>
        <xdr:cNvPr id="16" name="Chart 4"/>
        <xdr:cNvGraphicFramePr/>
      </xdr:nvGraphicFramePr>
      <xdr:xfrm>
        <a:off x="0" y="8639172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364</xdr:row>
      <xdr:rowOff>0</xdr:rowOff>
    </xdr:from>
    <xdr:to>
      <xdr:col>10</xdr:col>
      <xdr:colOff>204120</xdr:colOff>
      <xdr:row>390</xdr:row>
      <xdr:rowOff>86760</xdr:rowOff>
    </xdr:to>
    <xdr:graphicFrame>
      <xdr:nvGraphicFramePr>
        <xdr:cNvPr id="17" name="Chart 5"/>
        <xdr:cNvGraphicFramePr/>
      </xdr:nvGraphicFramePr>
      <xdr:xfrm>
        <a:off x="0" y="9210672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394</xdr:row>
      <xdr:rowOff>0</xdr:rowOff>
    </xdr:from>
    <xdr:to>
      <xdr:col>10</xdr:col>
      <xdr:colOff>204120</xdr:colOff>
      <xdr:row>420</xdr:row>
      <xdr:rowOff>86760</xdr:rowOff>
    </xdr:to>
    <xdr:graphicFrame>
      <xdr:nvGraphicFramePr>
        <xdr:cNvPr id="18" name="Chart 6"/>
        <xdr:cNvGraphicFramePr/>
      </xdr:nvGraphicFramePr>
      <xdr:xfrm>
        <a:off x="0" y="9782172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424</xdr:row>
      <xdr:rowOff>0</xdr:rowOff>
    </xdr:from>
    <xdr:to>
      <xdr:col>10</xdr:col>
      <xdr:colOff>204120</xdr:colOff>
      <xdr:row>450</xdr:row>
      <xdr:rowOff>86760</xdr:rowOff>
    </xdr:to>
    <xdr:graphicFrame>
      <xdr:nvGraphicFramePr>
        <xdr:cNvPr id="19" name="Chart 7"/>
        <xdr:cNvGraphicFramePr/>
      </xdr:nvGraphicFramePr>
      <xdr:xfrm>
        <a:off x="0" y="10353672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454</xdr:row>
      <xdr:rowOff>0</xdr:rowOff>
    </xdr:from>
    <xdr:to>
      <xdr:col>10</xdr:col>
      <xdr:colOff>204120</xdr:colOff>
      <xdr:row>480</xdr:row>
      <xdr:rowOff>86760</xdr:rowOff>
    </xdr:to>
    <xdr:graphicFrame>
      <xdr:nvGraphicFramePr>
        <xdr:cNvPr id="20" name="Chart 8"/>
        <xdr:cNvGraphicFramePr/>
      </xdr:nvGraphicFramePr>
      <xdr:xfrm>
        <a:off x="0" y="10925172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244</xdr:row>
      <xdr:rowOff>0</xdr:rowOff>
    </xdr:from>
    <xdr:to>
      <xdr:col>10</xdr:col>
      <xdr:colOff>204120</xdr:colOff>
      <xdr:row>270</xdr:row>
      <xdr:rowOff>86760</xdr:rowOff>
    </xdr:to>
    <xdr:graphicFrame>
      <xdr:nvGraphicFramePr>
        <xdr:cNvPr id="21" name="Chart 1"/>
        <xdr:cNvGraphicFramePr/>
      </xdr:nvGraphicFramePr>
      <xdr:xfrm>
        <a:off x="0" y="69199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274</xdr:row>
      <xdr:rowOff>0</xdr:rowOff>
    </xdr:from>
    <xdr:to>
      <xdr:col>10</xdr:col>
      <xdr:colOff>204120</xdr:colOff>
      <xdr:row>300</xdr:row>
      <xdr:rowOff>86760</xdr:rowOff>
    </xdr:to>
    <xdr:graphicFrame>
      <xdr:nvGraphicFramePr>
        <xdr:cNvPr id="22" name="Chart 2"/>
        <xdr:cNvGraphicFramePr/>
      </xdr:nvGraphicFramePr>
      <xdr:xfrm>
        <a:off x="0" y="74914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304</xdr:row>
      <xdr:rowOff>0</xdr:rowOff>
    </xdr:from>
    <xdr:to>
      <xdr:col>10</xdr:col>
      <xdr:colOff>204120</xdr:colOff>
      <xdr:row>330</xdr:row>
      <xdr:rowOff>86760</xdr:rowOff>
    </xdr:to>
    <xdr:graphicFrame>
      <xdr:nvGraphicFramePr>
        <xdr:cNvPr id="23" name="Chart 3"/>
        <xdr:cNvGraphicFramePr/>
      </xdr:nvGraphicFramePr>
      <xdr:xfrm>
        <a:off x="0" y="80629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334</xdr:row>
      <xdr:rowOff>0</xdr:rowOff>
    </xdr:from>
    <xdr:to>
      <xdr:col>10</xdr:col>
      <xdr:colOff>204120</xdr:colOff>
      <xdr:row>360</xdr:row>
      <xdr:rowOff>86760</xdr:rowOff>
    </xdr:to>
    <xdr:graphicFrame>
      <xdr:nvGraphicFramePr>
        <xdr:cNvPr id="24" name="Chart 4"/>
        <xdr:cNvGraphicFramePr/>
      </xdr:nvGraphicFramePr>
      <xdr:xfrm>
        <a:off x="0" y="86344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364</xdr:row>
      <xdr:rowOff>0</xdr:rowOff>
    </xdr:from>
    <xdr:to>
      <xdr:col>10</xdr:col>
      <xdr:colOff>204120</xdr:colOff>
      <xdr:row>390</xdr:row>
      <xdr:rowOff>86760</xdr:rowOff>
    </xdr:to>
    <xdr:graphicFrame>
      <xdr:nvGraphicFramePr>
        <xdr:cNvPr id="25" name="Chart 5"/>
        <xdr:cNvGraphicFramePr/>
      </xdr:nvGraphicFramePr>
      <xdr:xfrm>
        <a:off x="0" y="92059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394</xdr:row>
      <xdr:rowOff>0</xdr:rowOff>
    </xdr:from>
    <xdr:to>
      <xdr:col>10</xdr:col>
      <xdr:colOff>204120</xdr:colOff>
      <xdr:row>420</xdr:row>
      <xdr:rowOff>86760</xdr:rowOff>
    </xdr:to>
    <xdr:graphicFrame>
      <xdr:nvGraphicFramePr>
        <xdr:cNvPr id="26" name="Chart 6"/>
        <xdr:cNvGraphicFramePr/>
      </xdr:nvGraphicFramePr>
      <xdr:xfrm>
        <a:off x="0" y="97774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424</xdr:row>
      <xdr:rowOff>0</xdr:rowOff>
    </xdr:from>
    <xdr:to>
      <xdr:col>10</xdr:col>
      <xdr:colOff>204120</xdr:colOff>
      <xdr:row>450</xdr:row>
      <xdr:rowOff>86760</xdr:rowOff>
    </xdr:to>
    <xdr:graphicFrame>
      <xdr:nvGraphicFramePr>
        <xdr:cNvPr id="27" name="Chart 7"/>
        <xdr:cNvGraphicFramePr/>
      </xdr:nvGraphicFramePr>
      <xdr:xfrm>
        <a:off x="0" y="103489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454</xdr:row>
      <xdr:rowOff>0</xdr:rowOff>
    </xdr:from>
    <xdr:to>
      <xdr:col>10</xdr:col>
      <xdr:colOff>204120</xdr:colOff>
      <xdr:row>480</xdr:row>
      <xdr:rowOff>86760</xdr:rowOff>
    </xdr:to>
    <xdr:graphicFrame>
      <xdr:nvGraphicFramePr>
        <xdr:cNvPr id="28" name="Chart 8"/>
        <xdr:cNvGraphicFramePr/>
      </xdr:nvGraphicFramePr>
      <xdr:xfrm>
        <a:off x="0" y="109204200"/>
        <a:ext cx="97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Relationship Id="rId2" Type="http://schemas.openxmlformats.org/officeDocument/2006/relationships/vmlDrawing" Target="../drawings/vmlDrawing1.vml"/><Relationship Id="rId3" Type="http://schemas.microsoft.com/office/2006/relationships/controlPr" Target="../ctrlProps/ctrlProp1.xml"/><Relationship Id="rId4" Type="http://schemas.microsoft.com/office/2006/relationships/controlPr" Target="../ctrlProps/ctrlProp2.xml"/><Relationship Id="rId5" Type="http://schemas.microsoft.com/office/2006/relationships/controlPr" Target="../ctrlProps/ctrlProp3.xml"/><Relationship Id="rId6" Type="http://schemas.microsoft.com/office/2006/relationships/controlPr" Target="../ctrlProps/ctrlProp4.xml"/><Relationship Id="rId7" Type="http://schemas.microsoft.com/office/2006/relationships/controlPr" Target="../ctrlProps/ctrlProp5.xml"/><Relationship Id="rId8" Type="http://schemas.microsoft.com/office/2006/relationships/controlPr" Target="../ctrlProps/ctrlProp6.xml"/><Relationship Id="rId9" Type="http://schemas.microsoft.com/office/2006/relationships/controlPr" Target="../ctrlProps/ctrlProp7.xml"/><Relationship Id="rId10" Type="http://schemas.microsoft.com/office/2006/relationships/controlPr" Target="../ctrlProps/ctrlProp8.xml"/><Relationship Id="rId11" Type="http://schemas.microsoft.com/office/2006/relationships/controlPr" Target="../ctrlProps/ctrlProp9.xml"/><Relationship Id="rId12" Type="http://schemas.microsoft.com/office/2006/relationships/controlPr" Target="../ctrlProps/ctrlProp10.xml"/><Relationship Id="rId13" Type="http://schemas.microsoft.com/office/2006/relationships/controlPr" Target="../ctrlProps/ctrlProp11.xml"/><Relationship Id="rId14" Type="http://schemas.microsoft.com/office/2006/relationships/controlPr" Target="../ctrlProps/ctrlProp12.xml"/><Relationship Id="rId15" Type="http://schemas.microsoft.com/office/2006/relationships/controlPr" Target="../ctrlProps/ctrlProp13.xml"/><Relationship Id="rId16" Type="http://schemas.microsoft.com/office/2006/relationships/controlPr" Target="../ctrlProps/ctrlProp14.xml"/><Relationship Id="rId17" Type="http://schemas.microsoft.com/office/2006/relationships/controlPr" Target="../ctrlProps/ctrlProp15.xml"/><Relationship Id="rId18" Type="http://schemas.microsoft.com/office/2006/relationships/controlPr" Target="../ctrlProps/ctrlProp16.xml"/><Relationship Id="rId19" Type="http://schemas.microsoft.com/office/2006/relationships/controlPr" Target="../ctrlProps/ctrlProp17.xml"/><Relationship Id="rId20" Type="http://schemas.microsoft.com/office/2006/relationships/controlPr" Target="../ctrlProps/ctrlProp18.xml"/>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Relationship Id="rId2" Type="http://schemas.openxmlformats.org/officeDocument/2006/relationships/vmlDrawing" Target="../drawings/vmlDrawing2.vml"/><Relationship Id="rId3" Type="http://schemas.microsoft.com/office/2006/relationships/controlPr" Target="../ctrlProps/ctrlProp19.xml"/><Relationship Id="rId4" Type="http://schemas.microsoft.com/office/2006/relationships/controlPr" Target="../ctrlProps/ctrlProp20.xml"/><Relationship Id="rId5" Type="http://schemas.microsoft.com/office/2006/relationships/controlPr" Target="../ctrlProps/ctrlProp21.xml"/><Relationship Id="rId6" Type="http://schemas.microsoft.com/office/2006/relationships/controlPr" Target="../ctrlProps/ctrlProp22.xml"/><Relationship Id="rId7" Type="http://schemas.microsoft.com/office/2006/relationships/controlPr" Target="../ctrlProps/ctrlProp23.xml"/><Relationship Id="rId8" Type="http://schemas.microsoft.com/office/2006/relationships/controlPr" Target="../ctrlProps/ctrlProp24.xml"/><Relationship Id="rId9" Type="http://schemas.microsoft.com/office/2006/relationships/controlPr" Target="../ctrlProps/ctrlProp25.xml"/><Relationship Id="rId10" Type="http://schemas.microsoft.com/office/2006/relationships/controlPr" Target="../ctrlProps/ctrlProp26.xml"/><Relationship Id="rId11" Type="http://schemas.microsoft.com/office/2006/relationships/controlPr" Target="../ctrlProps/ctrlProp27.xml"/><Relationship Id="rId12" Type="http://schemas.microsoft.com/office/2006/relationships/controlPr" Target="../ctrlProps/ctrlProp28.xml"/><Relationship Id="rId13" Type="http://schemas.microsoft.com/office/2006/relationships/controlPr" Target="../ctrlProps/ctrlProp29.xml"/><Relationship Id="rId14" Type="http://schemas.microsoft.com/office/2006/relationships/controlPr" Target="../ctrlProps/ctrlProp30.xml"/><Relationship Id="rId15" Type="http://schemas.microsoft.com/office/2006/relationships/controlPr" Target="../ctrlProps/ctrlProp31.xml"/><Relationship Id="rId16" Type="http://schemas.microsoft.com/office/2006/relationships/controlPr" Target="../ctrlProps/ctrlProp32.xml"/><Relationship Id="rId17" Type="http://schemas.microsoft.com/office/2006/relationships/controlPr" Target="../ctrlProps/ctrlProp33.xml"/><Relationship Id="rId18" Type="http://schemas.microsoft.com/office/2006/relationships/controlPr" Target="../ctrlProps/ctrlProp34.xml"/><Relationship Id="rId19" Type="http://schemas.microsoft.com/office/2006/relationships/controlPr" Target="../ctrlProps/ctrlProp35.xml"/><Relationship Id="rId20" Type="http://schemas.microsoft.com/office/2006/relationships/controlPr" Target="../ctrlProps/ctrlProp36.xml"/>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Relationship Id="rId2" Type="http://schemas.openxmlformats.org/officeDocument/2006/relationships/vmlDrawing" Target="../drawings/vmlDrawing3.vml"/><Relationship Id="rId3" Type="http://schemas.microsoft.com/office/2006/relationships/controlPr" Target="../ctrlProps/ctrlProp37.xml"/><Relationship Id="rId4" Type="http://schemas.microsoft.com/office/2006/relationships/controlPr" Target="../ctrlProps/ctrlProp38.xml"/><Relationship Id="rId5" Type="http://schemas.microsoft.com/office/2006/relationships/controlPr" Target="../ctrlProps/ctrlProp39.xml"/><Relationship Id="rId6" Type="http://schemas.microsoft.com/office/2006/relationships/controlPr" Target="../ctrlProps/ctrlProp40.xml"/><Relationship Id="rId7" Type="http://schemas.microsoft.com/office/2006/relationships/controlPr" Target="../ctrlProps/ctrlProp41.xml"/><Relationship Id="rId8" Type="http://schemas.microsoft.com/office/2006/relationships/controlPr" Target="../ctrlProps/ctrlProp42.xml"/><Relationship Id="rId9" Type="http://schemas.microsoft.com/office/2006/relationships/controlPr" Target="../ctrlProps/ctrlProp43.xml"/><Relationship Id="rId10" Type="http://schemas.microsoft.com/office/2006/relationships/controlPr" Target="../ctrlProps/ctrlProp44.xml"/><Relationship Id="rId11" Type="http://schemas.microsoft.com/office/2006/relationships/controlPr" Target="../ctrlProps/ctrlProp45.xml"/><Relationship Id="rId12" Type="http://schemas.microsoft.com/office/2006/relationships/controlPr" Target="../ctrlProps/ctrlProp46.xml"/><Relationship Id="rId13" Type="http://schemas.microsoft.com/office/2006/relationships/controlPr" Target="../ctrlProps/ctrlProp47.xml"/><Relationship Id="rId14" Type="http://schemas.microsoft.com/office/2006/relationships/controlPr" Target="../ctrlProps/ctrlProp48.xml"/><Relationship Id="rId15" Type="http://schemas.microsoft.com/office/2006/relationships/controlPr" Target="../ctrlProps/ctrlProp49.xml"/><Relationship Id="rId16" Type="http://schemas.microsoft.com/office/2006/relationships/controlPr" Target="../ctrlProps/ctrlProp50.xml"/><Relationship Id="rId17" Type="http://schemas.microsoft.com/office/2006/relationships/controlPr" Target="../ctrlProps/ctrlProp51.xml"/><Relationship Id="rId18" Type="http://schemas.microsoft.com/office/2006/relationships/controlPr" Target="../ctrlProps/ctrlProp52.xml"/><Relationship Id="rId19" Type="http://schemas.microsoft.com/office/2006/relationships/controlPr" Target="../ctrlProps/ctrlProp53.xml"/><Relationship Id="rId20" Type="http://schemas.microsoft.com/office/2006/relationships/controlPr" Target="../ctrlProps/ctrlProp5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min="1" max="1" width="40.71" customWidth="1"/>
    <col min="2" max="2" width="12.71" customWidth="1"/>
    <col min="3" max="3" width="12.71" customWidth="1"/>
    <col min="4" max="4" width="12.71" customWidth="1"/>
    <col min="5" max="5" width="13.71" customWidth="1"/>
    <col min="6" max="6" width="13.71" customWidth="1"/>
    <col min="7" max="7" width="12.71" customWidth="1"/>
    <col min="8" max="8" width="13.71" customWidth="1"/>
    <col min="9" max="9" width="13.71" customWidth="1"/>
    <col min="10" max="10" width="14.71" customWidth="1"/>
    <col min="11" max="11" width="16.71" customWidth="1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27" hidden="false" customHeight="true" outlineLevel="0" collapsed="false">
      <c r="A5" s="4" t="s">
        <v>3</v>
      </c>
      <c r="B5" s="4" t="s">
        <v>4</v>
      </c>
      <c r="C5" s="4"/>
      <c r="D5" s="4" t="s">
        <v>5</v>
      </c>
      <c r="E5" s="4"/>
      <c r="F5" s="4"/>
      <c r="G5" s="4"/>
      <c r="H5" s="4"/>
      <c r="I5" s="4"/>
      <c r="J5" s="4"/>
      <c r="K5" s="4"/>
    </row>
    <row r="6" customFormat="false" ht="19.5" hidden="false" customHeight="true" outlineLevel="0" collapsed="false">
      <c r="A6" s="5" t="s">
        <v>6</v>
      </c>
      <c r="B6" s="6" t="n">
        <v>903.09</v>
      </c>
      <c r="C6" s="6"/>
      <c r="D6" s="7" t="s">
        <v>7</v>
      </c>
      <c r="E6" s="7"/>
      <c r="F6" s="7"/>
      <c r="G6" s="7"/>
      <c r="H6" s="7"/>
      <c r="I6" s="7"/>
      <c r="J6" s="7"/>
      <c r="K6" s="7"/>
    </row>
    <row r="7" customFormat="false" ht="19.5" hidden="false" customHeight="true" outlineLevel="0" collapsed="false">
      <c r="A7" s="5" t="s">
        <v>8</v>
      </c>
      <c r="B7" s="8" t="n">
        <v>1018685</v>
      </c>
      <c r="C7" s="8"/>
      <c r="D7" s="7" t="s">
        <v>9</v>
      </c>
      <c r="E7" s="7"/>
      <c r="F7" s="7"/>
      <c r="G7" s="7"/>
      <c r="H7" s="7"/>
      <c r="I7" s="7"/>
      <c r="J7" s="7"/>
      <c r="K7" s="7"/>
    </row>
    <row r="8" customFormat="false" ht="19.5" hidden="false" customHeight="true" outlineLevel="0" collapsed="false">
      <c r="A8" s="5" t="s">
        <v>10</v>
      </c>
      <c r="B8" s="9" t="n">
        <v>1128</v>
      </c>
      <c r="C8" s="9"/>
      <c r="D8" s="10" t="s">
        <v>11</v>
      </c>
      <c r="E8" s="10"/>
      <c r="F8" s="10"/>
      <c r="G8" s="10"/>
      <c r="H8" s="10"/>
      <c r="I8" s="10"/>
      <c r="J8" s="10"/>
      <c r="K8" s="10"/>
    </row>
    <row r="9" customFormat="false" ht="19.5" hidden="false" customHeight="true" outlineLevel="0" collapsed="false">
      <c r="A9" s="5" t="s">
        <v>12</v>
      </c>
      <c r="B9" s="9" t="n">
        <v>1150</v>
      </c>
      <c r="C9" s="9"/>
      <c r="D9" s="7" t="s">
        <v>13</v>
      </c>
      <c r="E9" s="7"/>
      <c r="F9" s="7"/>
      <c r="G9" s="7"/>
      <c r="H9" s="7"/>
      <c r="I9" s="7"/>
      <c r="J9" s="7"/>
      <c r="K9" s="7"/>
    </row>
    <row r="10" customFormat="false" ht="19.5" hidden="false" customHeight="true" outlineLevel="0" collapsed="false">
      <c r="A10" s="5" t="s">
        <v>14</v>
      </c>
      <c r="B10" s="8" t="n">
        <v>30155</v>
      </c>
      <c r="C10" s="8"/>
      <c r="D10" s="7" t="s">
        <v>15</v>
      </c>
      <c r="E10" s="7"/>
      <c r="F10" s="7"/>
      <c r="G10" s="7"/>
      <c r="H10" s="7"/>
      <c r="I10" s="7"/>
      <c r="J10" s="7"/>
      <c r="K10" s="7"/>
    </row>
    <row r="11" customFormat="false" ht="19.5" hidden="false" customHeight="true" outlineLevel="0" collapsed="false">
      <c r="A11" s="5" t="s">
        <v>16</v>
      </c>
      <c r="B11" s="8" t="n">
        <v>5722</v>
      </c>
      <c r="C11" s="8"/>
      <c r="D11" s="7" t="s">
        <v>17</v>
      </c>
      <c r="E11" s="7"/>
      <c r="F11" s="7"/>
      <c r="G11" s="7"/>
      <c r="H11" s="7"/>
      <c r="I11" s="7"/>
      <c r="J11" s="7"/>
      <c r="K11" s="7"/>
    </row>
    <row r="12" customFormat="false" ht="19.5" hidden="false" customHeight="true" outlineLevel="0" collapsed="false">
      <c r="A12" s="5" t="s">
        <v>18</v>
      </c>
      <c r="B12" s="11" t="n">
        <f aca="false">B10-B11</f>
        <v>24433</v>
      </c>
      <c r="C12" s="11"/>
      <c r="D12" s="7" t="s">
        <v>19</v>
      </c>
      <c r="E12" s="7"/>
      <c r="F12" s="7"/>
      <c r="G12" s="7"/>
      <c r="H12" s="7"/>
      <c r="I12" s="7"/>
      <c r="J12" s="7"/>
      <c r="K12" s="7"/>
    </row>
    <row r="13" customFormat="false" ht="19.5" hidden="false" customHeight="true" outlineLevel="0" collapsed="false">
      <c r="A13" s="5" t="s">
        <v>20</v>
      </c>
      <c r="B13" s="6" t="n">
        <v>0.15</v>
      </c>
      <c r="C13" s="6"/>
      <c r="D13" s="7" t="s">
        <v>21</v>
      </c>
      <c r="E13" s="7"/>
      <c r="F13" s="7"/>
      <c r="G13" s="7"/>
      <c r="H13" s="7"/>
      <c r="I13" s="7"/>
      <c r="J13" s="7"/>
      <c r="K13" s="7"/>
    </row>
    <row r="14" customFormat="false" ht="19.5" hidden="false" customHeight="true" outlineLevel="0" collapsed="false">
      <c r="A14" s="5" t="s">
        <v>22</v>
      </c>
      <c r="B14" s="12" t="n">
        <v>0.042</v>
      </c>
      <c r="C14" s="12"/>
      <c r="D14" s="10" t="s">
        <v>23</v>
      </c>
      <c r="E14" s="10"/>
      <c r="F14" s="10"/>
      <c r="G14" s="10"/>
      <c r="H14" s="10"/>
      <c r="I14" s="10"/>
      <c r="J14" s="10"/>
      <c r="K14" s="10"/>
    </row>
    <row r="15" customFormat="false" ht="19.5" hidden="false" customHeight="true" outlineLevel="0" collapsed="false">
      <c r="A15" s="5" t="s">
        <v>24</v>
      </c>
      <c r="B15" s="12" t="n">
        <v>0.05</v>
      </c>
      <c r="C15" s="12"/>
      <c r="D15" s="7" t="s">
        <v>25</v>
      </c>
      <c r="E15" s="7"/>
      <c r="F15" s="7"/>
      <c r="G15" s="7"/>
      <c r="H15" s="7"/>
      <c r="I15" s="7"/>
      <c r="J15" s="7"/>
      <c r="K15" s="7"/>
    </row>
    <row r="16" customFormat="false" ht="24" hidden="false" customHeight="true" outlineLevel="0" collapsed="false">
      <c r="A16" s="13" t="s">
        <v>26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customFormat="false" ht="27" hidden="false" customHeight="true" outlineLevel="0" collapsed="false">
      <c r="A17" s="4" t="s">
        <v>27</v>
      </c>
      <c r="B17" s="4" t="s">
        <v>28</v>
      </c>
      <c r="C17" s="4" t="s">
        <v>29</v>
      </c>
      <c r="D17" s="4" t="s">
        <v>30</v>
      </c>
      <c r="E17" s="14" t="s">
        <v>31</v>
      </c>
      <c r="F17" s="14" t="s">
        <v>32</v>
      </c>
      <c r="G17" s="14" t="s">
        <v>33</v>
      </c>
      <c r="H17" s="14" t="s">
        <v>34</v>
      </c>
      <c r="I17" s="4" t="s">
        <v>35</v>
      </c>
      <c r="J17" s="4" t="s">
        <v>36</v>
      </c>
      <c r="K17" s="4"/>
    </row>
    <row r="18" customFormat="false" ht="25.5" hidden="false" customHeight="true" outlineLevel="0" collapsed="false">
      <c r="A18" s="15" t="s">
        <v>37</v>
      </c>
      <c r="B18" s="16" t="n">
        <f aca="false">'01-DCF-悲观'!B72</f>
        <v>282.161082479923</v>
      </c>
      <c r="C18" s="17" t="n">
        <f aca="false">'01-DCF-悲观'!B74</f>
        <v>-0.6875603954424</v>
      </c>
      <c r="D18" s="18" t="n">
        <f aca="false">'01-DCF-悲观'!B65</f>
        <v>0.469461740671368</v>
      </c>
      <c r="E18" s="19" t="n">
        <f aca="false">'01-DCF-悲观'!F13</f>
        <v>176999.928000006</v>
      </c>
      <c r="F18" s="18" t="n">
        <f aca="false">'01-DCF-悲观'!F15</f>
        <v>0.734011330300647</v>
      </c>
      <c r="G18" s="18" t="n">
        <f aca="false">'01-DCF-悲观'!G34</f>
        <v>0.43</v>
      </c>
      <c r="H18" s="18" t="n">
        <f aca="false">'01-DCF-悲观'!$B$211</f>
        <v>0.13</v>
      </c>
      <c r="I18" s="18" t="n">
        <f aca="false">'01-DCF-悲观'!$B$213</f>
        <v>0.025</v>
      </c>
      <c r="J18" s="20" t="s">
        <v>38</v>
      </c>
      <c r="K18" s="20"/>
    </row>
    <row r="19" customFormat="false" ht="25.5" hidden="false" customHeight="true" outlineLevel="0" collapsed="false">
      <c r="A19" s="21" t="s">
        <v>39</v>
      </c>
      <c r="B19" s="22" t="n">
        <f aca="false">'02-DCF-基准'!B72</f>
        <v>1081.85680296175</v>
      </c>
      <c r="C19" s="23" t="n">
        <f aca="false">'02-DCF-基准'!B74</f>
        <v>0.19795015221268</v>
      </c>
      <c r="D19" s="18" t="n">
        <f aca="false">'02-DCF-基准'!B65</f>
        <v>0.642579925095869</v>
      </c>
      <c r="E19" s="19" t="n">
        <f aca="false">'02-DCF-基准'!F13</f>
        <v>205000.088743726</v>
      </c>
      <c r="F19" s="18" t="n">
        <f aca="false">'02-DCF-基准'!F15</f>
        <v>0.826560960033906</v>
      </c>
      <c r="G19" s="18" t="n">
        <f aca="false">'02-DCF-基准'!G34</f>
        <v>0.68</v>
      </c>
      <c r="H19" s="18" t="n">
        <f aca="false">'02-DCF-基准'!$B$211</f>
        <v>0.11</v>
      </c>
      <c r="I19" s="18" t="n">
        <f aca="false">'02-DCF-基准'!$B$213</f>
        <v>0.03</v>
      </c>
      <c r="J19" s="20" t="s">
        <v>40</v>
      </c>
      <c r="K19" s="20"/>
    </row>
    <row r="20" customFormat="false" ht="25.5" hidden="false" customHeight="true" outlineLevel="0" collapsed="false">
      <c r="A20" s="24" t="s">
        <v>41</v>
      </c>
      <c r="B20" s="25" t="n">
        <f aca="false">'03-DCF-乐观'!B72</f>
        <v>2640.66001736083</v>
      </c>
      <c r="C20" s="26" t="n">
        <f aca="false">'03-DCF-乐观'!B74</f>
        <v>1.92402752478804</v>
      </c>
      <c r="D20" s="18" t="n">
        <f aca="false">'03-DCF-乐观'!B65</f>
        <v>0.725346685634602</v>
      </c>
      <c r="E20" s="19" t="n">
        <f aca="false">'03-DCF-乐观'!F13</f>
        <v>242999.996298616</v>
      </c>
      <c r="F20" s="18" t="n">
        <f aca="false">'03-DCF-乐观'!F15</f>
        <v>0.866152263138281</v>
      </c>
      <c r="G20" s="18" t="n">
        <f aca="false">'03-DCF-乐观'!G34</f>
        <v>0.74</v>
      </c>
      <c r="H20" s="18" t="n">
        <f aca="false">'03-DCF-乐观'!$B$211</f>
        <v>0.095</v>
      </c>
      <c r="I20" s="18" t="n">
        <f aca="false">'03-DCF-乐观'!$B$213</f>
        <v>0.035</v>
      </c>
      <c r="J20" s="20" t="s">
        <v>42</v>
      </c>
      <c r="K20" s="20"/>
    </row>
    <row r="21" customFormat="false" ht="21.75" hidden="false" customHeight="true" outlineLevel="0" collapsed="false">
      <c r="A21" s="5" t="s">
        <v>43</v>
      </c>
      <c r="B21" s="27" t="n">
        <v>903.09</v>
      </c>
      <c r="C21" s="10" t="s">
        <v>44</v>
      </c>
      <c r="D21" s="10"/>
      <c r="E21" s="10"/>
      <c r="F21" s="10"/>
      <c r="G21" s="10"/>
      <c r="H21" s="10"/>
      <c r="I21" s="10"/>
      <c r="J21" s="10"/>
      <c r="K21" s="10"/>
    </row>
    <row r="22" customFormat="false" ht="21.75" hidden="false" customHeight="true" outlineLevel="0" collapsed="false">
      <c r="A22" s="5" t="s">
        <v>45</v>
      </c>
      <c r="B22" s="28" t="n">
        <v>1515</v>
      </c>
      <c r="C22" s="10" t="s">
        <v>46</v>
      </c>
      <c r="D22" s="10"/>
      <c r="E22" s="10"/>
      <c r="F22" s="10"/>
      <c r="G22" s="10"/>
      <c r="H22" s="10"/>
      <c r="I22" s="10"/>
      <c r="J22" s="10"/>
      <c r="K22" s="10"/>
    </row>
    <row r="23" customFormat="false" ht="45.75" hidden="false" customHeight="true" outlineLevel="0" collapsed="false">
      <c r="A23" s="29" t="s">
        <v>47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5" customFormat="false" ht="24" hidden="false" customHeight="true" outlineLevel="0" collapsed="false">
      <c r="A25" s="3" t="s">
        <v>48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39.75" hidden="false" customHeight="true" outlineLevel="0" collapsed="false">
      <c r="A26" s="4" t="s">
        <v>49</v>
      </c>
      <c r="B26" s="14" t="s">
        <v>50</v>
      </c>
      <c r="C26" s="14" t="s">
        <v>51</v>
      </c>
      <c r="D26" s="14" t="s">
        <v>52</v>
      </c>
      <c r="E26" s="14" t="s">
        <v>53</v>
      </c>
      <c r="F26" s="14" t="s">
        <v>54</v>
      </c>
      <c r="G26" s="14" t="s">
        <v>55</v>
      </c>
      <c r="H26" s="14" t="s">
        <v>56</v>
      </c>
      <c r="I26" s="14" t="s">
        <v>57</v>
      </c>
      <c r="J26" s="4" t="s">
        <v>58</v>
      </c>
      <c r="K26" s="4"/>
    </row>
    <row r="27" customFormat="false" ht="15.75" hidden="false" customHeight="true" outlineLevel="0" collapsed="false">
      <c r="A27" s="30" t="s">
        <v>59</v>
      </c>
      <c r="B27" s="31" t="n">
        <v>13643</v>
      </c>
      <c r="C27" s="31" t="n">
        <v>23860</v>
      </c>
      <c r="D27" s="31" t="n">
        <v>41456</v>
      </c>
      <c r="E27" s="32" t="n">
        <v>50000</v>
      </c>
      <c r="F27" s="31" t="n">
        <v>128959</v>
      </c>
      <c r="G27" s="31" t="n">
        <v>37382</v>
      </c>
      <c r="H27" s="33" t="n">
        <f aca="false">IF(D27=0,"n/a",E27/ABS(D27)-1)</f>
        <v>0.206098031648012</v>
      </c>
      <c r="I27" s="33" t="n">
        <f aca="false">IF(G27=0,"n/a",F27/ABS(G27)-1)</f>
        <v>2.4497619175004</v>
      </c>
      <c r="J27" s="34"/>
      <c r="K27" s="34"/>
    </row>
    <row r="28" customFormat="false" ht="15.75" hidden="false" customHeight="true" outlineLevel="0" collapsed="false">
      <c r="A28" s="30" t="s">
        <v>60</v>
      </c>
      <c r="B28" s="31" t="n">
        <v>5997</v>
      </c>
      <c r="C28" s="31" t="n">
        <v>6105</v>
      </c>
      <c r="D28" s="31" t="n">
        <v>6400</v>
      </c>
      <c r="E28" s="32" t="n">
        <v>7000</v>
      </c>
      <c r="F28" s="31" t="n">
        <v>25502</v>
      </c>
      <c r="G28" s="31" t="n">
        <v>22363</v>
      </c>
      <c r="H28" s="33" t="n">
        <f aca="false">IF(D28=0,"n/a",E28/ABS(D28)-1)</f>
        <v>0.09375</v>
      </c>
      <c r="I28" s="33" t="n">
        <f aca="false">IF(G28=0,"n/a",F28/ABS(G28)-1)</f>
        <v>0.140365782766176</v>
      </c>
      <c r="J28" s="34"/>
      <c r="K28" s="34"/>
    </row>
    <row r="29" customFormat="false" ht="15.75" hidden="false" customHeight="true" outlineLevel="0" collapsed="false">
      <c r="A29" s="35" t="s">
        <v>61</v>
      </c>
      <c r="B29" s="36" t="n">
        <v>7646</v>
      </c>
      <c r="C29" s="36" t="n">
        <v>17755</v>
      </c>
      <c r="D29" s="36" t="n">
        <v>35056</v>
      </c>
      <c r="E29" s="36" t="n">
        <v>43000</v>
      </c>
      <c r="F29" s="36" t="n">
        <v>103457</v>
      </c>
      <c r="G29" s="36" t="n">
        <v>15019</v>
      </c>
      <c r="H29" s="33" t="n">
        <f aca="false">IF(D29=0,"n/a",E29/ABS(D29)-1)</f>
        <v>0.226608854404382</v>
      </c>
      <c r="I29" s="33" t="n">
        <f aca="false">IF(G29=0,"n/a",F29/ABS(G29)-1)</f>
        <v>5.88840801651242</v>
      </c>
      <c r="J29" s="34"/>
      <c r="K29" s="34"/>
    </row>
    <row r="30" customFormat="false" ht="15.75" hidden="false" customHeight="true" outlineLevel="0" collapsed="false">
      <c r="A30" s="30" t="s">
        <v>62</v>
      </c>
      <c r="B30" s="31" t="n">
        <v>1171</v>
      </c>
      <c r="C30" s="31" t="n">
        <v>1250</v>
      </c>
      <c r="D30" s="31" t="n">
        <v>1316</v>
      </c>
      <c r="E30" s="32" t="n">
        <v>1408</v>
      </c>
      <c r="F30" s="31" t="n">
        <v>5145</v>
      </c>
      <c r="G30" s="31" t="n">
        <v>3951</v>
      </c>
      <c r="H30" s="33" t="n">
        <f aca="false">IF(D30=0,"n/a",E30/ABS(D30)-1)</f>
        <v>0.0699088145896656</v>
      </c>
      <c r="I30" s="33" t="n">
        <f aca="false">IF(G30=0,"n/a",F30/ABS(G30)-1)</f>
        <v>0.302201974183751</v>
      </c>
      <c r="J30" s="34"/>
      <c r="K30" s="34"/>
    </row>
    <row r="31" customFormat="false" ht="15.75" hidden="false" customHeight="true" outlineLevel="0" collapsed="false">
      <c r="A31" s="30" t="s">
        <v>63</v>
      </c>
      <c r="B31" s="31" t="n">
        <v>337</v>
      </c>
      <c r="C31" s="31" t="n">
        <v>344</v>
      </c>
      <c r="D31" s="31" t="n">
        <v>407</v>
      </c>
      <c r="E31" s="32" t="n">
        <v>436</v>
      </c>
      <c r="F31" s="31" t="n">
        <v>1524</v>
      </c>
      <c r="G31" s="31" t="n">
        <v>1195</v>
      </c>
      <c r="H31" s="33" t="n">
        <f aca="false">IF(D31=0,"n/a",E31/ABS(D31)-1)</f>
        <v>0.0712530712530712</v>
      </c>
      <c r="I31" s="33" t="n">
        <f aca="false">IF(G31=0,"n/a",F31/ABS(G31)-1)</f>
        <v>0.275313807531381</v>
      </c>
      <c r="J31" s="34"/>
      <c r="K31" s="34"/>
    </row>
    <row r="32" customFormat="false" ht="15.75" hidden="false" customHeight="true" outlineLevel="0" collapsed="false">
      <c r="A32" s="30" t="s">
        <v>64</v>
      </c>
      <c r="B32" s="31" t="n">
        <v>2</v>
      </c>
      <c r="C32" s="31" t="n">
        <v>26</v>
      </c>
      <c r="D32" s="31" t="n">
        <v>15</v>
      </c>
      <c r="E32" s="32" t="n">
        <v>16</v>
      </c>
      <c r="F32" s="31" t="n">
        <v>59</v>
      </c>
      <c r="G32" s="31" t="n">
        <v>-243</v>
      </c>
      <c r="H32" s="33" t="n">
        <f aca="false">IF(D32=0,"n/a",E32/ABS(D32)-1)</f>
        <v>0.0666666666666667</v>
      </c>
      <c r="I32" s="33" t="n">
        <f aca="false">IF(G32=0,"n/a",F32/ABS(G32)-1)</f>
        <v>-0.757201646090535</v>
      </c>
      <c r="J32" s="34"/>
      <c r="K32" s="34"/>
    </row>
    <row r="33" customFormat="false" ht="15.75" hidden="false" customHeight="true" outlineLevel="0" collapsed="false">
      <c r="A33" s="35" t="s">
        <v>65</v>
      </c>
      <c r="B33" s="36" t="n">
        <v>1510</v>
      </c>
      <c r="C33" s="36" t="n">
        <v>1620</v>
      </c>
      <c r="D33" s="36" t="n">
        <v>1738</v>
      </c>
      <c r="E33" s="36" t="n">
        <v>1860</v>
      </c>
      <c r="F33" s="36" t="n">
        <v>6728</v>
      </c>
      <c r="G33" s="36" t="n">
        <v>4903</v>
      </c>
      <c r="H33" s="33" t="n">
        <f aca="false">IF(D33=0,"n/a",E33/ABS(D33)-1)</f>
        <v>0.0701956271576525</v>
      </c>
      <c r="I33" s="33" t="n">
        <f aca="false">IF(G33=0,"n/a",F33/ABS(G33)-1)</f>
        <v>0.372221089129105</v>
      </c>
      <c r="J33" s="34"/>
      <c r="K33" s="34"/>
    </row>
    <row r="34" customFormat="false" ht="15.75" hidden="false" customHeight="true" outlineLevel="0" collapsed="false">
      <c r="A34" s="35" t="s">
        <v>66</v>
      </c>
      <c r="B34" s="36" t="n">
        <v>6136</v>
      </c>
      <c r="C34" s="36" t="n">
        <v>16135</v>
      </c>
      <c r="D34" s="36" t="n">
        <v>33318</v>
      </c>
      <c r="E34" s="36" t="n">
        <v>41140</v>
      </c>
      <c r="F34" s="36" t="n">
        <v>96729</v>
      </c>
      <c r="G34" s="36" t="n">
        <v>10116</v>
      </c>
      <c r="H34" s="33" t="n">
        <f aca="false">IF(D34=0,"n/a",E34/ABS(D34)-1)</f>
        <v>0.234767993276907</v>
      </c>
      <c r="I34" s="33" t="n">
        <f aca="false">IF(G34=0,"n/a",F34/ABS(G34)-1)</f>
        <v>8.56198102016607</v>
      </c>
      <c r="J34" s="34"/>
      <c r="K34" s="34"/>
    </row>
    <row r="35" customFormat="false" ht="15.75" hidden="false" customHeight="true" outlineLevel="0" collapsed="false">
      <c r="A35" s="30" t="s">
        <v>67</v>
      </c>
      <c r="B35" s="31" t="n">
        <v>139</v>
      </c>
      <c r="C35" s="31" t="n">
        <v>155</v>
      </c>
      <c r="D35" s="31" t="n">
        <v>215</v>
      </c>
      <c r="E35" s="32" t="n">
        <v>300</v>
      </c>
      <c r="F35" s="31" t="n">
        <v>809</v>
      </c>
      <c r="G35" s="31" t="n">
        <v>485</v>
      </c>
      <c r="H35" s="33" t="n">
        <f aca="false">IF(D35=0,"n/a",E35/ABS(D35)-1)</f>
        <v>0.395348837209302</v>
      </c>
      <c r="I35" s="33" t="n">
        <f aca="false">IF(G35=0,"n/a",F35/ABS(G35)-1)</f>
        <v>0.668041237113402</v>
      </c>
      <c r="J35" s="34"/>
      <c r="K35" s="34"/>
    </row>
    <row r="36" customFormat="false" ht="15.75" hidden="false" customHeight="true" outlineLevel="0" collapsed="false">
      <c r="A36" s="30" t="s">
        <v>68</v>
      </c>
      <c r="B36" s="31" t="n">
        <v>-74</v>
      </c>
      <c r="C36" s="31" t="n">
        <v>-32</v>
      </c>
      <c r="D36" s="31" t="n">
        <v>0</v>
      </c>
      <c r="E36" s="32" t="n">
        <v>0</v>
      </c>
      <c r="F36" s="31" t="n">
        <v>-106</v>
      </c>
      <c r="G36" s="31" t="n">
        <v>-476</v>
      </c>
      <c r="H36" s="33" t="str">
        <f aca="false">IF(D36=0,"n/a",E36/ABS(D36)-1)</f>
        <v>n/a</v>
      </c>
      <c r="I36" s="33" t="n">
        <f aca="false">IF(G36=0,"n/a",F36/ABS(G36)-1)</f>
        <v>-1.22268907563025</v>
      </c>
      <c r="J36" s="34"/>
      <c r="K36" s="34"/>
    </row>
    <row r="37" customFormat="false" ht="15.75" hidden="false" customHeight="true" outlineLevel="0" collapsed="false">
      <c r="A37" s="30" t="s">
        <v>69</v>
      </c>
      <c r="B37" s="31" t="n">
        <v>-140</v>
      </c>
      <c r="C37" s="31" t="n">
        <v>-98</v>
      </c>
      <c r="D37" s="31" t="n">
        <v>-321</v>
      </c>
      <c r="E37" s="32" t="n">
        <v>-100</v>
      </c>
      <c r="F37" s="31" t="n">
        <v>-659</v>
      </c>
      <c r="G37" s="31" t="n">
        <v>-145</v>
      </c>
      <c r="H37" s="33" t="n">
        <f aca="false">IF(D37=0,"n/a",E37/ABS(D37)-1)</f>
        <v>-1.31152647975078</v>
      </c>
      <c r="I37" s="33" t="n">
        <f aca="false">IF(G37=0,"n/a",F37/ABS(G37)-1)</f>
        <v>-5.5448275862069</v>
      </c>
      <c r="J37" s="34"/>
      <c r="K37" s="34"/>
    </row>
    <row r="38" customFormat="false" ht="15.75" hidden="false" customHeight="true" outlineLevel="0" collapsed="false">
      <c r="A38" s="35" t="s">
        <v>70</v>
      </c>
      <c r="B38" s="36" t="n">
        <v>6061</v>
      </c>
      <c r="C38" s="36" t="n">
        <v>16160</v>
      </c>
      <c r="D38" s="36" t="n">
        <v>33212</v>
      </c>
      <c r="E38" s="36" t="n">
        <v>41340</v>
      </c>
      <c r="F38" s="36" t="n">
        <v>96773</v>
      </c>
      <c r="G38" s="36" t="n">
        <v>9980</v>
      </c>
      <c r="H38" s="33" t="n">
        <f aca="false">IF(D38=0,"n/a",E38/ABS(D38)-1)</f>
        <v>0.244730820185475</v>
      </c>
      <c r="I38" s="33" t="n">
        <f aca="false">IF(G38=0,"n/a",F38/ABS(G38)-1)</f>
        <v>8.69669338677355</v>
      </c>
      <c r="J38" s="34"/>
      <c r="K38" s="34"/>
    </row>
    <row r="39" customFormat="false" ht="15.75" hidden="false" customHeight="true" outlineLevel="0" collapsed="false">
      <c r="A39" s="30" t="s">
        <v>71</v>
      </c>
      <c r="B39" s="31" t="n">
        <v>-829</v>
      </c>
      <c r="C39" s="31" t="n">
        <v>-2371</v>
      </c>
      <c r="D39" s="31" t="n">
        <v>-4978</v>
      </c>
      <c r="E39" s="32" t="n">
        <v>-6000</v>
      </c>
      <c r="F39" s="31" t="n">
        <v>-14178</v>
      </c>
      <c r="G39" s="31" t="n">
        <v>-1453</v>
      </c>
      <c r="H39" s="33" t="n">
        <f aca="false">IF(D39=0,"n/a",E39/ABS(D39)-1)</f>
        <v>-2.20530333467256</v>
      </c>
      <c r="I39" s="33" t="n">
        <f aca="false">IF(G39=0,"n/a",F39/ABS(G39)-1)</f>
        <v>-10.7577426015141</v>
      </c>
      <c r="J39" s="34"/>
      <c r="K39" s="34"/>
    </row>
    <row r="40" customFormat="false" ht="15.75" hidden="false" customHeight="true" outlineLevel="0" collapsed="false">
      <c r="A40" s="30" t="s">
        <v>72</v>
      </c>
      <c r="B40" s="31" t="n">
        <v>8</v>
      </c>
      <c r="C40" s="31" t="n">
        <v>-4</v>
      </c>
      <c r="D40" s="31" t="n">
        <v>9</v>
      </c>
      <c r="E40" s="32" t="n">
        <v>0</v>
      </c>
      <c r="F40" s="31" t="n">
        <v>13</v>
      </c>
      <c r="G40" s="31" t="n">
        <v>13</v>
      </c>
      <c r="H40" s="33" t="n">
        <f aca="false">IF(D40=0,"n/a",E40/ABS(D40)-1)</f>
        <v>-1</v>
      </c>
      <c r="I40" s="33" t="n">
        <f aca="false">IF(G40=0,"n/a",F40/ABS(G40)-1)</f>
        <v>0</v>
      </c>
      <c r="J40" s="34"/>
      <c r="K40" s="34"/>
    </row>
    <row r="41" customFormat="false" ht="15.75" hidden="false" customHeight="true" outlineLevel="0" collapsed="false">
      <c r="A41" s="35" t="s">
        <v>73</v>
      </c>
      <c r="B41" s="36" t="n">
        <v>5240</v>
      </c>
      <c r="C41" s="36" t="n">
        <v>13785</v>
      </c>
      <c r="D41" s="36" t="n">
        <v>28243</v>
      </c>
      <c r="E41" s="36" t="n">
        <v>35340</v>
      </c>
      <c r="F41" s="36" t="n">
        <v>82608</v>
      </c>
      <c r="G41" s="36" t="n">
        <v>8540</v>
      </c>
      <c r="H41" s="33" t="n">
        <f aca="false">IF(D41=0,"n/a",E41/ABS(D41)-1)</f>
        <v>0.251283503877067</v>
      </c>
      <c r="I41" s="33" t="n">
        <f aca="false">IF(G41=0,"n/a",F41/ABS(G41)-1)</f>
        <v>8.67306791569087</v>
      </c>
      <c r="J41" s="34"/>
      <c r="K41" s="34"/>
    </row>
    <row r="42" customFormat="false" ht="16.5" hidden="false" customHeight="true" outlineLevel="0" collapsed="false">
      <c r="A42" s="37" t="s">
        <v>74</v>
      </c>
      <c r="B42" s="38" t="n">
        <f aca="false">B29/B27</f>
        <v>0.560433922157883</v>
      </c>
      <c r="C42" s="38" t="n">
        <f aca="false">C29/C27</f>
        <v>0.744132439228835</v>
      </c>
      <c r="D42" s="38" t="n">
        <f aca="false">D29/D27</f>
        <v>0.845619451949054</v>
      </c>
      <c r="E42" s="38" t="n">
        <f aca="false">E29/E27</f>
        <v>0.86</v>
      </c>
      <c r="F42" s="38" t="n">
        <f aca="false">F29/F27</f>
        <v>0.802247225862483</v>
      </c>
      <c r="G42" s="38" t="n">
        <f aca="false">G29/G27</f>
        <v>0.401770905783532</v>
      </c>
      <c r="H42" s="39"/>
      <c r="I42" s="39"/>
      <c r="J42" s="39"/>
      <c r="K42" s="39"/>
    </row>
    <row r="43" customFormat="false" ht="16.5" hidden="false" customHeight="true" outlineLevel="0" collapsed="false">
      <c r="A43" s="37" t="s">
        <v>75</v>
      </c>
      <c r="B43" s="38" t="n">
        <f aca="false">B34/B27</f>
        <v>0.449754452832955</v>
      </c>
      <c r="C43" s="38" t="n">
        <f aca="false">C34/C27</f>
        <v>0.676236378876781</v>
      </c>
      <c r="D43" s="38" t="n">
        <f aca="false">D34/D27</f>
        <v>0.80369548436897</v>
      </c>
      <c r="E43" s="38" t="n">
        <f aca="false">E34/E27</f>
        <v>0.8228</v>
      </c>
      <c r="F43" s="38" t="n">
        <f aca="false">F34/F27</f>
        <v>0.75007560542498</v>
      </c>
      <c r="G43" s="38" t="n">
        <f aca="false">G34/G27</f>
        <v>0.270611524263014</v>
      </c>
      <c r="H43" s="39"/>
      <c r="I43" s="39"/>
      <c r="J43" s="39"/>
      <c r="K43" s="39"/>
    </row>
    <row r="44" customFormat="false" ht="16.5" hidden="false" customHeight="true" outlineLevel="0" collapsed="false">
      <c r="A44" s="37" t="s">
        <v>76</v>
      </c>
      <c r="B44" s="38" t="n">
        <f aca="false">B41/B27</f>
        <v>0.384079747856043</v>
      </c>
      <c r="C44" s="38" t="n">
        <f aca="false">C41/C27</f>
        <v>0.577745180217938</v>
      </c>
      <c r="D44" s="38" t="n">
        <f aca="false">D41/D27</f>
        <v>0.681276534156696</v>
      </c>
      <c r="E44" s="38" t="n">
        <f aca="false">E41/E27</f>
        <v>0.7068</v>
      </c>
      <c r="F44" s="38" t="n">
        <f aca="false">F41/F27</f>
        <v>0.640575686846207</v>
      </c>
      <c r="G44" s="38" t="n">
        <f aca="false">G41/G27</f>
        <v>0.228452196244182</v>
      </c>
      <c r="H44" s="39"/>
      <c r="I44" s="39"/>
      <c r="J44" s="39"/>
      <c r="K44" s="39"/>
    </row>
    <row r="45" customFormat="false" ht="16.5" hidden="false" customHeight="true" outlineLevel="0" collapsed="false">
      <c r="A45" s="37" t="s">
        <v>77</v>
      </c>
      <c r="B45" s="38" t="n">
        <f aca="false">B33/B27</f>
        <v>0.110679469324929</v>
      </c>
      <c r="C45" s="38" t="n">
        <f aca="false">C33/C27</f>
        <v>0.0678960603520536</v>
      </c>
      <c r="D45" s="38" t="n">
        <f aca="false">D33/D27</f>
        <v>0.0419239675800849</v>
      </c>
      <c r="E45" s="38" t="n">
        <f aca="false">E33/E27</f>
        <v>0.0372</v>
      </c>
      <c r="F45" s="38" t="n">
        <f aca="false">F33/F27</f>
        <v>0.0521716204375034</v>
      </c>
      <c r="G45" s="38" t="n">
        <f aca="false">G33/G27</f>
        <v>0.131159381520518</v>
      </c>
      <c r="H45" s="39"/>
      <c r="I45" s="39"/>
      <c r="J45" s="39"/>
      <c r="K45" s="39"/>
    </row>
    <row r="46" customFormat="false" ht="15.75" hidden="false" customHeight="true" outlineLevel="0" collapsed="false">
      <c r="A46" s="5" t="s">
        <v>78</v>
      </c>
      <c r="B46" s="40" t="n">
        <v>4.6</v>
      </c>
      <c r="C46" s="40" t="n">
        <v>12.07</v>
      </c>
      <c r="D46" s="40" t="n">
        <v>24.67</v>
      </c>
      <c r="E46" s="40" t="n">
        <v>30.73</v>
      </c>
      <c r="F46" s="40" t="n">
        <v>72.21</v>
      </c>
      <c r="G46" s="40" t="n">
        <v>7.59</v>
      </c>
      <c r="H46" s="39"/>
      <c r="I46" s="39"/>
      <c r="J46" s="39"/>
      <c r="K46" s="39"/>
    </row>
    <row r="47" customFormat="false" ht="15.75" hidden="false" customHeight="true" outlineLevel="0" collapsed="false">
      <c r="A47" s="5" t="s">
        <v>79</v>
      </c>
      <c r="B47" s="40" t="n">
        <v>4.66</v>
      </c>
      <c r="C47" s="40" t="n">
        <v>12.25</v>
      </c>
      <c r="D47" s="40" t="n">
        <v>25.03</v>
      </c>
      <c r="E47" s="40" t="n">
        <v>31.2</v>
      </c>
      <c r="F47" s="40" t="n">
        <v>73.32</v>
      </c>
      <c r="G47" s="40" t="n">
        <v>7.67</v>
      </c>
      <c r="H47" s="39"/>
      <c r="I47" s="39"/>
      <c r="J47" s="39"/>
      <c r="K47" s="39"/>
    </row>
    <row r="48" customFormat="false" ht="15.75" hidden="false" customHeight="true" outlineLevel="0" collapsed="false">
      <c r="A48" s="5" t="s">
        <v>80</v>
      </c>
      <c r="B48" s="41" t="n">
        <v>1139</v>
      </c>
      <c r="C48" s="41" t="n">
        <v>1142</v>
      </c>
      <c r="D48" s="41" t="n">
        <v>1145</v>
      </c>
      <c r="E48" s="41" t="n">
        <v>1150</v>
      </c>
      <c r="F48" s="41" t="n">
        <v>1144</v>
      </c>
      <c r="G48" s="41" t="n">
        <v>1125</v>
      </c>
      <c r="H48" s="39"/>
      <c r="I48" s="39"/>
      <c r="J48" s="39"/>
      <c r="K48" s="39"/>
    </row>
    <row r="49" customFormat="false" ht="15.75" hidden="false" customHeight="true" outlineLevel="0" collapsed="false">
      <c r="A49" s="5" t="s">
        <v>81</v>
      </c>
      <c r="B49" s="41" t="n">
        <v>1124</v>
      </c>
      <c r="C49" s="41" t="n">
        <v>1126</v>
      </c>
      <c r="D49" s="41" t="n">
        <v>1128</v>
      </c>
      <c r="E49" s="41" t="n">
        <v>1133</v>
      </c>
      <c r="F49" s="41" t="n">
        <v>1128</v>
      </c>
      <c r="G49" s="41" t="n">
        <v>1114</v>
      </c>
      <c r="H49" s="39"/>
      <c r="I49" s="39"/>
      <c r="J49" s="39"/>
      <c r="K49" s="39"/>
    </row>
    <row r="50" customFormat="false" ht="33" hidden="false" customHeight="true" outlineLevel="0" collapsed="false">
      <c r="A50" s="42" t="s">
        <v>82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</row>
    <row r="51" customFormat="false" ht="45.75" hidden="false" customHeight="true" outlineLevel="0" collapsed="false">
      <c r="A51" s="43" t="s">
        <v>83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</row>
    <row r="53" customFormat="false" ht="24" hidden="false" customHeight="true" outlineLevel="0" collapsed="false">
      <c r="A53" s="3" t="s">
        <v>84</v>
      </c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27" hidden="false" customHeight="true" outlineLevel="0" collapsed="false">
      <c r="A54" s="4" t="s">
        <v>85</v>
      </c>
      <c r="B54" s="14" t="s">
        <v>86</v>
      </c>
      <c r="C54" s="14" t="s">
        <v>87</v>
      </c>
      <c r="D54" s="14" t="s">
        <v>88</v>
      </c>
      <c r="E54" s="14" t="s">
        <v>89</v>
      </c>
      <c r="F54" s="14" t="s">
        <v>90</v>
      </c>
      <c r="G54" s="14" t="s">
        <v>91</v>
      </c>
      <c r="H54" s="14" t="s">
        <v>92</v>
      </c>
      <c r="I54" s="14" t="s">
        <v>93</v>
      </c>
      <c r="J54" s="4" t="s">
        <v>94</v>
      </c>
      <c r="K54" s="4"/>
    </row>
    <row r="55" customFormat="false" ht="28.5" hidden="false" customHeight="true" outlineLevel="0" collapsed="false">
      <c r="A55" s="44" t="s">
        <v>95</v>
      </c>
      <c r="B55" s="31" t="n">
        <v>7749</v>
      </c>
      <c r="C55" s="31" t="n">
        <v>13769</v>
      </c>
      <c r="D55" s="31" t="n">
        <v>3386</v>
      </c>
      <c r="E55" s="45" t="n">
        <f aca="false">C55/B55-1</f>
        <v>0.776874435411021</v>
      </c>
      <c r="F55" s="45" t="n">
        <f aca="false">C55/D55-1</f>
        <v>3.06645008860012</v>
      </c>
      <c r="G55" s="46" t="n">
        <f aca="false">C55/C27</f>
        <v>0.577074601844091</v>
      </c>
      <c r="H55" s="47" t="n">
        <v>0.83</v>
      </c>
      <c r="I55" s="47" t="n">
        <v>0.78</v>
      </c>
      <c r="J55" s="48" t="s">
        <v>96</v>
      </c>
      <c r="K55" s="48"/>
    </row>
    <row r="56" customFormat="false" ht="28.5" hidden="false" customHeight="true" outlineLevel="0" collapsed="false">
      <c r="A56" s="44" t="s">
        <v>97</v>
      </c>
      <c r="B56" s="31" t="n">
        <v>5687</v>
      </c>
      <c r="C56" s="31" t="n">
        <v>11524</v>
      </c>
      <c r="D56" s="31" t="n">
        <v>1530</v>
      </c>
      <c r="E56" s="45" t="n">
        <f aca="false">C56/B56-1</f>
        <v>1.02637594513803</v>
      </c>
      <c r="F56" s="45" t="n">
        <f aca="false">C56/D56-1</f>
        <v>6.53202614379085</v>
      </c>
      <c r="G56" s="46" t="n">
        <f aca="false">C56/C27</f>
        <v>0.482984073763621</v>
      </c>
      <c r="H56" s="47" t="n">
        <v>0.87</v>
      </c>
      <c r="I56" s="47" t="n">
        <v>0.83</v>
      </c>
      <c r="J56" s="49" t="s">
        <v>98</v>
      </c>
      <c r="K56" s="49"/>
    </row>
    <row r="57" customFormat="false" ht="28.5" hidden="false" customHeight="true" outlineLevel="0" collapsed="false">
      <c r="A57" s="44" t="s">
        <v>99</v>
      </c>
      <c r="B57" s="31" t="n">
        <v>7711</v>
      </c>
      <c r="C57" s="31" t="n">
        <v>11521</v>
      </c>
      <c r="D57" s="31" t="n">
        <v>3255</v>
      </c>
      <c r="E57" s="45" t="n">
        <f aca="false">C57/B57-1</f>
        <v>0.494099338607185</v>
      </c>
      <c r="F57" s="45" t="n">
        <f aca="false">C57/D57-1</f>
        <v>2.5394777265745</v>
      </c>
      <c r="G57" s="46" t="n">
        <f aca="false">C57/C27</f>
        <v>0.482858340318525</v>
      </c>
      <c r="H57" s="47" t="n">
        <v>0.87</v>
      </c>
      <c r="I57" s="47" t="n">
        <v>0.86</v>
      </c>
      <c r="J57" s="49" t="s">
        <v>100</v>
      </c>
      <c r="K57" s="49"/>
    </row>
    <row r="58" customFormat="false" ht="21.75" hidden="false" customHeight="true" outlineLevel="0" collapsed="false">
      <c r="A58" s="44" t="s">
        <v>101</v>
      </c>
      <c r="B58" s="31" t="n">
        <v>2708</v>
      </c>
      <c r="C58" s="31" t="n">
        <v>4634</v>
      </c>
      <c r="D58" s="31" t="n">
        <v>1127</v>
      </c>
      <c r="E58" s="45" t="n">
        <f aca="false">C58/B58-1</f>
        <v>0.71122599704579</v>
      </c>
      <c r="F58" s="45" t="n">
        <f aca="false">C58/D58-1</f>
        <v>3.11180124223603</v>
      </c>
      <c r="G58" s="46" t="n">
        <f aca="false">C58/C27</f>
        <v>0.194216261525566</v>
      </c>
      <c r="H58" s="47" t="n">
        <v>0.79</v>
      </c>
      <c r="I58" s="47" t="n">
        <v>0.75</v>
      </c>
      <c r="J58" s="49" t="s">
        <v>102</v>
      </c>
      <c r="K58" s="49"/>
    </row>
    <row r="59" customFormat="false" ht="16.5" hidden="false" customHeight="true" outlineLevel="0" collapsed="false">
      <c r="A59" s="35" t="s">
        <v>103</v>
      </c>
      <c r="B59" s="36" t="n">
        <f aca="false">SUM(B55:B58)</f>
        <v>23855</v>
      </c>
      <c r="C59" s="36" t="n">
        <f aca="false">SUM(C55:C58)</f>
        <v>41448</v>
      </c>
      <c r="D59" s="36" t="n">
        <f aca="false">SUM(D55:D58)</f>
        <v>9298</v>
      </c>
      <c r="E59" s="39"/>
      <c r="F59" s="39"/>
      <c r="G59" s="39"/>
      <c r="H59" s="39"/>
      <c r="I59" s="39"/>
      <c r="J59" s="39"/>
      <c r="K59" s="39"/>
    </row>
    <row r="60" customFormat="false" ht="20.25" hidden="false" customHeight="true" outlineLevel="0" collapsed="false">
      <c r="A60" s="42" t="s">
        <v>104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</row>
    <row r="62" customFormat="false" ht="24" hidden="false" customHeight="true" outlineLevel="0" collapsed="false">
      <c r="A62" s="3" t="s">
        <v>105</v>
      </c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42" hidden="false" customHeight="true" outlineLevel="0" collapsed="false">
      <c r="A63" s="4" t="s">
        <v>49</v>
      </c>
      <c r="B63" s="14" t="s">
        <v>106</v>
      </c>
      <c r="C63" s="14" t="s">
        <v>107</v>
      </c>
      <c r="D63" s="14" t="s">
        <v>108</v>
      </c>
      <c r="E63" s="14" t="s">
        <v>109</v>
      </c>
      <c r="F63" s="4" t="s">
        <v>110</v>
      </c>
      <c r="G63" s="4" t="s">
        <v>58</v>
      </c>
      <c r="H63" s="4"/>
      <c r="I63" s="4"/>
      <c r="J63" s="4"/>
      <c r="K63" s="4"/>
    </row>
    <row r="64" customFormat="false" ht="18" hidden="false" customHeight="true" outlineLevel="0" collapsed="false">
      <c r="A64" s="50" t="s">
        <v>111</v>
      </c>
      <c r="B64" s="50"/>
      <c r="C64" s="50"/>
      <c r="D64" s="50"/>
      <c r="E64" s="50"/>
      <c r="F64" s="50"/>
      <c r="G64" s="50"/>
      <c r="H64" s="50"/>
      <c r="I64" s="50"/>
      <c r="J64" s="50"/>
      <c r="K64" s="50"/>
    </row>
    <row r="65" customFormat="false" ht="15.75" hidden="false" customHeight="true" outlineLevel="0" collapsed="false">
      <c r="A65" s="30" t="s">
        <v>112</v>
      </c>
      <c r="B65" s="31" t="n">
        <v>9642</v>
      </c>
      <c r="C65" s="31" t="n">
        <v>13908</v>
      </c>
      <c r="D65" s="31" t="n">
        <v>24995</v>
      </c>
      <c r="E65" s="31" t="n">
        <f aca="false">D65-B65</f>
        <v>15353</v>
      </c>
      <c r="F65" s="51" t="n">
        <f aca="false">IF(B65=0,"n/a",D65/B65-1)</f>
        <v>1.59230450114084</v>
      </c>
      <c r="G65" s="34"/>
      <c r="H65" s="34"/>
      <c r="I65" s="34"/>
      <c r="J65" s="34"/>
      <c r="K65" s="34"/>
    </row>
    <row r="66" customFormat="false" ht="15.75" hidden="false" customHeight="true" outlineLevel="0" collapsed="false">
      <c r="A66" s="30" t="s">
        <v>113</v>
      </c>
      <c r="B66" s="31" t="n">
        <v>665</v>
      </c>
      <c r="C66" s="31" t="n">
        <v>681</v>
      </c>
      <c r="D66" s="31" t="n">
        <v>1027</v>
      </c>
      <c r="E66" s="31" t="n">
        <f aca="false">D66-B66</f>
        <v>362</v>
      </c>
      <c r="F66" s="51" t="n">
        <f aca="false">IF(B66=0,"n/a",D66/B66-1)</f>
        <v>0.544360902255639</v>
      </c>
      <c r="G66" s="34"/>
      <c r="H66" s="34"/>
      <c r="I66" s="34"/>
      <c r="J66" s="34"/>
      <c r="K66" s="34"/>
    </row>
    <row r="67" customFormat="false" ht="15.75" hidden="false" customHeight="true" outlineLevel="0" collapsed="false">
      <c r="A67" s="30" t="s">
        <v>114</v>
      </c>
      <c r="B67" s="31" t="n">
        <v>9265</v>
      </c>
      <c r="C67" s="31" t="n">
        <v>17314</v>
      </c>
      <c r="D67" s="31" t="n">
        <v>31025</v>
      </c>
      <c r="E67" s="31" t="n">
        <f aca="false">D67-B67</f>
        <v>21760</v>
      </c>
      <c r="F67" s="51" t="n">
        <f aca="false">IF(B67=0,"n/a",D67/B67-1)</f>
        <v>2.34862385321101</v>
      </c>
      <c r="G67" s="34"/>
      <c r="H67" s="34"/>
      <c r="I67" s="34"/>
      <c r="J67" s="34"/>
      <c r="K67" s="34"/>
    </row>
    <row r="68" customFormat="false" ht="15.75" hidden="false" customHeight="true" outlineLevel="0" collapsed="false">
      <c r="A68" s="30" t="s">
        <v>115</v>
      </c>
      <c r="B68" s="31" t="n">
        <v>8355</v>
      </c>
      <c r="C68" s="31" t="n">
        <v>8267</v>
      </c>
      <c r="D68" s="31" t="n">
        <v>8567</v>
      </c>
      <c r="E68" s="31" t="n">
        <f aca="false">D68-B68</f>
        <v>212</v>
      </c>
      <c r="F68" s="51" t="n">
        <f aca="false">IF(B68=0,"n/a",D68/B68-1)</f>
        <v>0.025374027528426</v>
      </c>
      <c r="G68" s="34"/>
      <c r="H68" s="34"/>
      <c r="I68" s="34"/>
      <c r="J68" s="34"/>
      <c r="K68" s="34"/>
    </row>
    <row r="69" customFormat="false" ht="15.75" hidden="false" customHeight="true" outlineLevel="0" collapsed="false">
      <c r="A69" s="30" t="s">
        <v>116</v>
      </c>
      <c r="B69" s="31" t="n">
        <v>914</v>
      </c>
      <c r="C69" s="31" t="n">
        <v>1243</v>
      </c>
      <c r="D69" s="31" t="n">
        <v>1123</v>
      </c>
      <c r="E69" s="31" t="n">
        <f aca="false">D69-B69</f>
        <v>209</v>
      </c>
      <c r="F69" s="51" t="n">
        <f aca="false">IF(B69=0,"n/a",D69/B69-1)</f>
        <v>0.228665207877462</v>
      </c>
      <c r="G69" s="34"/>
      <c r="H69" s="34"/>
      <c r="I69" s="34"/>
      <c r="J69" s="34"/>
      <c r="K69" s="34"/>
    </row>
    <row r="70" customFormat="false" ht="15.75" hidden="false" customHeight="true" outlineLevel="0" collapsed="false">
      <c r="A70" s="35" t="s">
        <v>117</v>
      </c>
      <c r="B70" s="36" t="n">
        <v>28841</v>
      </c>
      <c r="C70" s="36" t="n">
        <v>41413</v>
      </c>
      <c r="D70" s="36" t="n">
        <v>66737</v>
      </c>
      <c r="E70" s="52" t="n">
        <f aca="false">D70-B70</f>
        <v>37896</v>
      </c>
      <c r="F70" s="51" t="n">
        <f aca="false">IF(B70=0,"n/a",D70/B70-1)</f>
        <v>1.31396276134669</v>
      </c>
      <c r="G70" s="34"/>
      <c r="H70" s="34"/>
      <c r="I70" s="34"/>
      <c r="J70" s="34"/>
      <c r="K70" s="34"/>
    </row>
    <row r="71" customFormat="false" ht="15.75" hidden="false" customHeight="true" outlineLevel="0" collapsed="false">
      <c r="A71" s="30" t="s">
        <v>118</v>
      </c>
      <c r="B71" s="31" t="n">
        <v>1629</v>
      </c>
      <c r="C71" s="31" t="n">
        <v>2038</v>
      </c>
      <c r="D71" s="31" t="n">
        <v>4106</v>
      </c>
      <c r="E71" s="31" t="n">
        <f aca="false">D71-B71</f>
        <v>2477</v>
      </c>
      <c r="F71" s="51" t="n">
        <f aca="false">IF(B71=0,"n/a",D71/B71-1)</f>
        <v>1.52056476365869</v>
      </c>
      <c r="G71" s="34"/>
      <c r="H71" s="34"/>
      <c r="I71" s="34"/>
      <c r="J71" s="34"/>
      <c r="K71" s="34"/>
    </row>
    <row r="72" customFormat="false" ht="15.75" hidden="false" customHeight="true" outlineLevel="0" collapsed="false">
      <c r="A72" s="30" t="s">
        <v>119</v>
      </c>
      <c r="B72" s="31" t="n">
        <v>46590</v>
      </c>
      <c r="C72" s="31" t="n">
        <v>51408</v>
      </c>
      <c r="D72" s="31" t="n">
        <v>56426</v>
      </c>
      <c r="E72" s="31" t="n">
        <f aca="false">D72-B72</f>
        <v>9836</v>
      </c>
      <c r="F72" s="51" t="n">
        <f aca="false">IF(B72=0,"n/a",D72/B72-1)</f>
        <v>0.211118265722258</v>
      </c>
      <c r="G72" s="34"/>
      <c r="H72" s="34"/>
      <c r="I72" s="34"/>
      <c r="J72" s="34"/>
      <c r="K72" s="34"/>
    </row>
    <row r="73" customFormat="false" ht="15.75" hidden="false" customHeight="true" outlineLevel="0" collapsed="false">
      <c r="A73" s="30" t="s">
        <v>120</v>
      </c>
      <c r="B73" s="31" t="n">
        <v>736</v>
      </c>
      <c r="C73" s="31" t="n">
        <v>684</v>
      </c>
      <c r="D73" s="31" t="n">
        <v>683</v>
      </c>
      <c r="E73" s="31" t="n">
        <f aca="false">D73-B73</f>
        <v>-53</v>
      </c>
      <c r="F73" s="51" t="n">
        <f aca="false">IF(B73=0,"n/a",D73/B73-1)</f>
        <v>-0.0720108695652174</v>
      </c>
      <c r="G73" s="34"/>
      <c r="H73" s="34"/>
      <c r="I73" s="34"/>
      <c r="J73" s="34"/>
      <c r="K73" s="34"/>
    </row>
    <row r="74" customFormat="false" ht="15.75" hidden="false" customHeight="true" outlineLevel="0" collapsed="false">
      <c r="A74" s="30" t="s">
        <v>121</v>
      </c>
      <c r="B74" s="31" t="n">
        <v>453</v>
      </c>
      <c r="C74" s="31" t="n">
        <v>468</v>
      </c>
      <c r="D74" s="31" t="n">
        <v>473</v>
      </c>
      <c r="E74" s="31" t="n">
        <f aca="false">D74-B74</f>
        <v>20</v>
      </c>
      <c r="F74" s="51" t="n">
        <f aca="false">IF(B74=0,"n/a",D74/B74-1)</f>
        <v>0.0441501103752759</v>
      </c>
      <c r="G74" s="34"/>
      <c r="H74" s="34"/>
      <c r="I74" s="34"/>
      <c r="J74" s="34"/>
      <c r="K74" s="34"/>
    </row>
    <row r="75" customFormat="false" ht="15.75" hidden="false" customHeight="true" outlineLevel="0" collapsed="false">
      <c r="A75" s="30" t="s">
        <v>122</v>
      </c>
      <c r="B75" s="31" t="n">
        <v>616</v>
      </c>
      <c r="C75" s="31" t="n">
        <v>680</v>
      </c>
      <c r="D75" s="31" t="n">
        <v>700</v>
      </c>
      <c r="E75" s="31" t="n">
        <f aca="false">D75-B75</f>
        <v>84</v>
      </c>
      <c r="F75" s="51" t="n">
        <f aca="false">IF(B75=0,"n/a",D75/B75-1)</f>
        <v>0.136363636363636</v>
      </c>
      <c r="G75" s="34"/>
      <c r="H75" s="34"/>
      <c r="I75" s="34"/>
      <c r="J75" s="34"/>
      <c r="K75" s="34"/>
    </row>
    <row r="76" customFormat="false" ht="15.75" hidden="false" customHeight="true" outlineLevel="0" collapsed="false">
      <c r="A76" s="30" t="s">
        <v>123</v>
      </c>
      <c r="B76" s="31" t="n">
        <v>1150</v>
      </c>
      <c r="C76" s="31" t="n">
        <v>1150</v>
      </c>
      <c r="D76" s="31" t="n">
        <v>1150</v>
      </c>
      <c r="E76" s="31" t="n">
        <f aca="false">D76-B76</f>
        <v>0</v>
      </c>
      <c r="F76" s="51" t="n">
        <f aca="false">IF(B76=0,"n/a",D76/B76-1)</f>
        <v>0</v>
      </c>
      <c r="G76" s="34"/>
      <c r="H76" s="34"/>
      <c r="I76" s="34"/>
      <c r="J76" s="34"/>
      <c r="K76" s="34"/>
    </row>
    <row r="77" customFormat="false" ht="15.75" hidden="false" customHeight="true" outlineLevel="0" collapsed="false">
      <c r="A77" s="30" t="s">
        <v>124</v>
      </c>
      <c r="B77" s="31" t="n">
        <v>2783</v>
      </c>
      <c r="C77" s="31" t="n">
        <v>3668</v>
      </c>
      <c r="D77" s="31" t="n">
        <v>3837</v>
      </c>
      <c r="E77" s="31" t="n">
        <f aca="false">D77-B77</f>
        <v>1054</v>
      </c>
      <c r="F77" s="51" t="n">
        <f aca="false">IF(B77=0,"n/a",D77/B77-1)</f>
        <v>0.378727991376213</v>
      </c>
      <c r="G77" s="34"/>
      <c r="H77" s="34"/>
      <c r="I77" s="34"/>
      <c r="J77" s="34"/>
      <c r="K77" s="34"/>
    </row>
    <row r="78" customFormat="false" ht="15.75" hidden="false" customHeight="true" outlineLevel="0" collapsed="false">
      <c r="A78" s="53" t="s">
        <v>125</v>
      </c>
      <c r="B78" s="54" t="n">
        <v>82798</v>
      </c>
      <c r="C78" s="54" t="n">
        <v>101509</v>
      </c>
      <c r="D78" s="54" t="n">
        <v>134112</v>
      </c>
      <c r="E78" s="52" t="n">
        <f aca="false">D78-B78</f>
        <v>51314</v>
      </c>
      <c r="F78" s="51" t="n">
        <f aca="false">IF(B78=0,"n/a",D78/B78-1)</f>
        <v>0.619749269306022</v>
      </c>
      <c r="G78" s="34"/>
      <c r="H78" s="34"/>
      <c r="I78" s="34"/>
      <c r="J78" s="34"/>
      <c r="K78" s="34"/>
    </row>
    <row r="79" customFormat="false" ht="18" hidden="false" customHeight="true" outlineLevel="0" collapsed="false">
      <c r="A79" s="50" t="s">
        <v>126</v>
      </c>
      <c r="B79" s="50"/>
      <c r="C79" s="50"/>
      <c r="D79" s="50"/>
      <c r="E79" s="50"/>
      <c r="F79" s="50"/>
      <c r="G79" s="50"/>
      <c r="H79" s="50"/>
      <c r="I79" s="50"/>
      <c r="J79" s="50"/>
      <c r="K79" s="50"/>
    </row>
    <row r="80" customFormat="false" ht="15.75" hidden="false" customHeight="true" outlineLevel="0" collapsed="false">
      <c r="A80" s="30" t="s">
        <v>127</v>
      </c>
      <c r="B80" s="31" t="n">
        <v>9649</v>
      </c>
      <c r="C80" s="31" t="n">
        <v>10997</v>
      </c>
      <c r="D80" s="31" t="n">
        <v>15521</v>
      </c>
      <c r="E80" s="31" t="n">
        <f aca="false">D80-B80</f>
        <v>5872</v>
      </c>
      <c r="F80" s="51" t="n">
        <f aca="false">IF(B80=0,"n/a",D80/B80-1)</f>
        <v>0.608560472587833</v>
      </c>
      <c r="G80" s="34"/>
      <c r="H80" s="34"/>
      <c r="I80" s="34"/>
      <c r="J80" s="34"/>
      <c r="K80" s="34"/>
    </row>
    <row r="81" customFormat="false" ht="15.75" hidden="false" customHeight="true" outlineLevel="0" collapsed="false">
      <c r="A81" s="30" t="s">
        <v>128</v>
      </c>
      <c r="B81" s="31" t="n">
        <v>560</v>
      </c>
      <c r="C81" s="31" t="n">
        <v>585</v>
      </c>
      <c r="D81" s="31" t="n">
        <v>582</v>
      </c>
      <c r="E81" s="31" t="n">
        <f aca="false">D81-B81</f>
        <v>22</v>
      </c>
      <c r="F81" s="51" t="n">
        <f aca="false">IF(B81=0,"n/a",D81/B81-1)</f>
        <v>0.0392857142857144</v>
      </c>
      <c r="G81" s="34"/>
      <c r="H81" s="34"/>
      <c r="I81" s="34"/>
      <c r="J81" s="34"/>
      <c r="K81" s="34"/>
    </row>
    <row r="82" customFormat="false" ht="15.75" hidden="false" customHeight="true" outlineLevel="0" collapsed="false">
      <c r="A82" s="30" t="s">
        <v>129</v>
      </c>
      <c r="B82" s="31" t="n">
        <v>1245</v>
      </c>
      <c r="C82" s="31" t="n">
        <v>2714</v>
      </c>
      <c r="D82" s="31" t="n">
        <v>3385</v>
      </c>
      <c r="E82" s="31" t="n">
        <f aca="false">D82-B82</f>
        <v>2140</v>
      </c>
      <c r="F82" s="51" t="n">
        <f aca="false">IF(B82=0,"n/a",D82/B82-1)</f>
        <v>1.71887550200803</v>
      </c>
      <c r="G82" s="34"/>
      <c r="H82" s="34"/>
      <c r="I82" s="34"/>
      <c r="J82" s="34"/>
      <c r="K82" s="34"/>
    </row>
    <row r="83" customFormat="false" ht="15.75" hidden="false" customHeight="true" outlineLevel="0" collapsed="false">
      <c r="A83" s="35" t="s">
        <v>130</v>
      </c>
      <c r="B83" s="36" t="n">
        <v>11454</v>
      </c>
      <c r="C83" s="36" t="n">
        <v>14296</v>
      </c>
      <c r="D83" s="36" t="n">
        <v>19488</v>
      </c>
      <c r="E83" s="52" t="n">
        <f aca="false">D83-B83</f>
        <v>8034</v>
      </c>
      <c r="F83" s="51" t="n">
        <f aca="false">IF(B83=0,"n/a",D83/B83-1)</f>
        <v>0.701414353064432</v>
      </c>
      <c r="G83" s="34"/>
      <c r="H83" s="34"/>
      <c r="I83" s="34"/>
      <c r="J83" s="34"/>
      <c r="K83" s="34"/>
    </row>
    <row r="84" customFormat="false" ht="15.75" hidden="false" customHeight="true" outlineLevel="0" collapsed="false">
      <c r="A84" s="30" t="s">
        <v>131</v>
      </c>
      <c r="B84" s="31" t="n">
        <v>14017</v>
      </c>
      <c r="C84" s="31" t="n">
        <v>9557</v>
      </c>
      <c r="D84" s="31" t="n">
        <v>5140</v>
      </c>
      <c r="E84" s="31" t="n">
        <f aca="false">D84-B84</f>
        <v>-8877</v>
      </c>
      <c r="F84" s="51" t="n">
        <f aca="false">IF(B84=0,"n/a",D84/B84-1)</f>
        <v>-0.633302418491831</v>
      </c>
      <c r="G84" s="34"/>
      <c r="H84" s="34"/>
      <c r="I84" s="34"/>
      <c r="J84" s="34"/>
      <c r="K84" s="34"/>
    </row>
    <row r="85" customFormat="false" ht="15.75" hidden="false" customHeight="true" outlineLevel="0" collapsed="false">
      <c r="A85" s="30" t="s">
        <v>132</v>
      </c>
      <c r="B85" s="31" t="n">
        <v>701</v>
      </c>
      <c r="C85" s="31" t="n">
        <v>656</v>
      </c>
      <c r="D85" s="31" t="n">
        <v>654</v>
      </c>
      <c r="E85" s="31" t="n">
        <f aca="false">D85-B85</f>
        <v>-47</v>
      </c>
      <c r="F85" s="51" t="n">
        <f aca="false">IF(B85=0,"n/a",D85/B85-1)</f>
        <v>-0.0670470756062768</v>
      </c>
      <c r="G85" s="34"/>
      <c r="H85" s="34"/>
      <c r="I85" s="34"/>
      <c r="J85" s="34"/>
      <c r="K85" s="34"/>
    </row>
    <row r="86" customFormat="false" ht="15.75" hidden="false" customHeight="true" outlineLevel="0" collapsed="false">
      <c r="A86" s="30" t="s">
        <v>133</v>
      </c>
      <c r="B86" s="31" t="n">
        <v>1018</v>
      </c>
      <c r="C86" s="31" t="n">
        <v>1002</v>
      </c>
      <c r="D86" s="31" t="n">
        <v>1020</v>
      </c>
      <c r="E86" s="31" t="n">
        <f aca="false">D86-B86</f>
        <v>2</v>
      </c>
      <c r="F86" s="51" t="n">
        <f aca="false">IF(B86=0,"n/a",D86/B86-1)</f>
        <v>0.00196463654223966</v>
      </c>
      <c r="G86" s="34"/>
      <c r="H86" s="34"/>
      <c r="I86" s="34"/>
      <c r="J86" s="34"/>
      <c r="K86" s="34"/>
    </row>
    <row r="87" customFormat="false" ht="15.75" hidden="false" customHeight="true" outlineLevel="0" collapsed="false">
      <c r="A87" s="30" t="s">
        <v>134</v>
      </c>
      <c r="B87" s="31" t="n">
        <v>1443</v>
      </c>
      <c r="C87" s="31" t="n">
        <v>3539</v>
      </c>
      <c r="D87" s="31" t="n">
        <v>7086</v>
      </c>
      <c r="E87" s="31" t="n">
        <f aca="false">D87-B87</f>
        <v>5643</v>
      </c>
      <c r="F87" s="51" t="n">
        <f aca="false">IF(B87=0,"n/a",D87/B87-1)</f>
        <v>3.91060291060291</v>
      </c>
      <c r="G87" s="34"/>
      <c r="H87" s="34"/>
      <c r="I87" s="34"/>
      <c r="J87" s="34"/>
      <c r="K87" s="34"/>
    </row>
    <row r="88" customFormat="false" ht="15.75" hidden="false" customHeight="true" outlineLevel="0" collapsed="false">
      <c r="A88" s="53" t="s">
        <v>135</v>
      </c>
      <c r="B88" s="54" t="n">
        <v>28633</v>
      </c>
      <c r="C88" s="54" t="n">
        <v>29050</v>
      </c>
      <c r="D88" s="54" t="n">
        <v>33388</v>
      </c>
      <c r="E88" s="52" t="n">
        <f aca="false">D88-B88</f>
        <v>4755</v>
      </c>
      <c r="F88" s="51" t="n">
        <f aca="false">IF(B88=0,"n/a",D88/B88-1)</f>
        <v>0.166067125344882</v>
      </c>
      <c r="G88" s="34"/>
      <c r="H88" s="34"/>
      <c r="I88" s="34"/>
      <c r="J88" s="34"/>
      <c r="K88" s="34"/>
    </row>
    <row r="89" customFormat="false" ht="18" hidden="false" customHeight="true" outlineLevel="0" collapsed="false">
      <c r="A89" s="50" t="s">
        <v>136</v>
      </c>
      <c r="B89" s="50"/>
      <c r="C89" s="50"/>
      <c r="D89" s="50"/>
      <c r="E89" s="50"/>
      <c r="F89" s="50"/>
      <c r="G89" s="50"/>
      <c r="H89" s="50"/>
      <c r="I89" s="50"/>
      <c r="J89" s="50"/>
      <c r="K89" s="50"/>
    </row>
    <row r="90" customFormat="false" ht="15.75" hidden="false" customHeight="true" outlineLevel="0" collapsed="false">
      <c r="A90" s="30" t="s">
        <v>137</v>
      </c>
      <c r="B90" s="31" t="n">
        <v>127</v>
      </c>
      <c r="C90" s="31" t="n">
        <v>127</v>
      </c>
      <c r="D90" s="31" t="n">
        <v>128</v>
      </c>
      <c r="E90" s="31" t="n">
        <f aca="false">D90-B90</f>
        <v>1</v>
      </c>
      <c r="F90" s="51" t="n">
        <f aca="false">IF(B90=0,"n/a",D90/B90-1)</f>
        <v>0.00787401574803148</v>
      </c>
      <c r="G90" s="34"/>
      <c r="H90" s="34"/>
      <c r="I90" s="34"/>
      <c r="J90" s="34"/>
      <c r="K90" s="34"/>
    </row>
    <row r="91" customFormat="false" ht="15.75" hidden="false" customHeight="true" outlineLevel="0" collapsed="false">
      <c r="A91" s="30" t="s">
        <v>138</v>
      </c>
      <c r="B91" s="31" t="n">
        <v>13339</v>
      </c>
      <c r="C91" s="31" t="n">
        <v>14092</v>
      </c>
      <c r="D91" s="31" t="n">
        <v>14442</v>
      </c>
      <c r="E91" s="31" t="n">
        <f aca="false">D91-B91</f>
        <v>1103</v>
      </c>
      <c r="F91" s="51" t="n">
        <f aca="false">IF(B91=0,"n/a",D91/B91-1)</f>
        <v>0.0826898568108554</v>
      </c>
      <c r="G91" s="34"/>
      <c r="H91" s="34"/>
      <c r="I91" s="34"/>
      <c r="J91" s="34"/>
      <c r="K91" s="34"/>
    </row>
    <row r="92" customFormat="false" ht="15.75" hidden="false" customHeight="true" outlineLevel="0" collapsed="false">
      <c r="A92" s="30" t="s">
        <v>139</v>
      </c>
      <c r="B92" s="31" t="n">
        <v>48583</v>
      </c>
      <c r="C92" s="31" t="n">
        <v>66824</v>
      </c>
      <c r="D92" s="31" t="n">
        <v>94682</v>
      </c>
      <c r="E92" s="31" t="n">
        <f aca="false">D92-B92</f>
        <v>46099</v>
      </c>
      <c r="F92" s="51" t="n">
        <f aca="false">IF(B92=0,"n/a",D92/B92-1)</f>
        <v>0.94887100426075</v>
      </c>
      <c r="G92" s="34"/>
      <c r="H92" s="34"/>
      <c r="I92" s="34"/>
      <c r="J92" s="34"/>
      <c r="K92" s="34"/>
    </row>
    <row r="93" customFormat="false" ht="15.75" hidden="false" customHeight="true" outlineLevel="0" collapsed="false">
      <c r="A93" s="30" t="s">
        <v>140</v>
      </c>
      <c r="B93" s="31" t="n">
        <v>-7852</v>
      </c>
      <c r="C93" s="31" t="n">
        <v>-8502</v>
      </c>
      <c r="D93" s="31" t="n">
        <v>-8502</v>
      </c>
      <c r="E93" s="31" t="n">
        <f aca="false">D93-B93</f>
        <v>-650</v>
      </c>
      <c r="F93" s="51" t="n">
        <f aca="false">IF(B93=0,"n/a",D93/B93-1)</f>
        <v>0.0827814569536425</v>
      </c>
      <c r="G93" s="34"/>
      <c r="H93" s="34"/>
      <c r="I93" s="34"/>
      <c r="J93" s="34"/>
      <c r="K93" s="34"/>
    </row>
    <row r="94" customFormat="false" ht="15.75" hidden="false" customHeight="true" outlineLevel="0" collapsed="false">
      <c r="A94" s="30" t="s">
        <v>141</v>
      </c>
      <c r="B94" s="31" t="n">
        <v>-32</v>
      </c>
      <c r="C94" s="31" t="n">
        <v>-82</v>
      </c>
      <c r="D94" s="31" t="n">
        <v>-26</v>
      </c>
      <c r="E94" s="31" t="n">
        <f aca="false">D94-B94</f>
        <v>6</v>
      </c>
      <c r="F94" s="51" t="n">
        <f aca="false">IF(B94=0,"n/a",D94/B94-1)</f>
        <v>-0.1875</v>
      </c>
      <c r="G94" s="34"/>
      <c r="H94" s="34"/>
      <c r="I94" s="34"/>
      <c r="J94" s="34"/>
      <c r="K94" s="34"/>
    </row>
    <row r="95" customFormat="false" ht="15.75" hidden="false" customHeight="true" outlineLevel="0" collapsed="false">
      <c r="A95" s="53" t="s">
        <v>142</v>
      </c>
      <c r="B95" s="54" t="n">
        <v>54165</v>
      </c>
      <c r="C95" s="54" t="n">
        <v>72459</v>
      </c>
      <c r="D95" s="54" t="n">
        <v>100724</v>
      </c>
      <c r="E95" s="52" t="n">
        <f aca="false">D95-B95</f>
        <v>46559</v>
      </c>
      <c r="F95" s="51" t="n">
        <f aca="false">IF(B95=0,"n/a",D95/B95-1)</f>
        <v>0.859577217760547</v>
      </c>
      <c r="G95" s="34"/>
      <c r="H95" s="34"/>
      <c r="I95" s="34"/>
      <c r="J95" s="34"/>
      <c r="K95" s="34"/>
    </row>
    <row r="96" customFormat="false" ht="33" hidden="false" customHeight="true" outlineLevel="0" collapsed="false">
      <c r="A96" s="42" t="s">
        <v>143</v>
      </c>
      <c r="B96" s="42"/>
      <c r="C96" s="42"/>
      <c r="D96" s="42"/>
      <c r="E96" s="42"/>
      <c r="F96" s="42"/>
      <c r="G96" s="42"/>
      <c r="H96" s="42"/>
      <c r="I96" s="42"/>
      <c r="J96" s="42"/>
      <c r="K96" s="42"/>
    </row>
    <row r="98" customFormat="false" ht="24" hidden="false" customHeight="true" outlineLevel="0" collapsed="false">
      <c r="A98" s="3" t="s">
        <v>144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customFormat="false" ht="27" hidden="false" customHeight="true" outlineLevel="0" collapsed="false">
      <c r="A99" s="4" t="s">
        <v>49</v>
      </c>
      <c r="B99" s="14" t="s">
        <v>145</v>
      </c>
      <c r="C99" s="14" t="s">
        <v>146</v>
      </c>
      <c r="D99" s="4" t="s">
        <v>147</v>
      </c>
      <c r="E99" s="4" t="s">
        <v>148</v>
      </c>
      <c r="F99" s="4" t="s">
        <v>58</v>
      </c>
      <c r="G99" s="4"/>
      <c r="H99" s="4"/>
      <c r="I99" s="4"/>
      <c r="J99" s="4"/>
      <c r="K99" s="4"/>
    </row>
    <row r="100" customFormat="false" ht="18" hidden="false" customHeight="true" outlineLevel="0" collapsed="false">
      <c r="A100" s="50" t="s">
        <v>149</v>
      </c>
      <c r="B100" s="50"/>
      <c r="C100" s="50"/>
      <c r="D100" s="50"/>
      <c r="E100" s="50"/>
      <c r="F100" s="50"/>
      <c r="G100" s="50"/>
      <c r="H100" s="50"/>
      <c r="I100" s="50"/>
      <c r="J100" s="50"/>
      <c r="K100" s="50"/>
    </row>
    <row r="101" customFormat="false" ht="15.75" hidden="false" customHeight="true" outlineLevel="0" collapsed="false">
      <c r="A101" s="55" t="s">
        <v>150</v>
      </c>
      <c r="B101" s="56" t="n">
        <f aca="false">SUM(B41:D41)</f>
        <v>47268</v>
      </c>
      <c r="C101" s="57" t="n">
        <v>5338</v>
      </c>
      <c r="D101" s="33" t="n">
        <f aca="false">B101/F27</f>
        <v>0.366535100303197</v>
      </c>
      <c r="E101" s="51" t="n">
        <f aca="false">IF(C101=0,"n/a",B101/ABS(C101)-1)</f>
        <v>7.85500187336081</v>
      </c>
      <c r="F101" s="34"/>
      <c r="G101" s="34"/>
      <c r="H101" s="34"/>
      <c r="I101" s="34"/>
      <c r="J101" s="34"/>
      <c r="K101" s="34"/>
    </row>
    <row r="102" customFormat="false" ht="15.75" hidden="false" customHeight="true" outlineLevel="0" collapsed="false">
      <c r="A102" s="30" t="s">
        <v>151</v>
      </c>
      <c r="B102" s="31" t="n">
        <v>6862</v>
      </c>
      <c r="C102" s="31" t="n">
        <v>6203</v>
      </c>
      <c r="D102" s="33" t="n">
        <f aca="false">B102/F27</f>
        <v>0.0532107103808187</v>
      </c>
      <c r="E102" s="51" t="n">
        <f aca="false">IF(C102=0,"n/a",B102/ABS(C102)-1)</f>
        <v>0.106238916653232</v>
      </c>
      <c r="F102" s="34"/>
      <c r="G102" s="34"/>
      <c r="H102" s="34"/>
      <c r="I102" s="34"/>
      <c r="J102" s="34"/>
      <c r="K102" s="34"/>
    </row>
    <row r="103" customFormat="false" ht="15.75" hidden="false" customHeight="true" outlineLevel="0" collapsed="false">
      <c r="A103" s="30" t="s">
        <v>152</v>
      </c>
      <c r="B103" s="31" t="n">
        <v>954</v>
      </c>
      <c r="C103" s="31" t="n">
        <v>722</v>
      </c>
      <c r="D103" s="33" t="n">
        <f aca="false">B103/F27</f>
        <v>0.00739770004420009</v>
      </c>
      <c r="E103" s="51" t="n">
        <f aca="false">IF(C103=0,"n/a",B103/ABS(C103)-1)</f>
        <v>0.321329639889197</v>
      </c>
      <c r="F103" s="34"/>
      <c r="G103" s="34"/>
      <c r="H103" s="34"/>
      <c r="I103" s="34"/>
      <c r="J103" s="34"/>
      <c r="K103" s="34"/>
    </row>
    <row r="104" customFormat="false" ht="15.75" hidden="false" customHeight="true" outlineLevel="0" collapsed="false">
      <c r="A104" s="30" t="s">
        <v>153</v>
      </c>
      <c r="B104" s="31" t="n">
        <v>-19953</v>
      </c>
      <c r="C104" s="31" t="n">
        <v>-123</v>
      </c>
      <c r="D104" s="33" t="n">
        <f aca="false">B104/F27</f>
        <v>-0.154723594320676</v>
      </c>
      <c r="E104" s="51" t="n">
        <f aca="false">IF(C104=0,"n/a",B104/ABS(C104)-1)</f>
        <v>-163.219512195122</v>
      </c>
      <c r="F104" s="34"/>
      <c r="G104" s="34"/>
      <c r="H104" s="34"/>
      <c r="I104" s="34"/>
      <c r="J104" s="34"/>
      <c r="K104" s="34"/>
    </row>
    <row r="105" customFormat="false" ht="15.75" hidden="false" customHeight="true" outlineLevel="0" collapsed="false">
      <c r="A105" s="30" t="s">
        <v>154</v>
      </c>
      <c r="B105" s="31" t="n">
        <v>-212</v>
      </c>
      <c r="C105" s="31" t="n">
        <v>148</v>
      </c>
      <c r="D105" s="33" t="n">
        <f aca="false">B105/F27</f>
        <v>-0.00164393334315558</v>
      </c>
      <c r="E105" s="51" t="n">
        <f aca="false">IF(C105=0,"n/a",B105/ABS(C105)-1)</f>
        <v>-2.43243243243243</v>
      </c>
      <c r="F105" s="34"/>
      <c r="G105" s="34"/>
      <c r="H105" s="34"/>
      <c r="I105" s="34"/>
      <c r="J105" s="34"/>
      <c r="K105" s="34"/>
    </row>
    <row r="106" customFormat="false" ht="15.75" hidden="false" customHeight="true" outlineLevel="0" collapsed="false">
      <c r="A106" s="30" t="s">
        <v>155</v>
      </c>
      <c r="B106" s="31" t="n">
        <v>3329</v>
      </c>
      <c r="C106" s="31" t="n">
        <v>38</v>
      </c>
      <c r="D106" s="33" t="n">
        <f aca="false">B106/F27</f>
        <v>0.0258144061290798</v>
      </c>
      <c r="E106" s="51" t="n">
        <f aca="false">IF(C106=0,"n/a",B106/ABS(C106)-1)</f>
        <v>86.6052631578947</v>
      </c>
      <c r="F106" s="34"/>
      <c r="G106" s="34"/>
      <c r="H106" s="34"/>
      <c r="I106" s="34"/>
      <c r="J106" s="34"/>
      <c r="K106" s="34"/>
    </row>
    <row r="107" customFormat="false" ht="15.75" hidden="false" customHeight="true" outlineLevel="0" collapsed="false">
      <c r="A107" s="30" t="s">
        <v>156</v>
      </c>
      <c r="B107" s="31" t="n">
        <v>2139</v>
      </c>
      <c r="C107" s="31" t="n">
        <v>-681</v>
      </c>
      <c r="D107" s="33" t="n">
        <f aca="false">B107/F27</f>
        <v>0.0165866670802348</v>
      </c>
      <c r="E107" s="51" t="n">
        <f aca="false">IF(C107=0,"n/a",B107/ABS(C107)-1)</f>
        <v>2.1409691629956</v>
      </c>
      <c r="F107" s="34"/>
      <c r="G107" s="34"/>
      <c r="H107" s="34"/>
      <c r="I107" s="34"/>
      <c r="J107" s="34"/>
      <c r="K107" s="34"/>
    </row>
    <row r="108" customFormat="false" ht="15.75" hidden="false" customHeight="true" outlineLevel="0" collapsed="false">
      <c r="A108" s="30" t="s">
        <v>157</v>
      </c>
      <c r="B108" s="31" t="n">
        <v>5203</v>
      </c>
      <c r="C108" s="31" t="n">
        <v>259</v>
      </c>
      <c r="D108" s="33" t="n">
        <f aca="false">B108/F27</f>
        <v>0.0403461565303701</v>
      </c>
      <c r="E108" s="51" t="n">
        <f aca="false">IF(C108=0,"n/a",B108/ABS(C108)-1)</f>
        <v>19.0888030888031</v>
      </c>
      <c r="F108" s="34"/>
      <c r="G108" s="34"/>
      <c r="H108" s="34"/>
      <c r="I108" s="34"/>
      <c r="J108" s="34"/>
      <c r="K108" s="34"/>
    </row>
    <row r="109" customFormat="false" ht="15.75" hidden="false" customHeight="true" outlineLevel="0" collapsed="false">
      <c r="A109" s="30" t="s">
        <v>158</v>
      </c>
      <c r="B109" s="31" t="n">
        <v>112</v>
      </c>
      <c r="C109" s="31" t="n">
        <v>-109</v>
      </c>
      <c r="D109" s="33" t="n">
        <f aca="false">B109/F27</f>
        <v>0.000868493086950116</v>
      </c>
      <c r="E109" s="51" t="n">
        <f aca="false">IF(C109=0,"n/a",B109/ABS(C109)-1)</f>
        <v>0.0275229357798166</v>
      </c>
      <c r="F109" s="34"/>
      <c r="G109" s="34"/>
      <c r="H109" s="34"/>
      <c r="I109" s="34"/>
      <c r="J109" s="34"/>
      <c r="K109" s="34"/>
    </row>
    <row r="110" customFormat="false" ht="15.75" hidden="false" customHeight="true" outlineLevel="0" collapsed="false">
      <c r="A110" s="35" t="s">
        <v>159</v>
      </c>
      <c r="B110" s="36" t="n">
        <v>45702</v>
      </c>
      <c r="C110" s="36" t="n">
        <v>11795</v>
      </c>
      <c r="D110" s="33" t="n">
        <f aca="false">B110/F27</f>
        <v>0.35439170589102</v>
      </c>
      <c r="E110" s="51" t="n">
        <f aca="false">IF(C110=0,"n/a",B110/ABS(C110)-1)</f>
        <v>2.87469266638406</v>
      </c>
      <c r="F110" s="34"/>
      <c r="G110" s="34"/>
      <c r="H110" s="34"/>
      <c r="I110" s="34"/>
      <c r="J110" s="34"/>
      <c r="K110" s="34"/>
    </row>
    <row r="111" customFormat="false" ht="18" hidden="false" customHeight="true" outlineLevel="0" collapsed="false">
      <c r="A111" s="50" t="s">
        <v>160</v>
      </c>
      <c r="B111" s="50"/>
      <c r="C111" s="50"/>
      <c r="D111" s="50"/>
      <c r="E111" s="50"/>
      <c r="F111" s="50"/>
      <c r="G111" s="50"/>
      <c r="H111" s="50"/>
      <c r="I111" s="50"/>
      <c r="J111" s="50"/>
      <c r="K111" s="50"/>
    </row>
    <row r="112" customFormat="false" ht="15.75" hidden="false" customHeight="true" outlineLevel="0" collapsed="false">
      <c r="A112" s="30" t="s">
        <v>161</v>
      </c>
      <c r="B112" s="31" t="n">
        <v>-19602</v>
      </c>
      <c r="C112" s="31" t="n">
        <v>-10199</v>
      </c>
      <c r="D112" s="33" t="n">
        <f aca="false">B112/F27</f>
        <v>-0.152001799021394</v>
      </c>
      <c r="E112" s="51" t="n">
        <f aca="false">IF(C112=0,"n/a",B112/ABS(C112)-1)</f>
        <v>-2.92195313266006</v>
      </c>
      <c r="F112" s="34"/>
      <c r="G112" s="34"/>
      <c r="H112" s="34"/>
      <c r="I112" s="34"/>
      <c r="J112" s="34"/>
      <c r="K112" s="34"/>
    </row>
    <row r="113" customFormat="false" ht="15.75" hidden="false" customHeight="true" outlineLevel="0" collapsed="false">
      <c r="A113" s="30" t="s">
        <v>162</v>
      </c>
      <c r="B113" s="31" t="n">
        <v>-4072</v>
      </c>
      <c r="C113" s="31" t="n">
        <v>-1203</v>
      </c>
      <c r="D113" s="33" t="n">
        <f aca="false">B113/F27</f>
        <v>-0.0315759272326864</v>
      </c>
      <c r="E113" s="51" t="n">
        <f aca="false">IF(C113=0,"n/a",B113/ABS(C113)-1)</f>
        <v>-4.38487115544472</v>
      </c>
      <c r="F113" s="34"/>
      <c r="G113" s="34"/>
      <c r="H113" s="34"/>
      <c r="I113" s="34"/>
      <c r="J113" s="34"/>
      <c r="K113" s="34"/>
    </row>
    <row r="114" customFormat="false" ht="15.75" hidden="false" customHeight="true" outlineLevel="0" collapsed="false">
      <c r="A114" s="30" t="s">
        <v>163</v>
      </c>
      <c r="B114" s="31" t="n">
        <v>2989</v>
      </c>
      <c r="C114" s="31" t="n">
        <v>1294</v>
      </c>
      <c r="D114" s="33" t="n">
        <f aca="false">B114/F27</f>
        <v>0.0231779092579812</v>
      </c>
      <c r="E114" s="51" t="n">
        <f aca="false">IF(C114=0,"n/a",B114/ABS(C114)-1)</f>
        <v>1.30989180834621</v>
      </c>
      <c r="F114" s="34"/>
      <c r="G114" s="34"/>
      <c r="H114" s="34"/>
      <c r="I114" s="34"/>
      <c r="J114" s="34"/>
      <c r="K114" s="34"/>
    </row>
    <row r="115" customFormat="false" ht="15.75" hidden="false" customHeight="true" outlineLevel="0" collapsed="false">
      <c r="A115" s="30" t="s">
        <v>164</v>
      </c>
      <c r="B115" s="31" t="n">
        <v>1233</v>
      </c>
      <c r="C115" s="31" t="n">
        <v>1249</v>
      </c>
      <c r="D115" s="33" t="n">
        <f aca="false">B115/F27</f>
        <v>0.00956117835901333</v>
      </c>
      <c r="E115" s="51" t="n">
        <f aca="false">IF(C115=0,"n/a",B115/ABS(C115)-1)</f>
        <v>-0.0128102481985588</v>
      </c>
      <c r="F115" s="34"/>
      <c r="G115" s="34"/>
      <c r="H115" s="34"/>
      <c r="I115" s="34"/>
      <c r="J115" s="34"/>
      <c r="K115" s="34"/>
    </row>
    <row r="116" customFormat="false" ht="15.75" hidden="false" customHeight="true" outlineLevel="0" collapsed="false">
      <c r="A116" s="30" t="s">
        <v>158</v>
      </c>
      <c r="B116" s="31" t="n">
        <v>-236</v>
      </c>
      <c r="C116" s="31" t="n">
        <v>-30</v>
      </c>
      <c r="D116" s="33" t="n">
        <f aca="false">B116/F27</f>
        <v>-0.00183003900464489</v>
      </c>
      <c r="E116" s="51" t="n">
        <f aca="false">IF(C116=0,"n/a",B116/ABS(C116)-1)</f>
        <v>-8.86666666666667</v>
      </c>
      <c r="F116" s="34"/>
      <c r="G116" s="34"/>
      <c r="H116" s="34"/>
      <c r="I116" s="34"/>
      <c r="J116" s="34"/>
      <c r="K116" s="34"/>
    </row>
    <row r="117" customFormat="false" ht="15.75" hidden="false" customHeight="true" outlineLevel="0" collapsed="false">
      <c r="A117" s="35" t="s">
        <v>165</v>
      </c>
      <c r="B117" s="36" t="n">
        <v>-19688</v>
      </c>
      <c r="C117" s="36" t="n">
        <v>-8889</v>
      </c>
      <c r="D117" s="33" t="n">
        <f aca="false">B117/F27</f>
        <v>-0.152668677641731</v>
      </c>
      <c r="E117" s="51" t="n">
        <f aca="false">IF(C117=0,"n/a",B117/ABS(C117)-1)</f>
        <v>-3.21487231409607</v>
      </c>
      <c r="F117" s="34"/>
      <c r="G117" s="34"/>
      <c r="H117" s="34"/>
      <c r="I117" s="34"/>
      <c r="J117" s="34"/>
      <c r="K117" s="34"/>
    </row>
    <row r="118" customFormat="false" ht="18" hidden="false" customHeight="true" outlineLevel="0" collapsed="false">
      <c r="A118" s="50" t="s">
        <v>166</v>
      </c>
      <c r="B118" s="50"/>
      <c r="C118" s="50"/>
      <c r="D118" s="50"/>
      <c r="E118" s="50"/>
      <c r="F118" s="50"/>
      <c r="G118" s="50"/>
      <c r="H118" s="50"/>
      <c r="I118" s="50"/>
      <c r="J118" s="50"/>
      <c r="K118" s="50"/>
    </row>
    <row r="119" customFormat="false" ht="15.75" hidden="false" customHeight="true" outlineLevel="0" collapsed="false">
      <c r="A119" s="30" t="s">
        <v>167</v>
      </c>
      <c r="B119" s="31" t="n">
        <v>-9380</v>
      </c>
      <c r="C119" s="31" t="n">
        <v>-3604</v>
      </c>
      <c r="D119" s="33" t="n">
        <f aca="false">B119/F27</f>
        <v>-0.0727362960320722</v>
      </c>
      <c r="E119" s="51" t="n">
        <f aca="false">IF(C119=0,"n/a",B119/ABS(C119)-1)</f>
        <v>-3.60266370699223</v>
      </c>
      <c r="F119" s="34"/>
      <c r="G119" s="34"/>
      <c r="H119" s="34"/>
      <c r="I119" s="34"/>
      <c r="J119" s="34"/>
      <c r="K119" s="34"/>
    </row>
    <row r="120" customFormat="false" ht="15.75" hidden="false" customHeight="true" outlineLevel="0" collapsed="false">
      <c r="A120" s="30" t="s">
        <v>168</v>
      </c>
      <c r="B120" s="31" t="n">
        <v>-762</v>
      </c>
      <c r="C120" s="31" t="n">
        <v>-290</v>
      </c>
      <c r="D120" s="33" t="n">
        <f aca="false">B120/F27</f>
        <v>-0.00590885475228561</v>
      </c>
      <c r="E120" s="51" t="n">
        <f aca="false">IF(C120=0,"n/a",B120/ABS(C120)-1)</f>
        <v>-3.62758620689655</v>
      </c>
      <c r="F120" s="34"/>
      <c r="G120" s="34"/>
      <c r="H120" s="34"/>
      <c r="I120" s="34"/>
      <c r="J120" s="34"/>
      <c r="K120" s="34"/>
    </row>
    <row r="121" customFormat="false" ht="15.75" hidden="false" customHeight="true" outlineLevel="0" collapsed="false">
      <c r="A121" s="30" t="s">
        <v>169</v>
      </c>
      <c r="B121" s="31" t="n">
        <v>-650</v>
      </c>
      <c r="C121" s="31" t="n">
        <v>0</v>
      </c>
      <c r="D121" s="33" t="n">
        <f aca="false">B121/F27</f>
        <v>-0.00504036166533549</v>
      </c>
      <c r="E121" s="51" t="str">
        <f aca="false">IF(C121=0,"n/a",B121/ABS(C121)-1)</f>
        <v>n/a</v>
      </c>
      <c r="F121" s="34"/>
      <c r="G121" s="34"/>
      <c r="H121" s="34"/>
      <c r="I121" s="34"/>
      <c r="J121" s="34"/>
      <c r="K121" s="34"/>
    </row>
    <row r="122" customFormat="false" ht="15.75" hidden="false" customHeight="true" outlineLevel="0" collapsed="false">
      <c r="A122" s="30" t="s">
        <v>170</v>
      </c>
      <c r="B122" s="31" t="n">
        <v>-437</v>
      </c>
      <c r="C122" s="31" t="n">
        <v>-392</v>
      </c>
      <c r="D122" s="33" t="n">
        <f aca="false">B122/F27</f>
        <v>-0.00338867391961786</v>
      </c>
      <c r="E122" s="51" t="n">
        <f aca="false">IF(C122=0,"n/a",B122/ABS(C122)-1)</f>
        <v>-2.11479591836735</v>
      </c>
      <c r="F122" s="34"/>
      <c r="G122" s="34"/>
      <c r="H122" s="34"/>
      <c r="I122" s="34"/>
      <c r="J122" s="34"/>
      <c r="K122" s="34"/>
    </row>
    <row r="123" customFormat="false" ht="15.75" hidden="false" customHeight="true" outlineLevel="0" collapsed="false">
      <c r="A123" s="30" t="s">
        <v>171</v>
      </c>
      <c r="B123" s="31" t="n">
        <v>0</v>
      </c>
      <c r="C123" s="31" t="n">
        <v>4430</v>
      </c>
      <c r="D123" s="33" t="n">
        <f aca="false">B123/F27</f>
        <v>0</v>
      </c>
      <c r="E123" s="51" t="n">
        <f aca="false">IF(C123=0,"n/a",B123/ABS(C123)-1)</f>
        <v>-1</v>
      </c>
      <c r="F123" s="34"/>
      <c r="G123" s="34"/>
      <c r="H123" s="34"/>
      <c r="I123" s="34"/>
      <c r="J123" s="34"/>
      <c r="K123" s="34"/>
    </row>
    <row r="124" customFormat="false" ht="15.75" hidden="false" customHeight="true" outlineLevel="0" collapsed="false">
      <c r="A124" s="30" t="s">
        <v>158</v>
      </c>
      <c r="B124" s="31" t="n">
        <v>583</v>
      </c>
      <c r="C124" s="31" t="n">
        <v>70</v>
      </c>
      <c r="D124" s="33" t="n">
        <f aca="false">B124/F27</f>
        <v>0.00452081669367784</v>
      </c>
      <c r="E124" s="51" t="n">
        <f aca="false">IF(C124=0,"n/a",B124/ABS(C124)-1)</f>
        <v>7.32857142857143</v>
      </c>
      <c r="F124" s="34"/>
      <c r="G124" s="34"/>
      <c r="H124" s="34"/>
      <c r="I124" s="34"/>
      <c r="J124" s="34"/>
      <c r="K124" s="34"/>
    </row>
    <row r="125" customFormat="false" ht="15.75" hidden="false" customHeight="true" outlineLevel="0" collapsed="false">
      <c r="A125" s="35" t="s">
        <v>172</v>
      </c>
      <c r="B125" s="36" t="n">
        <v>-10646</v>
      </c>
      <c r="C125" s="36" t="n">
        <v>214</v>
      </c>
      <c r="D125" s="33" t="n">
        <f aca="false">B125/F27</f>
        <v>-0.0825533696756333</v>
      </c>
      <c r="E125" s="51" t="n">
        <f aca="false">IF(C125=0,"n/a",B125/ABS(C125)-1)</f>
        <v>-50.7476635514019</v>
      </c>
      <c r="F125" s="34"/>
      <c r="G125" s="34"/>
      <c r="H125" s="34"/>
      <c r="I125" s="34"/>
      <c r="J125" s="34"/>
      <c r="K125" s="34"/>
    </row>
    <row r="126" customFormat="false" ht="15.75" hidden="false" customHeight="true" outlineLevel="0" collapsed="false">
      <c r="A126" s="30" t="s">
        <v>173</v>
      </c>
      <c r="B126" s="31" t="n">
        <v>8</v>
      </c>
      <c r="C126" s="31" t="n">
        <v>-3</v>
      </c>
      <c r="D126" s="33" t="n">
        <f aca="false">B126/F27</f>
        <v>6.20352204964369E-005</v>
      </c>
      <c r="E126" s="51" t="n">
        <f aca="false">IF(C126=0,"n/a",B126/ABS(C126)-1)</f>
        <v>1.66666666666667</v>
      </c>
      <c r="F126" s="34"/>
      <c r="G126" s="34"/>
      <c r="H126" s="34"/>
      <c r="I126" s="34"/>
      <c r="J126" s="34"/>
      <c r="K126" s="34"/>
    </row>
    <row r="127" customFormat="false" ht="15.75" hidden="false" customHeight="true" outlineLevel="0" collapsed="false">
      <c r="A127" s="35" t="s">
        <v>174</v>
      </c>
      <c r="B127" s="36" t="n">
        <v>15376</v>
      </c>
      <c r="C127" s="36" t="n">
        <v>3117</v>
      </c>
      <c r="D127" s="33" t="n">
        <f aca="false">B127/F27</f>
        <v>0.119231693794152</v>
      </c>
      <c r="E127" s="51" t="n">
        <f aca="false">IF(C127=0,"n/a",B127/ABS(C127)-1)</f>
        <v>3.93294834777029</v>
      </c>
      <c r="F127" s="34"/>
      <c r="G127" s="34"/>
      <c r="H127" s="34"/>
      <c r="I127" s="34"/>
      <c r="J127" s="34"/>
      <c r="K127" s="34"/>
    </row>
    <row r="128" customFormat="false" ht="15.75" hidden="false" customHeight="true" outlineLevel="0" collapsed="false">
      <c r="A128" s="30" t="s">
        <v>175</v>
      </c>
      <c r="B128" s="31" t="n">
        <v>9646</v>
      </c>
      <c r="C128" s="31" t="n">
        <v>7052</v>
      </c>
      <c r="D128" s="33" t="n">
        <f aca="false">B128/F27</f>
        <v>0.0747989671135787</v>
      </c>
      <c r="E128" s="51" t="n">
        <f aca="false">IF(C128=0,"n/a",B128/ABS(C128)-1)</f>
        <v>0.367838910947249</v>
      </c>
      <c r="F128" s="34"/>
      <c r="G128" s="34"/>
      <c r="H128" s="34"/>
      <c r="I128" s="34"/>
      <c r="J128" s="34"/>
      <c r="K128" s="34"/>
    </row>
    <row r="129" customFormat="false" ht="15.75" hidden="false" customHeight="true" outlineLevel="0" collapsed="false">
      <c r="A129" s="55" t="s">
        <v>176</v>
      </c>
      <c r="B129" s="56" t="n">
        <f aca="false">B128+B127</f>
        <v>25022</v>
      </c>
      <c r="C129" s="56" t="n">
        <f aca="false">C128+C127</f>
        <v>10169</v>
      </c>
      <c r="D129" s="33" t="n">
        <f aca="false">B129/F27</f>
        <v>0.19403066090773</v>
      </c>
      <c r="E129" s="51" t="n">
        <f aca="false">IF(C129=0,"n/a",B129/ABS(C129)-1)</f>
        <v>1.46061559642049</v>
      </c>
      <c r="F129" s="34"/>
      <c r="G129" s="34"/>
      <c r="H129" s="34"/>
      <c r="I129" s="34"/>
      <c r="J129" s="34"/>
      <c r="K129" s="34"/>
    </row>
    <row r="130" customFormat="false" ht="20.25" hidden="false" customHeight="true" outlineLevel="0" collapsed="false">
      <c r="A130" s="43" t="s">
        <v>177</v>
      </c>
      <c r="B130" s="43"/>
      <c r="C130" s="43"/>
      <c r="D130" s="43"/>
      <c r="E130" s="43"/>
      <c r="F130" s="43"/>
      <c r="G130" s="43"/>
      <c r="H130" s="43"/>
      <c r="I130" s="43"/>
      <c r="J130" s="43"/>
      <c r="K130" s="43"/>
    </row>
    <row r="132" customFormat="false" ht="24" hidden="false" customHeight="true" outlineLevel="0" collapsed="false">
      <c r="A132" s="3" t="s">
        <v>178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customFormat="false" ht="27" hidden="false" customHeight="true" outlineLevel="0" collapsed="false">
      <c r="A133" s="4" t="s">
        <v>179</v>
      </c>
      <c r="B133" s="14" t="s">
        <v>50</v>
      </c>
      <c r="C133" s="14" t="s">
        <v>51</v>
      </c>
      <c r="D133" s="14" t="s">
        <v>52</v>
      </c>
      <c r="E133" s="14" t="s">
        <v>180</v>
      </c>
      <c r="F133" s="14" t="s">
        <v>145</v>
      </c>
      <c r="G133" s="4" t="s">
        <v>94</v>
      </c>
      <c r="H133" s="4"/>
      <c r="I133" s="4"/>
      <c r="J133" s="4"/>
      <c r="K133" s="4"/>
    </row>
    <row r="134" customFormat="false" ht="19.5" hidden="false" customHeight="true" outlineLevel="0" collapsed="false">
      <c r="A134" s="30" t="s">
        <v>181</v>
      </c>
      <c r="B134" s="31" t="n">
        <v>8411</v>
      </c>
      <c r="C134" s="31" t="n">
        <v>11903</v>
      </c>
      <c r="D134" s="31" t="n">
        <v>25388</v>
      </c>
      <c r="E134" s="58" t="s">
        <v>182</v>
      </c>
      <c r="F134" s="52" t="n">
        <f aca="false">SUM(B134:D134)</f>
        <v>45702</v>
      </c>
      <c r="G134" s="49" t="s">
        <v>183</v>
      </c>
      <c r="H134" s="49"/>
      <c r="I134" s="49"/>
      <c r="J134" s="49"/>
      <c r="K134" s="49"/>
    </row>
    <row r="135" customFormat="false" ht="19.5" hidden="false" customHeight="true" outlineLevel="0" collapsed="false">
      <c r="A135" s="30" t="s">
        <v>161</v>
      </c>
      <c r="B135" s="31" t="n">
        <v>-5389</v>
      </c>
      <c r="C135" s="31" t="n">
        <v>-6387</v>
      </c>
      <c r="D135" s="31" t="n">
        <v>-7826</v>
      </c>
      <c r="E135" s="58" t="s">
        <v>182</v>
      </c>
      <c r="F135" s="52" t="n">
        <f aca="false">SUM(B135:D135)</f>
        <v>-19602</v>
      </c>
      <c r="G135" s="49" t="s">
        <v>184</v>
      </c>
      <c r="H135" s="49"/>
      <c r="I135" s="49"/>
      <c r="J135" s="49"/>
      <c r="K135" s="49"/>
    </row>
    <row r="136" customFormat="false" ht="19.5" hidden="false" customHeight="true" outlineLevel="0" collapsed="false">
      <c r="A136" s="30" t="s">
        <v>185</v>
      </c>
      <c r="B136" s="31" t="n">
        <v>878</v>
      </c>
      <c r="C136" s="31" t="n">
        <v>1378</v>
      </c>
      <c r="D136" s="31" t="n">
        <v>733</v>
      </c>
      <c r="E136" s="58" t="s">
        <v>182</v>
      </c>
      <c r="F136" s="52" t="n">
        <f aca="false">SUM(B136:D136)</f>
        <v>2989</v>
      </c>
      <c r="G136" s="48" t="s">
        <v>186</v>
      </c>
      <c r="H136" s="48"/>
      <c r="I136" s="48"/>
      <c r="J136" s="48"/>
      <c r="K136" s="48"/>
    </row>
    <row r="137" customFormat="false" ht="19.5" hidden="false" customHeight="true" outlineLevel="0" collapsed="false">
      <c r="A137" s="30" t="s">
        <v>187</v>
      </c>
      <c r="B137" s="31" t="n">
        <v>0</v>
      </c>
      <c r="C137" s="31" t="n">
        <v>5</v>
      </c>
      <c r="D137" s="31" t="n">
        <v>9</v>
      </c>
      <c r="E137" s="58" t="s">
        <v>182</v>
      </c>
      <c r="F137" s="52" t="n">
        <f aca="false">SUM(B137:D137)</f>
        <v>14</v>
      </c>
      <c r="G137" s="49" t="s">
        <v>188</v>
      </c>
      <c r="H137" s="49"/>
      <c r="I137" s="49"/>
      <c r="J137" s="49"/>
      <c r="K137" s="49"/>
    </row>
    <row r="138" customFormat="false" ht="19.5" hidden="false" customHeight="true" outlineLevel="0" collapsed="false">
      <c r="A138" s="30" t="s">
        <v>189</v>
      </c>
      <c r="B138" s="31" t="n">
        <v>-4511</v>
      </c>
      <c r="C138" s="31" t="n">
        <v>-5004</v>
      </c>
      <c r="D138" s="31" t="n">
        <v>-7084</v>
      </c>
      <c r="E138" s="58" t="s">
        <v>182</v>
      </c>
      <c r="F138" s="52" t="n">
        <f aca="false">SUM(B138:D138)</f>
        <v>-16599</v>
      </c>
      <c r="G138" s="49" t="s">
        <v>190</v>
      </c>
      <c r="H138" s="49"/>
      <c r="I138" s="49"/>
      <c r="J138" s="49"/>
      <c r="K138" s="49"/>
    </row>
    <row r="139" customFormat="false" ht="19.5" hidden="false" customHeight="true" outlineLevel="0" collapsed="false">
      <c r="A139" s="59" t="s">
        <v>191</v>
      </c>
      <c r="B139" s="60" t="n">
        <v>3900</v>
      </c>
      <c r="C139" s="60" t="n">
        <v>6899</v>
      </c>
      <c r="D139" s="60" t="n">
        <v>18304</v>
      </c>
      <c r="E139" s="58" t="s">
        <v>192</v>
      </c>
      <c r="F139" s="60" t="n">
        <f aca="false">SUM(B139:D139)</f>
        <v>29103</v>
      </c>
      <c r="G139" s="49" t="s">
        <v>193</v>
      </c>
      <c r="H139" s="49"/>
      <c r="I139" s="49"/>
      <c r="J139" s="49"/>
      <c r="K139" s="49"/>
    </row>
    <row r="140" customFormat="false" ht="20.25" hidden="false" customHeight="true" outlineLevel="0" collapsed="false">
      <c r="A140" s="42" t="s">
        <v>194</v>
      </c>
      <c r="B140" s="42"/>
      <c r="C140" s="42"/>
      <c r="D140" s="42"/>
      <c r="E140" s="42"/>
      <c r="F140" s="42"/>
      <c r="G140" s="42"/>
      <c r="H140" s="42"/>
      <c r="I140" s="42"/>
      <c r="J140" s="42"/>
      <c r="K140" s="42"/>
    </row>
    <row r="142" customFormat="false" ht="24" hidden="false" customHeight="true" outlineLevel="0" collapsed="false">
      <c r="A142" s="13" t="s">
        <v>195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customFormat="false" ht="33" hidden="false" customHeight="true" outlineLevel="0" collapsed="false">
      <c r="A143" s="61" t="s">
        <v>196</v>
      </c>
      <c r="B143" s="61"/>
      <c r="C143" s="61"/>
      <c r="D143" s="61"/>
      <c r="E143" s="61"/>
      <c r="F143" s="61"/>
      <c r="G143" s="61"/>
      <c r="H143" s="61"/>
      <c r="I143" s="61"/>
      <c r="J143" s="61"/>
      <c r="K143" s="61"/>
    </row>
    <row r="144" customFormat="false" ht="27" hidden="false" customHeight="true" outlineLevel="0" collapsed="false">
      <c r="A144" s="4" t="s">
        <v>197</v>
      </c>
      <c r="B144" s="14" t="s">
        <v>198</v>
      </c>
      <c r="C144" s="14" t="s">
        <v>199</v>
      </c>
      <c r="D144" s="14" t="s">
        <v>200</v>
      </c>
      <c r="E144" s="14" t="s">
        <v>201</v>
      </c>
      <c r="F144" s="4" t="s">
        <v>202</v>
      </c>
      <c r="G144" s="4"/>
      <c r="H144" s="4"/>
      <c r="I144" s="4"/>
      <c r="J144" s="4"/>
      <c r="K144" s="4"/>
    </row>
    <row r="145" customFormat="false" ht="19.5" hidden="false" customHeight="true" outlineLevel="0" collapsed="false">
      <c r="A145" s="62" t="s">
        <v>203</v>
      </c>
      <c r="B145" s="63" t="n">
        <f aca="false">B67/(G27/4)*91</f>
        <v>90.2161468086245</v>
      </c>
      <c r="C145" s="63" t="n">
        <f aca="false">C67/(C27)*91</f>
        <v>66.0341156747695</v>
      </c>
      <c r="D145" s="63" t="n">
        <f aca="false">D67/(D27)*91</f>
        <v>68.1029284060208</v>
      </c>
      <c r="E145" s="39"/>
      <c r="F145" s="49" t="s">
        <v>204</v>
      </c>
      <c r="G145" s="49"/>
      <c r="H145" s="49"/>
      <c r="I145" s="49"/>
      <c r="J145" s="49"/>
      <c r="K145" s="49"/>
    </row>
    <row r="146" customFormat="false" ht="19.5" hidden="false" customHeight="true" outlineLevel="0" collapsed="false">
      <c r="A146" s="62" t="s">
        <v>205</v>
      </c>
      <c r="B146" s="63" t="n">
        <f aca="false">B68/(G28/4)*91</f>
        <v>135.993381925502</v>
      </c>
      <c r="C146" s="63" t="n">
        <f aca="false">C68/(C28)*91</f>
        <v>123.226371826372</v>
      </c>
      <c r="D146" s="63" t="n">
        <f aca="false">D68/(D28)*91</f>
        <v>121.81203125</v>
      </c>
      <c r="E146" s="39"/>
      <c r="F146" s="49" t="s">
        <v>206</v>
      </c>
      <c r="G146" s="49"/>
      <c r="H146" s="49"/>
      <c r="I146" s="49"/>
      <c r="J146" s="49"/>
      <c r="K146" s="49"/>
    </row>
    <row r="147" customFormat="false" ht="19.5" hidden="false" customHeight="true" outlineLevel="0" collapsed="false">
      <c r="A147" s="62" t="s">
        <v>207</v>
      </c>
      <c r="B147" s="31" t="n">
        <f aca="false">B67+B68-B80</f>
        <v>7971</v>
      </c>
      <c r="C147" s="31" t="n">
        <f aca="false">C67+C68-C80</f>
        <v>14584</v>
      </c>
      <c r="D147" s="31" t="n">
        <f aca="false">D67+D68-D80</f>
        <v>24071</v>
      </c>
      <c r="E147" s="39"/>
      <c r="F147" s="49" t="s">
        <v>208</v>
      </c>
      <c r="G147" s="49"/>
      <c r="H147" s="49"/>
      <c r="I147" s="49"/>
      <c r="J147" s="49"/>
      <c r="K147" s="49"/>
    </row>
    <row r="148" customFormat="false" ht="19.5" hidden="false" customHeight="true" outlineLevel="0" collapsed="false">
      <c r="A148" s="62" t="s">
        <v>209</v>
      </c>
      <c r="B148" s="31" t="n">
        <f aca="false">(G27/4)*4</f>
        <v>37382</v>
      </c>
      <c r="C148" s="31" t="n">
        <f aca="false">(C27)*4</f>
        <v>95440</v>
      </c>
      <c r="D148" s="31" t="n">
        <f aca="false">(D27)*4</f>
        <v>165824</v>
      </c>
      <c r="E148" s="39"/>
      <c r="F148" s="49" t="s">
        <v>210</v>
      </c>
      <c r="G148" s="49"/>
      <c r="H148" s="49"/>
      <c r="I148" s="49"/>
      <c r="J148" s="49"/>
      <c r="K148" s="49"/>
    </row>
    <row r="149" customFormat="false" ht="19.5" hidden="false" customHeight="true" outlineLevel="0" collapsed="false">
      <c r="A149" s="64" t="s">
        <v>211</v>
      </c>
      <c r="B149" s="65" t="n">
        <f aca="false">B147/B148</f>
        <v>0.213230966775453</v>
      </c>
      <c r="C149" s="65" t="n">
        <f aca="false">C147/C148</f>
        <v>0.152808046940486</v>
      </c>
      <c r="D149" s="65" t="n">
        <f aca="false">D147/D148</f>
        <v>0.145159928598997</v>
      </c>
      <c r="E149" s="39"/>
      <c r="F149" s="48" t="s">
        <v>212</v>
      </c>
      <c r="G149" s="48"/>
      <c r="H149" s="48"/>
      <c r="I149" s="48"/>
      <c r="J149" s="48"/>
      <c r="K149" s="48"/>
    </row>
    <row r="150" customFormat="false" ht="30" hidden="false" customHeight="true" outlineLevel="0" collapsed="false">
      <c r="A150" s="66" t="s">
        <v>213</v>
      </c>
      <c r="B150" s="39"/>
      <c r="C150" s="39"/>
      <c r="D150" s="39"/>
      <c r="E150" s="67" t="n">
        <f aca="false">-B135/F27*(F27/SUM(B27:D27))</f>
        <v>0.0682506110766347</v>
      </c>
      <c r="F150" s="49" t="s">
        <v>214</v>
      </c>
      <c r="G150" s="49"/>
      <c r="H150" s="49"/>
      <c r="I150" s="49"/>
      <c r="J150" s="49"/>
      <c r="K150" s="49"/>
    </row>
    <row r="151" customFormat="false" ht="30" hidden="false" customHeight="true" outlineLevel="0" collapsed="false">
      <c r="A151" s="68" t="s">
        <v>215</v>
      </c>
      <c r="B151" s="39"/>
      <c r="C151" s="39"/>
      <c r="D151" s="39"/>
      <c r="E151" s="69" t="n">
        <f aca="false">B136/-B135</f>
        <v>0.162924475784004</v>
      </c>
      <c r="F151" s="48" t="s">
        <v>216</v>
      </c>
      <c r="G151" s="48"/>
      <c r="H151" s="48"/>
      <c r="I151" s="48"/>
      <c r="J151" s="48"/>
      <c r="K151" s="48"/>
    </row>
    <row r="152" customFormat="false" ht="30" hidden="false" customHeight="true" outlineLevel="0" collapsed="false">
      <c r="A152" s="68" t="s">
        <v>217</v>
      </c>
      <c r="B152" s="39"/>
      <c r="C152" s="39"/>
      <c r="D152" s="39"/>
      <c r="E152" s="69" t="n">
        <f aca="false">B102/SUM(B27:D27)</f>
        <v>0.086905862536253</v>
      </c>
      <c r="F152" s="49" t="s">
        <v>218</v>
      </c>
      <c r="G152" s="49"/>
      <c r="H152" s="49"/>
      <c r="I152" s="49"/>
      <c r="J152" s="49"/>
      <c r="K152" s="49"/>
    </row>
    <row r="153" customFormat="false" ht="24" hidden="false" customHeight="true" outlineLevel="0" collapsed="false">
      <c r="A153" s="68" t="s">
        <v>219</v>
      </c>
      <c r="B153" s="39"/>
      <c r="C153" s="39"/>
      <c r="D153" s="39"/>
      <c r="E153" s="69" t="n">
        <f aca="false">B110/SUM(B27:D27)</f>
        <v>0.578806722476222</v>
      </c>
      <c r="F153" s="49" t="s">
        <v>220</v>
      </c>
      <c r="G153" s="49"/>
      <c r="H153" s="49"/>
      <c r="I153" s="49"/>
      <c r="J153" s="49"/>
      <c r="K153" s="49"/>
    </row>
    <row r="154" customFormat="false" ht="30" hidden="false" customHeight="true" outlineLevel="0" collapsed="false">
      <c r="A154" s="68" t="s">
        <v>221</v>
      </c>
      <c r="B154" s="39"/>
      <c r="C154" s="39"/>
      <c r="D154" s="39"/>
      <c r="E154" s="69" t="n">
        <f aca="false">B104/B101</f>
        <v>-0.422124904798172</v>
      </c>
      <c r="F154" s="49" t="s">
        <v>222</v>
      </c>
      <c r="G154" s="49"/>
      <c r="H154" s="49"/>
      <c r="I154" s="49"/>
      <c r="J154" s="49"/>
      <c r="K154" s="49"/>
    </row>
    <row r="155" customFormat="false" ht="33" hidden="false" customHeight="true" outlineLevel="0" collapsed="false">
      <c r="A155" s="42" t="s">
        <v>223</v>
      </c>
      <c r="B155" s="42"/>
      <c r="C155" s="42"/>
      <c r="D155" s="42"/>
      <c r="E155" s="42"/>
      <c r="F155" s="42"/>
      <c r="G155" s="42"/>
      <c r="H155" s="42"/>
      <c r="I155" s="42"/>
      <c r="J155" s="42"/>
      <c r="K155" s="42"/>
    </row>
    <row r="157" customFormat="false" ht="24" hidden="false" customHeight="true" outlineLevel="0" collapsed="false">
      <c r="A157" s="13" t="s">
        <v>224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customFormat="false" ht="33" hidden="false" customHeight="true" outlineLevel="0" collapsed="false">
      <c r="A158" s="43" t="s">
        <v>225</v>
      </c>
      <c r="B158" s="43"/>
      <c r="C158" s="43"/>
      <c r="D158" s="43"/>
      <c r="E158" s="43"/>
      <c r="F158" s="43"/>
      <c r="G158" s="43"/>
      <c r="H158" s="43"/>
      <c r="I158" s="43"/>
      <c r="J158" s="43"/>
      <c r="K158" s="43"/>
    </row>
    <row r="159" customFormat="false" ht="27" hidden="false" customHeight="true" outlineLevel="0" collapsed="false">
      <c r="A159" s="4" t="s">
        <v>226</v>
      </c>
      <c r="B159" s="4" t="s">
        <v>227</v>
      </c>
      <c r="C159" s="4"/>
      <c r="D159" s="14" t="s">
        <v>198</v>
      </c>
      <c r="E159" s="14" t="s">
        <v>228</v>
      </c>
      <c r="F159" s="14" t="s">
        <v>229</v>
      </c>
      <c r="G159" s="4" t="s">
        <v>230</v>
      </c>
      <c r="H159" s="4" t="s">
        <v>231</v>
      </c>
      <c r="I159" s="4" t="s">
        <v>232</v>
      </c>
      <c r="J159" s="4"/>
      <c r="K159" s="4"/>
    </row>
    <row r="160" customFormat="false" ht="42" hidden="false" customHeight="true" outlineLevel="0" collapsed="false">
      <c r="A160" s="62" t="s">
        <v>233</v>
      </c>
      <c r="B160" s="49" t="s">
        <v>234</v>
      </c>
      <c r="C160" s="49"/>
      <c r="D160" s="70" t="s">
        <v>235</v>
      </c>
      <c r="E160" s="70" t="s">
        <v>235</v>
      </c>
      <c r="F160" s="70" t="s">
        <v>235</v>
      </c>
      <c r="G160" s="52" t="n">
        <f aca="false">B101-SUM(B41:D41)</f>
        <v>0</v>
      </c>
      <c r="H160" s="71" t="str">
        <f aca="false">IF(AND(COUNT(D160:G160)=1,COUNTIF(D160:G160,"&gt;0.5")+COUNTIF(D160:G160,"&lt;-0.5")=0),"✔ 通过","✗ 不平")</f>
        <v>✔ 通过</v>
      </c>
      <c r="I160" s="49" t="s">
        <v>236</v>
      </c>
      <c r="J160" s="49"/>
      <c r="K160" s="49"/>
    </row>
    <row r="161" customFormat="false" ht="30" hidden="false" customHeight="true" outlineLevel="0" collapsed="false">
      <c r="A161" s="62" t="s">
        <v>237</v>
      </c>
      <c r="B161" s="49" t="s">
        <v>238</v>
      </c>
      <c r="C161" s="49"/>
      <c r="D161" s="52" t="n">
        <f aca="false">B128-B65</f>
        <v>4</v>
      </c>
      <c r="E161" s="70" t="s">
        <v>235</v>
      </c>
      <c r="F161" s="52" t="n">
        <f aca="false">B129-D65</f>
        <v>27</v>
      </c>
      <c r="G161" s="70" t="s">
        <v>235</v>
      </c>
      <c r="H161" s="71" t="str">
        <f aca="false">IF(AND(COUNT(D161:G161)=2,COUNTIF(D161:G161,"&gt;100")+COUNTIF(D161:G161,"&lt;-100")=0),"✔ 通过","✗ 不平")</f>
        <v>✔ 通过</v>
      </c>
      <c r="I161" s="49" t="s">
        <v>239</v>
      </c>
      <c r="J161" s="49"/>
      <c r="K161" s="49"/>
    </row>
    <row r="162" customFormat="false" ht="30" hidden="false" customHeight="true" outlineLevel="0" collapsed="false">
      <c r="A162" s="62" t="s">
        <v>240</v>
      </c>
      <c r="B162" s="49" t="s">
        <v>241</v>
      </c>
      <c r="C162" s="49"/>
      <c r="D162" s="52" t="n">
        <f aca="false">B78-(B88+B95)</f>
        <v>0</v>
      </c>
      <c r="E162" s="52" t="n">
        <f aca="false">C78-(C88+C95)</f>
        <v>0</v>
      </c>
      <c r="F162" s="52" t="n">
        <f aca="false">D78-(D88+D95)</f>
        <v>0</v>
      </c>
      <c r="G162" s="70" t="s">
        <v>235</v>
      </c>
      <c r="H162" s="71" t="str">
        <f aca="false">IF(AND(COUNT(D162:G162)=3,COUNTIF(D162:G162,"&gt;0.5")+COUNTIF(D162:G162,"&lt;-0.5")=0),"✔ 通过","✗ 不平")</f>
        <v>✔ 通过</v>
      </c>
      <c r="I162" s="49" t="s">
        <v>242</v>
      </c>
      <c r="J162" s="49"/>
      <c r="K162" s="49"/>
    </row>
    <row r="163" customFormat="false" ht="30" hidden="false" customHeight="true" outlineLevel="0" collapsed="false">
      <c r="A163" s="62" t="s">
        <v>243</v>
      </c>
      <c r="B163" s="49" t="s">
        <v>244</v>
      </c>
      <c r="C163" s="49"/>
      <c r="D163" s="70" t="s">
        <v>235</v>
      </c>
      <c r="E163" s="70" t="s">
        <v>235</v>
      </c>
      <c r="F163" s="70" t="s">
        <v>235</v>
      </c>
      <c r="G163" s="52" t="n">
        <f aca="false">B110+B117+B125+B126-B127</f>
        <v>0</v>
      </c>
      <c r="H163" s="71" t="str">
        <f aca="false">IF(AND(COUNT(D163:G163)=1,COUNTIF(D163:G163,"&gt;0.5")+COUNTIF(D163:G163,"&lt;-0.5")=0),"✔ 通过","✗ 不平")</f>
        <v>✔ 通过</v>
      </c>
      <c r="I163" s="49" t="s">
        <v>245</v>
      </c>
      <c r="J163" s="49"/>
      <c r="K163" s="49"/>
    </row>
    <row r="164" customFormat="false" ht="30" hidden="false" customHeight="true" outlineLevel="0" collapsed="false">
      <c r="A164" s="62" t="s">
        <v>246</v>
      </c>
      <c r="B164" s="49" t="s">
        <v>247</v>
      </c>
      <c r="C164" s="49"/>
      <c r="D164" s="70" t="s">
        <v>235</v>
      </c>
      <c r="E164" s="70" t="s">
        <v>235</v>
      </c>
      <c r="F164" s="52" t="n">
        <f aca="false">D95-(B95+B101+B122+B121+(D91-B91)+(D90-B90)+(D94-B94)+B120)</f>
        <v>30</v>
      </c>
      <c r="G164" s="70" t="s">
        <v>235</v>
      </c>
      <c r="H164" s="71" t="str">
        <f aca="false">IF(AND(COUNT(D164:G164)=1,COUNTIF(D164:G164,"&gt;100")+COUNTIF(D164:G164,"&lt;-100")=0),"✔ 通过","✗ 不平")</f>
        <v>✔ 通过</v>
      </c>
      <c r="I164" s="49" t="s">
        <v>248</v>
      </c>
      <c r="J164" s="49"/>
      <c r="K164" s="49"/>
    </row>
    <row r="317" customFormat="false" ht="33" hidden="false" customHeight="true" outlineLevel="0" collapsed="false">
      <c r="A317" s="43" t="s">
        <v>249</v>
      </c>
      <c r="B317" s="43"/>
      <c r="C317" s="43"/>
      <c r="D317" s="43"/>
      <c r="E317" s="43"/>
      <c r="F317" s="43"/>
      <c r="G317" s="43"/>
      <c r="H317" s="43"/>
      <c r="I317" s="43"/>
      <c r="J317" s="43"/>
      <c r="K317" s="43"/>
    </row>
  </sheetData>
  <mergeCells count="154">
    <mergeCell ref="A1:K1"/>
    <mergeCell ref="A2:K2"/>
    <mergeCell ref="A4:K4"/>
    <mergeCell ref="B6:C6"/>
    <mergeCell ref="D6:K6"/>
    <mergeCell ref="B7:C7"/>
    <mergeCell ref="D7:K7"/>
    <mergeCell ref="B8:C8"/>
    <mergeCell ref="D8:K8"/>
    <mergeCell ref="B9:C9"/>
    <mergeCell ref="D9:K9"/>
    <mergeCell ref="B10:C10"/>
    <mergeCell ref="D10:K10"/>
    <mergeCell ref="B11:C11"/>
    <mergeCell ref="D11:K11"/>
    <mergeCell ref="B12:C12"/>
    <mergeCell ref="D12:K12"/>
    <mergeCell ref="B13:C13"/>
    <mergeCell ref="D13:K13"/>
    <mergeCell ref="B14:C14"/>
    <mergeCell ref="D14:K14"/>
    <mergeCell ref="B15:C15"/>
    <mergeCell ref="D15:K15"/>
    <mergeCell ref="A16:K16"/>
    <mergeCell ref="J18:K18"/>
    <mergeCell ref="J19:K19"/>
    <mergeCell ref="J20:K20"/>
    <mergeCell ref="C21:K21"/>
    <mergeCell ref="C22:K22"/>
    <mergeCell ref="A23:K23"/>
    <mergeCell ref="A25:K25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A50:K50"/>
    <mergeCell ref="A51:K51"/>
    <mergeCell ref="A53:K53"/>
    <mergeCell ref="J55:K55"/>
    <mergeCell ref="J56:K56"/>
    <mergeCell ref="J57:K57"/>
    <mergeCell ref="J58:K58"/>
    <mergeCell ref="A60:K60"/>
    <mergeCell ref="A62:K62"/>
    <mergeCell ref="A64:K64"/>
    <mergeCell ref="G65:K65"/>
    <mergeCell ref="G66:K66"/>
    <mergeCell ref="G67:K67"/>
    <mergeCell ref="G68:K68"/>
    <mergeCell ref="G69:K69"/>
    <mergeCell ref="G70:K70"/>
    <mergeCell ref="G71:K71"/>
    <mergeCell ref="G72:K72"/>
    <mergeCell ref="G73:K73"/>
    <mergeCell ref="G74:K74"/>
    <mergeCell ref="G75:K75"/>
    <mergeCell ref="G76:K76"/>
    <mergeCell ref="G77:K77"/>
    <mergeCell ref="G78:K78"/>
    <mergeCell ref="A79:K79"/>
    <mergeCell ref="G80:K80"/>
    <mergeCell ref="G81:K81"/>
    <mergeCell ref="G82:K82"/>
    <mergeCell ref="G83:K83"/>
    <mergeCell ref="G84:K84"/>
    <mergeCell ref="G85:K85"/>
    <mergeCell ref="G86:K86"/>
    <mergeCell ref="G87:K87"/>
    <mergeCell ref="G88:K88"/>
    <mergeCell ref="A89:K89"/>
    <mergeCell ref="G90:K90"/>
    <mergeCell ref="G91:K91"/>
    <mergeCell ref="G92:K92"/>
    <mergeCell ref="G93:K93"/>
    <mergeCell ref="G94:K94"/>
    <mergeCell ref="G95:K95"/>
    <mergeCell ref="A96:K96"/>
    <mergeCell ref="A98:K98"/>
    <mergeCell ref="A100:K100"/>
    <mergeCell ref="F101:K101"/>
    <mergeCell ref="F102:K102"/>
    <mergeCell ref="F103:K103"/>
    <mergeCell ref="F104:K104"/>
    <mergeCell ref="F105:K105"/>
    <mergeCell ref="F106:K106"/>
    <mergeCell ref="F107:K107"/>
    <mergeCell ref="F108:K108"/>
    <mergeCell ref="F109:K109"/>
    <mergeCell ref="F110:K110"/>
    <mergeCell ref="A111:K111"/>
    <mergeCell ref="F112:K112"/>
    <mergeCell ref="F113:K113"/>
    <mergeCell ref="F114:K114"/>
    <mergeCell ref="F115:K115"/>
    <mergeCell ref="F116:K116"/>
    <mergeCell ref="F117:K117"/>
    <mergeCell ref="A118:K118"/>
    <mergeCell ref="F119:K119"/>
    <mergeCell ref="F120:K120"/>
    <mergeCell ref="F121:K121"/>
    <mergeCell ref="F122:K122"/>
    <mergeCell ref="F123:K123"/>
    <mergeCell ref="F124:K124"/>
    <mergeCell ref="F125:K125"/>
    <mergeCell ref="F126:K126"/>
    <mergeCell ref="F127:K127"/>
    <mergeCell ref="F128:K128"/>
    <mergeCell ref="F129:K129"/>
    <mergeCell ref="A130:K130"/>
    <mergeCell ref="A132:K132"/>
    <mergeCell ref="G134:K134"/>
    <mergeCell ref="G135:K135"/>
    <mergeCell ref="G136:K136"/>
    <mergeCell ref="G137:K137"/>
    <mergeCell ref="G138:K138"/>
    <mergeCell ref="G139:K139"/>
    <mergeCell ref="A140:K140"/>
    <mergeCell ref="A142:K142"/>
    <mergeCell ref="A143:K143"/>
    <mergeCell ref="F145:K145"/>
    <mergeCell ref="F146:K146"/>
    <mergeCell ref="F147:K147"/>
    <mergeCell ref="F148:K148"/>
    <mergeCell ref="F149:K149"/>
    <mergeCell ref="F150:K150"/>
    <mergeCell ref="F151:K151"/>
    <mergeCell ref="F152:K152"/>
    <mergeCell ref="F153:K153"/>
    <mergeCell ref="F154:K154"/>
    <mergeCell ref="A155:K155"/>
    <mergeCell ref="A157:K157"/>
    <mergeCell ref="A158:K158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A317:K317"/>
  </mergeCells>
  <conditionalFormatting sqref="H160">
    <cfRule type="expression" priority="2" aboveAverage="0" equalAverage="0" bottom="0" percent="0" rank="0" text="" dxfId="0">
      <formula>ISNUMBER(SEARCH("✔",$H$160))</formula>
    </cfRule>
    <cfRule type="expression" priority="3" aboveAverage="0" equalAverage="0" bottom="0" percent="0" rank="0" text="" dxfId="1">
      <formula>ISNUMBER(SEARCH("✗",$H$160))</formula>
    </cfRule>
  </conditionalFormatting>
  <conditionalFormatting sqref="H161">
    <cfRule type="expression" priority="4" aboveAverage="0" equalAverage="0" bottom="0" percent="0" rank="0" text="" dxfId="0">
      <formula>ISNUMBER(SEARCH("✔",$H$161))</formula>
    </cfRule>
    <cfRule type="expression" priority="5" aboveAverage="0" equalAverage="0" bottom="0" percent="0" rank="0" text="" dxfId="1">
      <formula>ISNUMBER(SEARCH("✗",$H$161))</formula>
    </cfRule>
  </conditionalFormatting>
  <conditionalFormatting sqref="H162">
    <cfRule type="expression" priority="6" aboveAverage="0" equalAverage="0" bottom="0" percent="0" rank="0" text="" dxfId="0">
      <formula>ISNUMBER(SEARCH("✔",$H$162))</formula>
    </cfRule>
    <cfRule type="expression" priority="7" aboveAverage="0" equalAverage="0" bottom="0" percent="0" rank="0" text="" dxfId="1">
      <formula>ISNUMBER(SEARCH("✗",$H$162))</formula>
    </cfRule>
  </conditionalFormatting>
  <conditionalFormatting sqref="H163">
    <cfRule type="expression" priority="8" aboveAverage="0" equalAverage="0" bottom="0" percent="0" rank="0" text="" dxfId="0">
      <formula>ISNUMBER(SEARCH("✔",$H$163))</formula>
    </cfRule>
    <cfRule type="expression" priority="9" aboveAverage="0" equalAverage="0" bottom="0" percent="0" rank="0" text="" dxfId="1">
      <formula>ISNUMBER(SEARCH("✗",$H$163))</formula>
    </cfRule>
  </conditionalFormatting>
  <conditionalFormatting sqref="H164">
    <cfRule type="expression" priority="10" aboveAverage="0" equalAverage="0" bottom="0" percent="0" rank="0" text="" dxfId="0">
      <formula>ISNUMBER(SEARCH("✔",$H$164))</formula>
    </cfRule>
    <cfRule type="expression" priority="11" aboveAverage="0" equalAverage="0" bottom="0" percent="0" rank="0" text="" dxfId="1">
      <formula>ISNUMBER(SEARCH("✗",$H$164))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min="1" max="1" width="29.71" customWidth="1"/>
    <col min="2" max="2" width="11.71" customWidth="1"/>
    <col min="3" max="3" width="11.71" customWidth="1"/>
    <col min="4" max="4" width="11.71" customWidth="1"/>
    <col min="5" max="5" width="11.71" customWidth="1"/>
    <col min="6" max="6" width="12.71" customWidth="1"/>
    <col min="7" max="7" width="11.71" customWidth="1"/>
    <col min="8" max="8" width="13.71" customWidth="1"/>
    <col min="9" max="9" width="14.71" customWidth="1"/>
    <col min="10" max="10" width="12.71" customWidth="1"/>
    <col min="11" max="11" width="12.71" customWidth="1"/>
    <col min="12" max="12" width="12.71" customWidth="1"/>
    <col min="13" max="13" width="13.71" customWidth="1"/>
    <col min="14" max="14" width="14.71" customWidth="1"/>
  </cols>
  <sheetData>
    <row r="1" customFormat="false" ht="37.5" hidden="false" customHeight="true" outlineLevel="0" collapsed="false">
      <c r="A1" s="1" t="s">
        <v>250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72" t="s">
        <v>251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customFormat="false" ht="24" hidden="false" customHeight="true" outlineLevel="0" collapsed="false">
      <c r="A4" s="73" t="s">
        <v>252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customFormat="false" ht="33" hidden="false" customHeight="true" outlineLevel="0" collapsed="false">
      <c r="A5" s="74" t="s">
        <v>253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</row>
    <row r="6" customFormat="false" ht="18.75" hidden="false" customHeight="true" outlineLevel="0" collapsed="false">
      <c r="A6" s="75" t="s">
        <v>254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</row>
    <row r="7" customFormat="false" ht="18.75" hidden="false" customHeight="true" outlineLevel="0" collapsed="false">
      <c r="A7" s="75" t="s">
        <v>255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</row>
    <row r="8" customFormat="false" ht="18.75" hidden="false" customHeight="true" outlineLevel="0" collapsed="false">
      <c r="A8" s="75" t="s">
        <v>256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</row>
    <row r="9" customFormat="false" ht="18.75" hidden="false" customHeight="true" outlineLevel="0" collapsed="false">
      <c r="A9" s="75" t="s">
        <v>257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</row>
    <row r="11" customFormat="false" ht="24" hidden="false" customHeight="true" outlineLevel="0" collapsed="false">
      <c r="A11" s="73" t="s">
        <v>258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</row>
    <row r="12" customFormat="false" ht="27" hidden="false" customHeight="true" outlineLevel="0" collapsed="false">
      <c r="A12" s="4" t="s">
        <v>49</v>
      </c>
      <c r="B12" s="14" t="s">
        <v>259</v>
      </c>
      <c r="C12" s="14" t="s">
        <v>260</v>
      </c>
      <c r="D12" s="14" t="s">
        <v>261</v>
      </c>
      <c r="E12" s="14" t="s">
        <v>262</v>
      </c>
      <c r="F12" s="14" t="s">
        <v>263</v>
      </c>
      <c r="G12" s="4" t="s">
        <v>264</v>
      </c>
      <c r="H12" s="4"/>
      <c r="I12" s="4"/>
      <c r="J12" s="4"/>
      <c r="K12" s="4"/>
      <c r="L12" s="4"/>
      <c r="M12" s="4"/>
      <c r="N12" s="4"/>
    </row>
    <row r="13" customFormat="false" ht="16.5" hidden="false" customHeight="true" outlineLevel="0" collapsed="false">
      <c r="A13" s="35" t="s">
        <v>265</v>
      </c>
      <c r="B13" s="36" t="n">
        <f aca="false">$B$189</f>
        <v>52000</v>
      </c>
      <c r="C13" s="36" t="n">
        <f aca="false">B13*(1+-0.038462+$B$191)</f>
        <v>49999.976</v>
      </c>
      <c r="D13" s="36" t="n">
        <f aca="false">C13*(1+-0.16+$B$191)</f>
        <v>41999.97984</v>
      </c>
      <c r="E13" s="36" t="n">
        <f aca="false">D13*(1+-0.214286+$B$191)</f>
        <v>32999.9721600058</v>
      </c>
      <c r="F13" s="76" t="n">
        <f aca="false">SUM(B13:E13)</f>
        <v>176999.928000006</v>
      </c>
      <c r="G13" s="48" t="s">
        <v>266</v>
      </c>
      <c r="H13" s="48"/>
      <c r="I13" s="48"/>
      <c r="J13" s="48"/>
      <c r="K13" s="48"/>
      <c r="L13" s="48"/>
      <c r="M13" s="48"/>
      <c r="N13" s="48"/>
    </row>
    <row r="14" customFormat="false" ht="16.5" hidden="false" customHeight="true" outlineLevel="0" collapsed="false">
      <c r="A14" s="30" t="s">
        <v>267</v>
      </c>
      <c r="B14" s="77" t="n">
        <f aca="false">B13/'00-三表与联动'!E27-1</f>
        <v>0.04</v>
      </c>
      <c r="C14" s="77" t="n">
        <f aca="false">C13/B13-1</f>
        <v>-0.038462</v>
      </c>
      <c r="D14" s="77" t="n">
        <f aca="false">D13/C13-1</f>
        <v>-0.16</v>
      </c>
      <c r="E14" s="77" t="n">
        <f aca="false">E13/D13-1</f>
        <v>-0.214286</v>
      </c>
      <c r="F14" s="78" t="n">
        <f aca="false">F13/'00-三表与联动'!F27-1</f>
        <v>0.372528695166726</v>
      </c>
      <c r="G14" s="48" t="s">
        <v>268</v>
      </c>
      <c r="H14" s="48"/>
      <c r="I14" s="48"/>
      <c r="J14" s="48"/>
      <c r="K14" s="48"/>
      <c r="L14" s="48"/>
      <c r="M14" s="48"/>
      <c r="N14" s="48"/>
    </row>
    <row r="15" customFormat="false" ht="16.5" hidden="false" customHeight="true" outlineLevel="0" collapsed="false">
      <c r="A15" s="30" t="s">
        <v>269</v>
      </c>
      <c r="B15" s="77" t="n">
        <f aca="false">MAX(0.05,MIN(0.92,0.85+$B$193))</f>
        <v>0.85</v>
      </c>
      <c r="C15" s="77" t="n">
        <f aca="false">MAX(0.05,MIN(0.92,0.8+$B$193))</f>
        <v>0.8</v>
      </c>
      <c r="D15" s="77" t="n">
        <f aca="false">MAX(0.05,MIN(0.92,0.68+$B$193))</f>
        <v>0.68</v>
      </c>
      <c r="E15" s="77" t="n">
        <f aca="false">MAX(0.05,MIN(0.92,0.52+$B$193))</f>
        <v>0.52</v>
      </c>
      <c r="F15" s="78" t="n">
        <f aca="false">F16/F13</f>
        <v>0.734011330300647</v>
      </c>
      <c r="G15" s="49" t="s">
        <v>270</v>
      </c>
      <c r="H15" s="49"/>
      <c r="I15" s="49"/>
      <c r="J15" s="49"/>
      <c r="K15" s="49"/>
      <c r="L15" s="49"/>
      <c r="M15" s="49"/>
      <c r="N15" s="49"/>
    </row>
    <row r="16" customFormat="false" ht="16.5" hidden="false" customHeight="true" outlineLevel="0" collapsed="false">
      <c r="A16" s="30" t="s">
        <v>271</v>
      </c>
      <c r="B16" s="31" t="n">
        <f aca="false">B13*B15</f>
        <v>44200</v>
      </c>
      <c r="C16" s="31" t="n">
        <f aca="false">C13*C15</f>
        <v>39999.9808</v>
      </c>
      <c r="D16" s="31" t="n">
        <f aca="false">D13*D15</f>
        <v>28559.9862912</v>
      </c>
      <c r="E16" s="31" t="n">
        <f aca="false">E13*E15</f>
        <v>17159.985523203</v>
      </c>
      <c r="F16" s="76" t="n">
        <f aca="false">SUM(B16:E16)</f>
        <v>129919.952614403</v>
      </c>
      <c r="G16" s="49" t="s">
        <v>272</v>
      </c>
      <c r="H16" s="49"/>
      <c r="I16" s="49"/>
      <c r="J16" s="49"/>
      <c r="K16" s="49"/>
      <c r="L16" s="49"/>
      <c r="M16" s="49"/>
      <c r="N16" s="49"/>
    </row>
    <row r="17" customFormat="false" ht="16.5" hidden="false" customHeight="true" outlineLevel="0" collapsed="false">
      <c r="A17" s="30" t="s">
        <v>273</v>
      </c>
      <c r="B17" s="31" t="n">
        <f aca="false">B13*$B$199</f>
        <v>2860</v>
      </c>
      <c r="C17" s="31" t="n">
        <f aca="false">C13*$B$199</f>
        <v>2749.99868</v>
      </c>
      <c r="D17" s="31" t="n">
        <f aca="false">D13*$B$199</f>
        <v>2309.9988912</v>
      </c>
      <c r="E17" s="31" t="n">
        <f aca="false">E13*$B$199</f>
        <v>1814.99846880032</v>
      </c>
      <c r="F17" s="76" t="n">
        <f aca="false">SUM(B17:E17)</f>
        <v>9734.99604000032</v>
      </c>
      <c r="G17" s="49" t="s">
        <v>274</v>
      </c>
      <c r="H17" s="49"/>
      <c r="I17" s="49"/>
      <c r="J17" s="49"/>
      <c r="K17" s="49"/>
      <c r="L17" s="49"/>
      <c r="M17" s="49"/>
      <c r="N17" s="49"/>
    </row>
    <row r="18" customFormat="false" ht="16.5" hidden="false" customHeight="true" outlineLevel="0" collapsed="false">
      <c r="A18" s="35" t="s">
        <v>275</v>
      </c>
      <c r="B18" s="36" t="n">
        <f aca="false">B16-B17</f>
        <v>41340</v>
      </c>
      <c r="C18" s="36" t="n">
        <f aca="false">C16-C17</f>
        <v>37249.98212</v>
      </c>
      <c r="D18" s="36" t="n">
        <f aca="false">D16-D17</f>
        <v>26249.9874</v>
      </c>
      <c r="E18" s="36" t="n">
        <f aca="false">E16-E17</f>
        <v>15344.9870544027</v>
      </c>
      <c r="F18" s="76" t="n">
        <f aca="false">SUM(B18:E18)</f>
        <v>120184.956574403</v>
      </c>
      <c r="G18" s="49" t="s">
        <v>276</v>
      </c>
      <c r="H18" s="49"/>
      <c r="I18" s="49"/>
      <c r="J18" s="49"/>
      <c r="K18" s="49"/>
      <c r="L18" s="49"/>
      <c r="M18" s="49"/>
      <c r="N18" s="49"/>
    </row>
    <row r="19" customFormat="false" ht="16.5" hidden="false" customHeight="true" outlineLevel="0" collapsed="false">
      <c r="A19" s="30" t="s">
        <v>277</v>
      </c>
      <c r="B19" s="77" t="n">
        <f aca="false">B18/B13</f>
        <v>0.795</v>
      </c>
      <c r="C19" s="77" t="n">
        <f aca="false">C18/C13</f>
        <v>0.745</v>
      </c>
      <c r="D19" s="77" t="n">
        <f aca="false">D18/D13</f>
        <v>0.625</v>
      </c>
      <c r="E19" s="77" t="n">
        <f aca="false">E18/E13</f>
        <v>0.465</v>
      </c>
      <c r="F19" s="78" t="n">
        <f aca="false">F18/F13</f>
        <v>0.679011330300647</v>
      </c>
      <c r="G19" s="49" t="s">
        <v>278</v>
      </c>
      <c r="H19" s="49"/>
      <c r="I19" s="49"/>
      <c r="J19" s="49"/>
      <c r="K19" s="49"/>
      <c r="L19" s="49"/>
      <c r="M19" s="49"/>
      <c r="N19" s="49"/>
    </row>
    <row r="20" customFormat="false" ht="16.5" hidden="false" customHeight="true" outlineLevel="0" collapsed="false">
      <c r="A20" s="30" t="s">
        <v>279</v>
      </c>
      <c r="B20" s="31" t="n">
        <f aca="false">MAX(0,B18)*$B$201</f>
        <v>7441.2</v>
      </c>
      <c r="C20" s="31" t="n">
        <f aca="false">MAX(0,C18)*$B$201</f>
        <v>6704.9967816</v>
      </c>
      <c r="D20" s="31" t="n">
        <f aca="false">MAX(0,D18)*$B$201</f>
        <v>4724.997732</v>
      </c>
      <c r="E20" s="31" t="n">
        <f aca="false">MAX(0,E18)*$B$201</f>
        <v>2762.09766979248</v>
      </c>
      <c r="F20" s="76" t="n">
        <f aca="false">SUM(B20:E20)</f>
        <v>21633.2921833925</v>
      </c>
      <c r="G20" s="49" t="s">
        <v>280</v>
      </c>
      <c r="H20" s="49"/>
      <c r="I20" s="49"/>
      <c r="J20" s="49"/>
      <c r="K20" s="49"/>
      <c r="L20" s="49"/>
      <c r="M20" s="49"/>
      <c r="N20" s="49"/>
    </row>
    <row r="21" customFormat="false" ht="16.5" hidden="false" customHeight="true" outlineLevel="0" collapsed="false">
      <c r="A21" s="35" t="s">
        <v>281</v>
      </c>
      <c r="B21" s="36" t="n">
        <f aca="false">B18-B20</f>
        <v>33898.8</v>
      </c>
      <c r="C21" s="36" t="n">
        <f aca="false">C18-C20</f>
        <v>30544.9853384</v>
      </c>
      <c r="D21" s="36" t="n">
        <f aca="false">D18-D20</f>
        <v>21524.989668</v>
      </c>
      <c r="E21" s="36" t="n">
        <f aca="false">E18-E20</f>
        <v>12582.8893846102</v>
      </c>
      <c r="F21" s="76" t="n">
        <f aca="false">SUM(B21:E21)</f>
        <v>98551.6643910102</v>
      </c>
      <c r="G21" s="49" t="s">
        <v>282</v>
      </c>
      <c r="H21" s="49"/>
      <c r="I21" s="49"/>
      <c r="J21" s="49"/>
      <c r="K21" s="49"/>
      <c r="L21" s="49"/>
      <c r="M21" s="49"/>
      <c r="N21" s="49"/>
    </row>
    <row r="22" customFormat="false" ht="16.5" hidden="false" customHeight="true" outlineLevel="0" collapsed="false">
      <c r="A22" s="30" t="s">
        <v>283</v>
      </c>
      <c r="B22" s="31" t="n">
        <f aca="false">B13*$B$207</f>
        <v>5460</v>
      </c>
      <c r="C22" s="31" t="n">
        <f aca="false">C13*$B$207</f>
        <v>5249.99748</v>
      </c>
      <c r="D22" s="31" t="n">
        <f aca="false">D13*$B$207</f>
        <v>4409.9978832</v>
      </c>
      <c r="E22" s="31" t="n">
        <f aca="false">E13*$B$207</f>
        <v>3464.9970768006</v>
      </c>
      <c r="F22" s="76" t="n">
        <f aca="false">SUM(B22:E22)</f>
        <v>18584.9924400006</v>
      </c>
      <c r="G22" s="49" t="s">
        <v>284</v>
      </c>
      <c r="H22" s="49"/>
      <c r="I22" s="49"/>
      <c r="J22" s="49"/>
      <c r="K22" s="49"/>
      <c r="L22" s="49"/>
      <c r="M22" s="49"/>
      <c r="N22" s="49"/>
    </row>
    <row r="23" customFormat="false" ht="16.5" hidden="false" customHeight="true" outlineLevel="0" collapsed="false">
      <c r="A23" s="30" t="s">
        <v>285</v>
      </c>
      <c r="B23" s="31" t="n">
        <f aca="false">-B13*$B$203</f>
        <v>-11960</v>
      </c>
      <c r="C23" s="31" t="n">
        <f aca="false">-C13*$B$203</f>
        <v>-11499.99448</v>
      </c>
      <c r="D23" s="31" t="n">
        <f aca="false">-D13*$B$203</f>
        <v>-9659.9953632</v>
      </c>
      <c r="E23" s="31" t="n">
        <f aca="false">-E13*$B$203</f>
        <v>-7589.99359680133</v>
      </c>
      <c r="F23" s="76" t="n">
        <f aca="false">SUM(B23:E23)</f>
        <v>-40709.9834400013</v>
      </c>
      <c r="G23" s="49" t="s">
        <v>286</v>
      </c>
      <c r="H23" s="49"/>
      <c r="I23" s="49"/>
      <c r="J23" s="49"/>
      <c r="K23" s="49"/>
      <c r="L23" s="49"/>
      <c r="M23" s="49"/>
      <c r="N23" s="49"/>
    </row>
    <row r="24" customFormat="false" ht="16.5" hidden="false" customHeight="true" outlineLevel="0" collapsed="false">
      <c r="A24" s="30" t="s">
        <v>287</v>
      </c>
      <c r="B24" s="31" t="n">
        <f aca="false">-B23*$B$205</f>
        <v>1435.2</v>
      </c>
      <c r="C24" s="31" t="n">
        <f aca="false">-C23*$B$205</f>
        <v>1379.9993376</v>
      </c>
      <c r="D24" s="31" t="n">
        <f aca="false">-D23*$B$205</f>
        <v>1159.199443584</v>
      </c>
      <c r="E24" s="31" t="n">
        <f aca="false">-E23*$B$205</f>
        <v>910.799231616159</v>
      </c>
      <c r="F24" s="76" t="n">
        <f aca="false">SUM(B24:E24)</f>
        <v>4885.19801280016</v>
      </c>
      <c r="G24" s="49" t="s">
        <v>288</v>
      </c>
      <c r="H24" s="49"/>
      <c r="I24" s="49"/>
      <c r="J24" s="49"/>
      <c r="K24" s="49"/>
      <c r="L24" s="49"/>
      <c r="M24" s="49"/>
      <c r="N24" s="49"/>
    </row>
    <row r="25" customFormat="false" ht="16.5" hidden="false" customHeight="true" outlineLevel="0" collapsed="false">
      <c r="A25" s="30" t="s">
        <v>289</v>
      </c>
      <c r="B25" s="31" t="n">
        <f aca="false">B13*4*$B$209</f>
        <v>36400</v>
      </c>
      <c r="C25" s="31" t="n">
        <f aca="false">C13*4*$B$209</f>
        <v>34999.9832</v>
      </c>
      <c r="D25" s="31" t="n">
        <f aca="false">D13*4*$B$209</f>
        <v>29399.985888</v>
      </c>
      <c r="E25" s="31" t="n">
        <f aca="false">E13*4*$B$209</f>
        <v>23099.980512004</v>
      </c>
      <c r="F25" s="76" t="n">
        <f aca="false">E25</f>
        <v>23099.980512004</v>
      </c>
      <c r="G25" s="49" t="s">
        <v>290</v>
      </c>
      <c r="H25" s="49"/>
      <c r="I25" s="49"/>
      <c r="J25" s="49"/>
      <c r="K25" s="49"/>
      <c r="L25" s="49"/>
      <c r="M25" s="49"/>
      <c r="N25" s="49"/>
    </row>
    <row r="26" customFormat="false" ht="16.5" hidden="false" customHeight="true" outlineLevel="0" collapsed="false">
      <c r="A26" s="30" t="s">
        <v>291</v>
      </c>
      <c r="B26" s="31" t="n">
        <f aca="false">-(B25-'00-三表与联动'!E27*4*$B$209)</f>
        <v>-1400</v>
      </c>
      <c r="C26" s="31" t="n">
        <f aca="false">-(C25-B25)</f>
        <v>1400.0168</v>
      </c>
      <c r="D26" s="31" t="n">
        <f aca="false">-(D25-C25)</f>
        <v>5599.997312</v>
      </c>
      <c r="E26" s="31" t="n">
        <f aca="false">-(E25-D25)</f>
        <v>6300.00537599597</v>
      </c>
      <c r="F26" s="76" t="n">
        <f aca="false">SUM(B26:E26)</f>
        <v>11900.019487996</v>
      </c>
      <c r="G26" s="49" t="s">
        <v>292</v>
      </c>
      <c r="H26" s="49"/>
      <c r="I26" s="49"/>
      <c r="J26" s="49"/>
      <c r="K26" s="49"/>
      <c r="L26" s="49"/>
      <c r="M26" s="49"/>
      <c r="N26" s="49"/>
    </row>
    <row r="27" customFormat="false" ht="16.5" hidden="false" customHeight="true" outlineLevel="0" collapsed="false">
      <c r="A27" s="35" t="s">
        <v>293</v>
      </c>
      <c r="B27" s="79" t="n">
        <f aca="false">B21+B22+B23+B24+B26</f>
        <v>27434</v>
      </c>
      <c r="C27" s="79" t="n">
        <f aca="false">C21+C22+C23+C24+C26</f>
        <v>27075.004476</v>
      </c>
      <c r="D27" s="79" t="n">
        <f aca="false">D21+D22+D23+D24+D26</f>
        <v>23034.188943584</v>
      </c>
      <c r="E27" s="79" t="n">
        <f aca="false">E21+E22+E23+E24+E26</f>
        <v>15668.6974722216</v>
      </c>
      <c r="F27" s="76" t="n">
        <f aca="false">SUM(B27:E27)</f>
        <v>93211.8908918056</v>
      </c>
      <c r="G27" s="49" t="s">
        <v>294</v>
      </c>
      <c r="H27" s="49"/>
      <c r="I27" s="49"/>
      <c r="J27" s="49"/>
      <c r="K27" s="49"/>
      <c r="L27" s="49"/>
      <c r="M27" s="49"/>
      <c r="N27" s="49"/>
    </row>
    <row r="28" customFormat="false" ht="20.25" hidden="false" customHeight="true" outlineLevel="0" collapsed="false">
      <c r="A28" s="43" t="s">
        <v>295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30" customFormat="false" ht="24" hidden="false" customHeight="true" outlineLevel="0" collapsed="false">
      <c r="A30" s="73" t="s">
        <v>296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</row>
    <row r="31" customFormat="false" ht="27" hidden="false" customHeight="true" outlineLevel="0" collapsed="false">
      <c r="A31" s="4" t="s">
        <v>49</v>
      </c>
      <c r="B31" s="14" t="s">
        <v>297</v>
      </c>
      <c r="C31" s="14" t="s">
        <v>298</v>
      </c>
      <c r="D31" s="14" t="s">
        <v>299</v>
      </c>
      <c r="E31" s="14" t="s">
        <v>300</v>
      </c>
      <c r="F31" s="14" t="s">
        <v>301</v>
      </c>
      <c r="G31" s="14" t="s">
        <v>302</v>
      </c>
      <c r="H31" s="4" t="s">
        <v>303</v>
      </c>
      <c r="I31" s="4" t="s">
        <v>264</v>
      </c>
      <c r="J31" s="4"/>
      <c r="K31" s="4"/>
      <c r="L31" s="4"/>
      <c r="M31" s="4"/>
      <c r="N31" s="4"/>
    </row>
    <row r="32" customFormat="false" ht="16.5" hidden="false" customHeight="true" outlineLevel="0" collapsed="false">
      <c r="A32" s="35" t="s">
        <v>265</v>
      </c>
      <c r="B32" s="36" t="n">
        <f aca="false">F13</f>
        <v>176999.928000006</v>
      </c>
      <c r="C32" s="36" t="n">
        <f aca="false">B32*(1+-0.35)</f>
        <v>115049.953200004</v>
      </c>
      <c r="D32" s="36" t="n">
        <f aca="false">C32*(1+-0.08+$B$197)</f>
        <v>105845.956944003</v>
      </c>
      <c r="E32" s="36" t="n">
        <f aca="false">D32*(1+0.14+$B$197)</f>
        <v>120664.390916164</v>
      </c>
      <c r="F32" s="36" t="n">
        <f aca="false">E32*(1+0.12+$B$197)</f>
        <v>135144.117826104</v>
      </c>
      <c r="G32" s="36" t="n">
        <f aca="false">F32*(1+0.08+$B$197)</f>
        <v>145955.647252192</v>
      </c>
      <c r="H32" s="80" t="n">
        <f aca="false">G32*(1+$B$213)</f>
        <v>149604.538433497</v>
      </c>
      <c r="I32" s="48" t="s">
        <v>304</v>
      </c>
      <c r="J32" s="48"/>
      <c r="K32" s="48"/>
      <c r="L32" s="48"/>
      <c r="M32" s="48"/>
      <c r="N32" s="48"/>
    </row>
    <row r="33" customFormat="false" ht="16.5" hidden="false" customHeight="true" outlineLevel="0" collapsed="false">
      <c r="A33" s="30" t="s">
        <v>305</v>
      </c>
      <c r="B33" s="77" t="n">
        <f aca="false">B32/'00-三表与联动'!F27-1</f>
        <v>0.372528695166726</v>
      </c>
      <c r="C33" s="77" t="n">
        <f aca="false">C32/B32-1</f>
        <v>-0.35</v>
      </c>
      <c r="D33" s="77" t="n">
        <f aca="false">D32/C32-1</f>
        <v>-0.0799999999999999</v>
      </c>
      <c r="E33" s="77" t="n">
        <f aca="false">E32/D32-1</f>
        <v>0.14</v>
      </c>
      <c r="F33" s="77" t="n">
        <f aca="false">F32/E32-1</f>
        <v>0.12</v>
      </c>
      <c r="G33" s="77" t="n">
        <f aca="false">G32/F32-1</f>
        <v>0.0800000000000001</v>
      </c>
      <c r="H33" s="81" t="n">
        <f aca="false">$B$213</f>
        <v>0.025</v>
      </c>
      <c r="I33" s="49" t="s">
        <v>306</v>
      </c>
      <c r="J33" s="49"/>
      <c r="K33" s="49"/>
      <c r="L33" s="49"/>
      <c r="M33" s="49"/>
      <c r="N33" s="49"/>
    </row>
    <row r="34" customFormat="false" ht="16.5" hidden="false" customHeight="true" outlineLevel="0" collapsed="false">
      <c r="A34" s="30" t="s">
        <v>269</v>
      </c>
      <c r="B34" s="77" t="n">
        <f aca="false">F16/F13</f>
        <v>0.734011330300647</v>
      </c>
      <c r="C34" s="77" t="n">
        <f aca="false">MAX(0.05,MIN(0.92,0.38+$B$193))</f>
        <v>0.38</v>
      </c>
      <c r="D34" s="77" t="n">
        <f aca="false">MAX(0.05,MIN(0.92,0.33+$B$193))</f>
        <v>0.33</v>
      </c>
      <c r="E34" s="77" t="n">
        <f aca="false">MAX(0.05,MIN(0.92,0.4+$B$193))</f>
        <v>0.4</v>
      </c>
      <c r="F34" s="77" t="n">
        <f aca="false">MAX(0.05,MIN(0.92,0.43+$B$193))</f>
        <v>0.43</v>
      </c>
      <c r="G34" s="77" t="n">
        <f aca="false">$B$195</f>
        <v>0.43</v>
      </c>
      <c r="H34" s="81" t="n">
        <f aca="false">G34</f>
        <v>0.43</v>
      </c>
      <c r="I34" s="49" t="s">
        <v>307</v>
      </c>
      <c r="J34" s="49"/>
      <c r="K34" s="49"/>
      <c r="L34" s="49"/>
      <c r="M34" s="49"/>
      <c r="N34" s="49"/>
    </row>
    <row r="35" customFormat="false" ht="16.5" hidden="false" customHeight="true" outlineLevel="0" collapsed="false">
      <c r="A35" s="30" t="s">
        <v>271</v>
      </c>
      <c r="B35" s="31" t="n">
        <f aca="false">B32*B34</f>
        <v>129919.952614403</v>
      </c>
      <c r="C35" s="31" t="n">
        <f aca="false">C32*C34</f>
        <v>43718.9822160014</v>
      </c>
      <c r="D35" s="31" t="n">
        <f aca="false">D32*D34</f>
        <v>34929.1657915212</v>
      </c>
      <c r="E35" s="31" t="n">
        <f aca="false">E32*E34</f>
        <v>48265.7563664656</v>
      </c>
      <c r="F35" s="31" t="n">
        <f aca="false">F32*F34</f>
        <v>58111.9706652246</v>
      </c>
      <c r="G35" s="31" t="n">
        <f aca="false">G32*G34</f>
        <v>62760.9283184425</v>
      </c>
      <c r="H35" s="82" t="n">
        <f aca="false">H32*H34</f>
        <v>64329.9515264036</v>
      </c>
      <c r="I35" s="49" t="s">
        <v>272</v>
      </c>
      <c r="J35" s="49"/>
      <c r="K35" s="49"/>
      <c r="L35" s="49"/>
      <c r="M35" s="49"/>
      <c r="N35" s="49"/>
    </row>
    <row r="36" customFormat="false" ht="16.5" hidden="false" customHeight="true" outlineLevel="0" collapsed="false">
      <c r="A36" s="30" t="s">
        <v>273</v>
      </c>
      <c r="B36" s="31" t="n">
        <f aca="false">B32*$B$199</f>
        <v>9734.99604000032</v>
      </c>
      <c r="C36" s="31" t="n">
        <f aca="false">C32*$B$199</f>
        <v>6327.74742600021</v>
      </c>
      <c r="D36" s="31" t="n">
        <f aca="false">D32*$B$199</f>
        <v>5821.52763192019</v>
      </c>
      <c r="E36" s="31" t="n">
        <f aca="false">E32*$B$199</f>
        <v>6636.54150038902</v>
      </c>
      <c r="F36" s="31" t="n">
        <f aca="false">F32*$B$199</f>
        <v>7432.9264804357</v>
      </c>
      <c r="G36" s="31" t="n">
        <f aca="false">G32*$B$199</f>
        <v>8027.56059887056</v>
      </c>
      <c r="H36" s="82" t="n">
        <f aca="false">H32*$B$199</f>
        <v>8228.24961384232</v>
      </c>
      <c r="I36" s="49" t="s">
        <v>308</v>
      </c>
      <c r="J36" s="49"/>
      <c r="K36" s="49"/>
      <c r="L36" s="49"/>
      <c r="M36" s="49"/>
      <c r="N36" s="49"/>
    </row>
    <row r="37" customFormat="false" ht="16.5" hidden="false" customHeight="true" outlineLevel="0" collapsed="false">
      <c r="A37" s="35" t="s">
        <v>275</v>
      </c>
      <c r="B37" s="36" t="n">
        <f aca="false">B35-B36</f>
        <v>120184.956574403</v>
      </c>
      <c r="C37" s="36" t="n">
        <f aca="false">C35-C36</f>
        <v>37391.2347900012</v>
      </c>
      <c r="D37" s="36" t="n">
        <f aca="false">D35-D36</f>
        <v>29107.638159601</v>
      </c>
      <c r="E37" s="36" t="n">
        <f aca="false">E35-E36</f>
        <v>41629.2148660766</v>
      </c>
      <c r="F37" s="36" t="n">
        <f aca="false">F35-F36</f>
        <v>50679.0441847889</v>
      </c>
      <c r="G37" s="36" t="n">
        <f aca="false">G35-G36</f>
        <v>54733.367719572</v>
      </c>
      <c r="H37" s="80" t="n">
        <f aca="false">H35-H36</f>
        <v>56101.7019125613</v>
      </c>
      <c r="I37" s="49" t="s">
        <v>276</v>
      </c>
      <c r="J37" s="49"/>
      <c r="K37" s="49"/>
      <c r="L37" s="49"/>
      <c r="M37" s="49"/>
      <c r="N37" s="49"/>
    </row>
    <row r="38" customFormat="false" ht="16.5" hidden="false" customHeight="true" outlineLevel="0" collapsed="false">
      <c r="A38" s="30" t="s">
        <v>277</v>
      </c>
      <c r="B38" s="77" t="n">
        <f aca="false">B37/B32</f>
        <v>0.679011330300647</v>
      </c>
      <c r="C38" s="77" t="n">
        <f aca="false">C37/C32</f>
        <v>0.325</v>
      </c>
      <c r="D38" s="77" t="n">
        <f aca="false">D37/D32</f>
        <v>0.275</v>
      </c>
      <c r="E38" s="77" t="n">
        <f aca="false">E37/E32</f>
        <v>0.345</v>
      </c>
      <c r="F38" s="77" t="n">
        <f aca="false">F37/F32</f>
        <v>0.375</v>
      </c>
      <c r="G38" s="77" t="n">
        <f aca="false">G37/G32</f>
        <v>0.375</v>
      </c>
      <c r="H38" s="81" t="n">
        <f aca="false">H37/H32</f>
        <v>0.375</v>
      </c>
      <c r="I38" s="49" t="s">
        <v>309</v>
      </c>
      <c r="J38" s="49"/>
      <c r="K38" s="49"/>
      <c r="L38" s="49"/>
      <c r="M38" s="49"/>
      <c r="N38" s="49"/>
    </row>
    <row r="39" customFormat="false" ht="16.5" hidden="false" customHeight="true" outlineLevel="0" collapsed="false">
      <c r="A39" s="30" t="s">
        <v>310</v>
      </c>
      <c r="B39" s="31" t="n">
        <f aca="false">B37*(1-$B$201)</f>
        <v>98551.6643910102</v>
      </c>
      <c r="C39" s="31" t="n">
        <f aca="false">C37*(1-$B$201)</f>
        <v>30660.812527801</v>
      </c>
      <c r="D39" s="31" t="n">
        <f aca="false">D37*(1-$B$201)</f>
        <v>23868.2632908728</v>
      </c>
      <c r="E39" s="31" t="n">
        <f aca="false">E37*(1-$B$201)</f>
        <v>34135.9561901828</v>
      </c>
      <c r="F39" s="31" t="n">
        <f aca="false">F37*(1-$B$201)</f>
        <v>41556.8162315269</v>
      </c>
      <c r="G39" s="31" t="n">
        <f aca="false">G37*(1-$B$201)</f>
        <v>44881.361530049</v>
      </c>
      <c r="H39" s="82" t="n">
        <f aca="false">H37*(1-$B$201)</f>
        <v>46003.3955683003</v>
      </c>
      <c r="I39" s="49" t="s">
        <v>311</v>
      </c>
      <c r="J39" s="49"/>
      <c r="K39" s="49"/>
      <c r="L39" s="49"/>
      <c r="M39" s="49"/>
      <c r="N39" s="49"/>
    </row>
    <row r="40" customFormat="false" ht="16.5" hidden="false" customHeight="true" outlineLevel="0" collapsed="false">
      <c r="A40" s="30" t="s">
        <v>283</v>
      </c>
      <c r="B40" s="31" t="n">
        <f aca="false">B32*$B$207</f>
        <v>18584.9924400006</v>
      </c>
      <c r="C40" s="31" t="n">
        <f aca="false">C32*$B$207</f>
        <v>12080.2450860004</v>
      </c>
      <c r="D40" s="31" t="n">
        <f aca="false">D32*$B$207</f>
        <v>11113.8254791204</v>
      </c>
      <c r="E40" s="31" t="n">
        <f aca="false">E32*$B$207</f>
        <v>12669.7610461972</v>
      </c>
      <c r="F40" s="31" t="n">
        <f aca="false">F32*$B$207</f>
        <v>14190.1323717409</v>
      </c>
      <c r="G40" s="31" t="n">
        <f aca="false">G32*$B$207</f>
        <v>15325.3429614802</v>
      </c>
      <c r="H40" s="82" t="n">
        <f aca="false">H32*$B$207</f>
        <v>15708.4765355172</v>
      </c>
      <c r="I40" s="49" t="s">
        <v>312</v>
      </c>
      <c r="J40" s="49"/>
      <c r="K40" s="49"/>
      <c r="L40" s="49"/>
      <c r="M40" s="49"/>
      <c r="N40" s="49"/>
    </row>
    <row r="41" customFormat="false" ht="16.5" hidden="false" customHeight="true" outlineLevel="0" collapsed="false">
      <c r="A41" s="30" t="s">
        <v>285</v>
      </c>
      <c r="B41" s="31" t="n">
        <f aca="false">-B32*$B$203</f>
        <v>-40709.9834400013</v>
      </c>
      <c r="C41" s="31" t="n">
        <f aca="false">-C32*$B$203</f>
        <v>-26461.4892360009</v>
      </c>
      <c r="D41" s="31" t="n">
        <f aca="false">-D32*$B$203</f>
        <v>-24344.5700971208</v>
      </c>
      <c r="E41" s="31" t="n">
        <f aca="false">-E32*$B$203</f>
        <v>-27752.8099107177</v>
      </c>
      <c r="F41" s="31" t="n">
        <f aca="false">-F32*$B$203</f>
        <v>-31083.1471000038</v>
      </c>
      <c r="G41" s="31" t="n">
        <f aca="false">-G32*$B$203</f>
        <v>-33569.7988680041</v>
      </c>
      <c r="H41" s="82" t="n">
        <f aca="false">-H32*$B$203</f>
        <v>-34409.0438397042</v>
      </c>
      <c r="I41" s="49" t="s">
        <v>313</v>
      </c>
      <c r="J41" s="49"/>
      <c r="K41" s="49"/>
      <c r="L41" s="49"/>
      <c r="M41" s="49"/>
      <c r="N41" s="49"/>
    </row>
    <row r="42" customFormat="false" ht="16.5" hidden="false" customHeight="true" outlineLevel="0" collapsed="false">
      <c r="A42" s="30" t="s">
        <v>287</v>
      </c>
      <c r="B42" s="31" t="n">
        <f aca="false">-B41*$B$205</f>
        <v>4885.19801280016</v>
      </c>
      <c r="C42" s="31" t="n">
        <f aca="false">-C41*$B$205</f>
        <v>3175.3787083201</v>
      </c>
      <c r="D42" s="31" t="n">
        <f aca="false">-D41*$B$205</f>
        <v>2921.3484116545</v>
      </c>
      <c r="E42" s="31" t="n">
        <f aca="false">-E41*$B$205</f>
        <v>3330.33718928613</v>
      </c>
      <c r="F42" s="31" t="n">
        <f aca="false">-F41*$B$205</f>
        <v>3729.97765200046</v>
      </c>
      <c r="G42" s="31" t="n">
        <f aca="false">-G41*$B$205</f>
        <v>4028.3758641605</v>
      </c>
      <c r="H42" s="82" t="n">
        <f aca="false">-H41*$B$205</f>
        <v>4129.08526076451</v>
      </c>
      <c r="I42" s="49" t="s">
        <v>314</v>
      </c>
      <c r="J42" s="49"/>
      <c r="K42" s="49"/>
      <c r="L42" s="49"/>
      <c r="M42" s="49"/>
      <c r="N42" s="49"/>
    </row>
    <row r="43" customFormat="false" ht="16.5" hidden="false" customHeight="true" outlineLevel="0" collapsed="false">
      <c r="A43" s="30" t="s">
        <v>289</v>
      </c>
      <c r="B43" s="31" t="n">
        <f aca="false">B32*$B$209</f>
        <v>30974.987400001</v>
      </c>
      <c r="C43" s="31" t="n">
        <f aca="false">C32*$B$209</f>
        <v>20133.7418100007</v>
      </c>
      <c r="D43" s="31" t="n">
        <f aca="false">D32*$B$209</f>
        <v>18523.0424652006</v>
      </c>
      <c r="E43" s="31" t="n">
        <f aca="false">E32*$B$209</f>
        <v>21116.2684103287</v>
      </c>
      <c r="F43" s="31" t="n">
        <f aca="false">F32*$B$209</f>
        <v>23650.2206195681</v>
      </c>
      <c r="G43" s="31" t="n">
        <f aca="false">G32*$B$209</f>
        <v>25542.2382691336</v>
      </c>
      <c r="H43" s="82" t="n">
        <f aca="false">H32*$B$209</f>
        <v>26180.7942258619</v>
      </c>
      <c r="I43" s="49" t="s">
        <v>315</v>
      </c>
      <c r="J43" s="49"/>
      <c r="K43" s="49"/>
      <c r="L43" s="49"/>
      <c r="M43" s="49"/>
      <c r="N43" s="49"/>
    </row>
    <row r="44" customFormat="false" ht="16.5" hidden="false" customHeight="true" outlineLevel="0" collapsed="false">
      <c r="A44" s="30" t="s">
        <v>291</v>
      </c>
      <c r="B44" s="31" t="n">
        <f aca="false">-(B43-'00-三表与联动'!E27*4*$B$209)</f>
        <v>4025.01259999899</v>
      </c>
      <c r="C44" s="31" t="n">
        <f aca="false">-(C43-B43)</f>
        <v>10841.2455900004</v>
      </c>
      <c r="D44" s="31" t="n">
        <f aca="false">-(D43-C43)</f>
        <v>1610.69934480005</v>
      </c>
      <c r="E44" s="31" t="n">
        <f aca="false">-(E43-D43)</f>
        <v>-2593.22594512809</v>
      </c>
      <c r="F44" s="31" t="n">
        <f aca="false">-(F43-E43)</f>
        <v>-2533.95220923944</v>
      </c>
      <c r="G44" s="31" t="n">
        <f aca="false">-(G43-F43)</f>
        <v>-1892.01764956545</v>
      </c>
      <c r="H44" s="82" t="n">
        <f aca="false">-(H43-G43)</f>
        <v>-638.555956728338</v>
      </c>
      <c r="I44" s="49" t="s">
        <v>316</v>
      </c>
      <c r="J44" s="49"/>
      <c r="K44" s="49"/>
      <c r="L44" s="49"/>
      <c r="M44" s="49"/>
      <c r="N44" s="49"/>
    </row>
    <row r="45" customFormat="false" ht="16.5" hidden="false" customHeight="true" outlineLevel="0" collapsed="false">
      <c r="A45" s="35" t="s">
        <v>293</v>
      </c>
      <c r="B45" s="79" t="n">
        <f aca="false">B39+B40+B41+B42+B44</f>
        <v>85336.8840038086</v>
      </c>
      <c r="C45" s="79" t="n">
        <f aca="false">C39+C40+C41+C42+C44</f>
        <v>30296.192676121</v>
      </c>
      <c r="D45" s="79" t="n">
        <f aca="false">D39+D40+D41+D42+D44</f>
        <v>15169.5664293269</v>
      </c>
      <c r="E45" s="79" t="n">
        <f aca="false">E39+E40+E41+E42+E44</f>
        <v>19790.0185698203</v>
      </c>
      <c r="F45" s="79" t="n">
        <f aca="false">F39+F40+F41+F42+F44</f>
        <v>25859.8269460249</v>
      </c>
      <c r="G45" s="79" t="n">
        <f aca="false">G39+G40+G41+G42+G44</f>
        <v>28773.2638381201</v>
      </c>
      <c r="H45" s="83" t="n">
        <f aca="false">H39+H40+H41+H42+H44</f>
        <v>30793.3575681493</v>
      </c>
      <c r="I45" s="49" t="s">
        <v>317</v>
      </c>
      <c r="J45" s="49"/>
      <c r="K45" s="49"/>
      <c r="L45" s="49"/>
      <c r="M45" s="49"/>
      <c r="N45" s="49"/>
    </row>
    <row r="46" customFormat="false" ht="16.5" hidden="false" customHeight="true" outlineLevel="0" collapsed="false">
      <c r="A46" s="30" t="s">
        <v>318</v>
      </c>
      <c r="B46" s="77" t="n">
        <f aca="false">B45/B32</f>
        <v>0.482129484277563</v>
      </c>
      <c r="C46" s="77" t="n">
        <f aca="false">C45/C32</f>
        <v>0.263330769230769</v>
      </c>
      <c r="D46" s="77" t="n">
        <f aca="false">D45/D32</f>
        <v>0.143317391304348</v>
      </c>
      <c r="E46" s="77" t="n">
        <f aca="false">E45/E32</f>
        <v>0.164008771929825</v>
      </c>
      <c r="F46" s="77" t="n">
        <f aca="false">F45/F32</f>
        <v>0.19135</v>
      </c>
      <c r="G46" s="77" t="n">
        <f aca="false">G45/G32</f>
        <v>0.197137037037037</v>
      </c>
      <c r="H46" s="81" t="n">
        <f aca="false">H45/H32</f>
        <v>0.205831707317073</v>
      </c>
      <c r="I46" s="49" t="s">
        <v>319</v>
      </c>
      <c r="J46" s="49"/>
      <c r="K46" s="49"/>
      <c r="L46" s="49"/>
      <c r="M46" s="49"/>
      <c r="N46" s="49"/>
    </row>
    <row r="47" customFormat="false" ht="16.5" hidden="false" customHeight="true" outlineLevel="0" collapsed="false">
      <c r="A47" s="30" t="s">
        <v>320</v>
      </c>
      <c r="B47" s="84" t="n">
        <f aca="false">0.5</f>
        <v>0.5</v>
      </c>
      <c r="C47" s="84" t="n">
        <f aca="false">1.5</f>
        <v>1.5</v>
      </c>
      <c r="D47" s="84" t="n">
        <f aca="false">2.5</f>
        <v>2.5</v>
      </c>
      <c r="E47" s="84" t="n">
        <f aca="false">3.5</f>
        <v>3.5</v>
      </c>
      <c r="F47" s="84" t="n">
        <f aca="false">4.5</f>
        <v>4.5</v>
      </c>
      <c r="G47" s="84" t="n">
        <f aca="false">5.5</f>
        <v>5.5</v>
      </c>
      <c r="H47" s="82" t="s">
        <v>321</v>
      </c>
      <c r="I47" s="49" t="s">
        <v>322</v>
      </c>
      <c r="J47" s="49"/>
      <c r="K47" s="49"/>
      <c r="L47" s="49"/>
      <c r="M47" s="49"/>
      <c r="N47" s="49"/>
    </row>
    <row r="48" customFormat="false" ht="16.5" hidden="false" customHeight="true" outlineLevel="0" collapsed="false">
      <c r="A48" s="30" t="s">
        <v>323</v>
      </c>
      <c r="B48" s="84" t="n">
        <f aca="false">1/(1+$B$211)^B47</f>
        <v>0.940720868383597</v>
      </c>
      <c r="C48" s="84" t="n">
        <f aca="false">1/(1+$B$211)^C47</f>
        <v>0.832496343702299</v>
      </c>
      <c r="D48" s="84" t="n">
        <f aca="false">1/(1+$B$211)^D47</f>
        <v>0.736722428055132</v>
      </c>
      <c r="E48" s="84" t="n">
        <f aca="false">1/(1+$B$211)^E47</f>
        <v>0.651966750491267</v>
      </c>
      <c r="F48" s="84" t="n">
        <f aca="false">1/(1+$B$211)^F47</f>
        <v>0.576961726098466</v>
      </c>
      <c r="G48" s="84" t="n">
        <f aca="false">1/(1+$B$211)^G47</f>
        <v>0.510585598317227</v>
      </c>
      <c r="H48" s="82" t="s">
        <v>321</v>
      </c>
      <c r="I48" s="49" t="s">
        <v>324</v>
      </c>
      <c r="J48" s="49"/>
      <c r="K48" s="49"/>
      <c r="L48" s="49"/>
      <c r="M48" s="49"/>
      <c r="N48" s="49"/>
    </row>
    <row r="49" customFormat="false" ht="16.5" hidden="false" customHeight="true" outlineLevel="0" collapsed="false">
      <c r="A49" s="35" t="s">
        <v>325</v>
      </c>
      <c r="B49" s="79" t="n">
        <f aca="false">B45*B48</f>
        <v>80278.1876252132</v>
      </c>
      <c r="C49" s="79" t="n">
        <f aca="false">C45*C48</f>
        <v>25221.4696309711</v>
      </c>
      <c r="D49" s="79" t="n">
        <f aca="false">D45*D48</f>
        <v>11175.7598123573</v>
      </c>
      <c r="E49" s="79" t="n">
        <f aca="false">E45*E48</f>
        <v>12902.4340991276</v>
      </c>
      <c r="F49" s="79" t="n">
        <f aca="false">F45*F48</f>
        <v>14920.1303913862</v>
      </c>
      <c r="G49" s="79" t="n">
        <f aca="false">G45*G48</f>
        <v>14691.214132326</v>
      </c>
      <c r="H49" s="80" t="s">
        <v>321</v>
      </c>
      <c r="I49" s="49" t="s">
        <v>326</v>
      </c>
      <c r="J49" s="49"/>
      <c r="K49" s="49"/>
      <c r="L49" s="49"/>
      <c r="M49" s="49"/>
      <c r="N49" s="49"/>
    </row>
    <row r="51" customFormat="false" ht="24" hidden="false" customHeight="true" outlineLevel="0" collapsed="false">
      <c r="A51" s="73" t="s">
        <v>327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</row>
    <row r="52" customFormat="false" ht="27" hidden="false" customHeight="true" outlineLevel="0" collapsed="false">
      <c r="A52" s="4" t="s">
        <v>328</v>
      </c>
      <c r="B52" s="4" t="s">
        <v>329</v>
      </c>
      <c r="C52" s="4"/>
      <c r="D52" s="4" t="s">
        <v>330</v>
      </c>
      <c r="E52" s="4"/>
      <c r="F52" s="4"/>
      <c r="G52" s="4"/>
      <c r="H52" s="4"/>
      <c r="I52" s="4"/>
      <c r="J52" s="4"/>
      <c r="K52" s="4"/>
      <c r="L52" s="4"/>
      <c r="M52" s="4"/>
      <c r="N52" s="4"/>
    </row>
    <row r="53" customFormat="false" ht="19.5" hidden="false" customHeight="true" outlineLevel="0" collapsed="false">
      <c r="A53" s="5" t="s">
        <v>22</v>
      </c>
      <c r="B53" s="85" t="n">
        <f aca="false">'00-三表与联动'!$B$14</f>
        <v>0.042</v>
      </c>
      <c r="C53" s="85"/>
      <c r="D53" s="48" t="s">
        <v>331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</row>
    <row r="54" customFormat="false" ht="19.5" hidden="false" customHeight="true" outlineLevel="0" collapsed="false">
      <c r="A54" s="5" t="s">
        <v>24</v>
      </c>
      <c r="B54" s="85" t="n">
        <f aca="false">'00-三表与联动'!$B$15</f>
        <v>0.05</v>
      </c>
      <c r="C54" s="85"/>
      <c r="D54" s="49" t="s">
        <v>332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</row>
    <row r="55" customFormat="false" ht="28.5" hidden="false" customHeight="true" outlineLevel="0" collapsed="false">
      <c r="A55" s="5" t="s">
        <v>333</v>
      </c>
      <c r="B55" s="86" t="n">
        <f aca="false">(B56-B53)/B54</f>
        <v>1.76</v>
      </c>
      <c r="C55" s="86"/>
      <c r="D55" s="49" t="s">
        <v>334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</row>
    <row r="56" customFormat="false" ht="19.5" hidden="false" customHeight="true" outlineLevel="0" collapsed="false">
      <c r="A56" s="5" t="s">
        <v>335</v>
      </c>
      <c r="B56" s="85" t="n">
        <f aca="false">$B$211</f>
        <v>0.13</v>
      </c>
      <c r="C56" s="85"/>
      <c r="D56" s="49" t="s">
        <v>336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</row>
    <row r="57" customFormat="false" ht="28.5" hidden="false" customHeight="true" outlineLevel="0" collapsed="false">
      <c r="A57" s="5" t="s">
        <v>337</v>
      </c>
      <c r="B57" s="87" t="n">
        <v>0.0056</v>
      </c>
      <c r="C57" s="87"/>
      <c r="D57" s="49" t="s">
        <v>338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</row>
    <row r="58" customFormat="false" ht="19.5" hidden="false" customHeight="true" outlineLevel="0" collapsed="false">
      <c r="A58" s="5" t="s">
        <v>339</v>
      </c>
      <c r="B58" s="88" t="n">
        <v>24433</v>
      </c>
      <c r="C58" s="88"/>
      <c r="D58" s="49" t="s">
        <v>340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</row>
    <row r="60" customFormat="false" ht="24" hidden="false" customHeight="true" outlineLevel="0" collapsed="false">
      <c r="A60" s="73" t="s">
        <v>341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</row>
    <row r="61" customFormat="false" ht="27" hidden="false" customHeight="true" outlineLevel="0" collapsed="false">
      <c r="A61" s="4" t="s">
        <v>342</v>
      </c>
      <c r="B61" s="4" t="s">
        <v>343</v>
      </c>
      <c r="C61" s="4"/>
      <c r="D61" s="4" t="s">
        <v>344</v>
      </c>
      <c r="E61" s="4"/>
      <c r="F61" s="4"/>
      <c r="G61" s="4"/>
      <c r="H61" s="4"/>
      <c r="I61" s="4"/>
      <c r="J61" s="4"/>
      <c r="K61" s="4"/>
      <c r="L61" s="4"/>
      <c r="M61" s="4"/>
      <c r="N61" s="4"/>
    </row>
    <row r="62" customFormat="false" ht="18.75" hidden="false" customHeight="true" outlineLevel="0" collapsed="false">
      <c r="A62" s="62" t="s">
        <v>345</v>
      </c>
      <c r="B62" s="89" t="n">
        <f aca="false">SUM(B49:G49)</f>
        <v>159189.195691381</v>
      </c>
      <c r="C62" s="89"/>
      <c r="D62" s="48" t="s">
        <v>346</v>
      </c>
      <c r="E62" s="48"/>
      <c r="F62" s="48"/>
      <c r="G62" s="48"/>
      <c r="H62" s="48"/>
      <c r="I62" s="48"/>
      <c r="J62" s="48"/>
      <c r="K62" s="48"/>
      <c r="L62" s="48"/>
      <c r="M62" s="48"/>
      <c r="N62" s="48"/>
    </row>
    <row r="63" customFormat="false" ht="18.75" hidden="false" customHeight="true" outlineLevel="0" collapsed="false">
      <c r="A63" s="62" t="s">
        <v>347</v>
      </c>
      <c r="B63" s="89" t="n">
        <f aca="false">H45/($B$211-$B$213)</f>
        <v>293270.072077613</v>
      </c>
      <c r="C63" s="89"/>
      <c r="D63" s="49" t="s">
        <v>348</v>
      </c>
      <c r="E63" s="49"/>
      <c r="F63" s="49"/>
      <c r="G63" s="49"/>
      <c r="H63" s="49"/>
      <c r="I63" s="49"/>
      <c r="J63" s="49"/>
      <c r="K63" s="49"/>
      <c r="L63" s="49"/>
      <c r="M63" s="49"/>
      <c r="N63" s="49"/>
    </row>
    <row r="64" customFormat="false" ht="18.75" hidden="false" customHeight="true" outlineLevel="0" collapsed="false">
      <c r="A64" s="62" t="s">
        <v>349</v>
      </c>
      <c r="B64" s="89" t="n">
        <f aca="false">B63*G48/(1+$B$211)^0.5</f>
        <v>140863.04916053</v>
      </c>
      <c r="C64" s="89"/>
      <c r="D64" s="49" t="s">
        <v>350</v>
      </c>
      <c r="E64" s="49"/>
      <c r="F64" s="49"/>
      <c r="G64" s="49"/>
      <c r="H64" s="49"/>
      <c r="I64" s="49"/>
      <c r="J64" s="49"/>
      <c r="K64" s="49"/>
      <c r="L64" s="49"/>
      <c r="M64" s="49"/>
      <c r="N64" s="49"/>
    </row>
    <row r="65" customFormat="false" ht="18.75" hidden="false" customHeight="true" outlineLevel="0" collapsed="false">
      <c r="A65" s="62" t="s">
        <v>351</v>
      </c>
      <c r="B65" s="90" t="n">
        <f aca="false">B64/B66</f>
        <v>0.469461740671368</v>
      </c>
      <c r="C65" s="90"/>
      <c r="D65" s="49" t="s">
        <v>352</v>
      </c>
      <c r="E65" s="49"/>
      <c r="F65" s="49"/>
      <c r="G65" s="49"/>
      <c r="H65" s="49"/>
      <c r="I65" s="49"/>
      <c r="J65" s="49"/>
      <c r="K65" s="49"/>
      <c r="L65" s="49"/>
      <c r="M65" s="49"/>
      <c r="N65" s="49"/>
    </row>
    <row r="66" customFormat="false" ht="18.75" hidden="false" customHeight="true" outlineLevel="0" collapsed="false">
      <c r="A66" s="62" t="s">
        <v>353</v>
      </c>
      <c r="B66" s="89" t="n">
        <f aca="false">B62+B64</f>
        <v>300052.244851911</v>
      </c>
      <c r="C66" s="89"/>
      <c r="D66" s="49" t="s">
        <v>354</v>
      </c>
      <c r="E66" s="49"/>
      <c r="F66" s="49"/>
      <c r="G66" s="49"/>
      <c r="H66" s="49"/>
      <c r="I66" s="49"/>
      <c r="J66" s="49"/>
      <c r="K66" s="49"/>
      <c r="L66" s="49"/>
      <c r="M66" s="49"/>
      <c r="N66" s="49"/>
    </row>
    <row r="67" customFormat="false" ht="18.75" hidden="false" customHeight="true" outlineLevel="0" collapsed="false">
      <c r="A67" s="62" t="s">
        <v>355</v>
      </c>
      <c r="B67" s="89" t="n">
        <f aca="false">'00-三表与联动'!$B$10</f>
        <v>30155</v>
      </c>
      <c r="C67" s="89"/>
      <c r="D67" s="48" t="s">
        <v>356</v>
      </c>
      <c r="E67" s="48"/>
      <c r="F67" s="48"/>
      <c r="G67" s="48"/>
      <c r="H67" s="48"/>
      <c r="I67" s="48"/>
      <c r="J67" s="48"/>
      <c r="K67" s="48"/>
      <c r="L67" s="48"/>
      <c r="M67" s="48"/>
      <c r="N67" s="48"/>
    </row>
    <row r="68" customFormat="false" ht="18.75" hidden="false" customHeight="true" outlineLevel="0" collapsed="false">
      <c r="A68" s="62" t="s">
        <v>357</v>
      </c>
      <c r="B68" s="89" t="n">
        <v>0</v>
      </c>
      <c r="C68" s="89"/>
      <c r="D68" s="48" t="s">
        <v>358</v>
      </c>
      <c r="E68" s="48"/>
      <c r="F68" s="48"/>
      <c r="G68" s="48"/>
      <c r="H68" s="48"/>
      <c r="I68" s="48"/>
      <c r="J68" s="48"/>
      <c r="K68" s="48"/>
      <c r="L68" s="48"/>
      <c r="M68" s="48"/>
      <c r="N68" s="48"/>
    </row>
    <row r="69" customFormat="false" ht="18.75" hidden="false" customHeight="true" outlineLevel="0" collapsed="false">
      <c r="A69" s="62" t="s">
        <v>359</v>
      </c>
      <c r="B69" s="89" t="n">
        <f aca="false">-'00-三表与联动'!$B$11</f>
        <v>-5722</v>
      </c>
      <c r="C69" s="89"/>
      <c r="D69" s="48" t="s">
        <v>360</v>
      </c>
      <c r="E69" s="48"/>
      <c r="F69" s="48"/>
      <c r="G69" s="48"/>
      <c r="H69" s="48"/>
      <c r="I69" s="48"/>
      <c r="J69" s="48"/>
      <c r="K69" s="48"/>
      <c r="L69" s="48"/>
      <c r="M69" s="48"/>
      <c r="N69" s="48"/>
    </row>
    <row r="70" customFormat="false" ht="18.75" hidden="false" customHeight="true" outlineLevel="0" collapsed="false">
      <c r="A70" s="62" t="s">
        <v>361</v>
      </c>
      <c r="B70" s="89" t="n">
        <f aca="false">B66+B67+B68+B69</f>
        <v>324485.244851911</v>
      </c>
      <c r="C70" s="89"/>
      <c r="D70" s="49" t="s">
        <v>362</v>
      </c>
      <c r="E70" s="49"/>
      <c r="F70" s="49"/>
      <c r="G70" s="49"/>
      <c r="H70" s="49"/>
      <c r="I70" s="49"/>
      <c r="J70" s="49"/>
      <c r="K70" s="49"/>
      <c r="L70" s="49"/>
      <c r="M70" s="49"/>
      <c r="N70" s="49"/>
    </row>
    <row r="71" customFormat="false" ht="18.75" hidden="false" customHeight="true" outlineLevel="0" collapsed="false">
      <c r="A71" s="62" t="s">
        <v>363</v>
      </c>
      <c r="B71" s="91" t="n">
        <f aca="false">'00-三表与联动'!$B$9</f>
        <v>1150</v>
      </c>
      <c r="C71" s="91"/>
      <c r="D71" s="49" t="s">
        <v>364</v>
      </c>
      <c r="E71" s="49"/>
      <c r="F71" s="49"/>
      <c r="G71" s="49"/>
      <c r="H71" s="49"/>
      <c r="I71" s="49"/>
      <c r="J71" s="49"/>
      <c r="K71" s="49"/>
      <c r="L71" s="49"/>
      <c r="M71" s="49"/>
      <c r="N71" s="49"/>
    </row>
    <row r="72" customFormat="false" ht="24" hidden="false" customHeight="true" outlineLevel="0" collapsed="false">
      <c r="A72" s="92" t="s">
        <v>365</v>
      </c>
      <c r="B72" s="93" t="n">
        <f aca="false">B70/B71</f>
        <v>282.161082479923</v>
      </c>
      <c r="C72" s="93"/>
      <c r="D72" s="49" t="s">
        <v>366</v>
      </c>
      <c r="E72" s="49"/>
      <c r="F72" s="49"/>
      <c r="G72" s="49"/>
      <c r="H72" s="49"/>
      <c r="I72" s="49"/>
      <c r="J72" s="49"/>
      <c r="K72" s="49"/>
      <c r="L72" s="49"/>
      <c r="M72" s="49"/>
      <c r="N72" s="49"/>
    </row>
    <row r="73" customFormat="false" ht="18.75" hidden="false" customHeight="true" outlineLevel="0" collapsed="false">
      <c r="A73" s="62" t="s">
        <v>367</v>
      </c>
      <c r="B73" s="94" t="n">
        <f aca="false">'00-三表与联动'!$B$6</f>
        <v>903.09</v>
      </c>
      <c r="C73" s="94"/>
      <c r="D73" s="48" t="s">
        <v>368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 customFormat="false" ht="24" hidden="false" customHeight="true" outlineLevel="0" collapsed="false">
      <c r="A74" s="92" t="s">
        <v>369</v>
      </c>
      <c r="B74" s="95" t="n">
        <f aca="false">B72/B73-1</f>
        <v>-0.6875603954424</v>
      </c>
      <c r="C74" s="95"/>
      <c r="D74" s="49" t="s">
        <v>370</v>
      </c>
      <c r="E74" s="49"/>
      <c r="F74" s="49"/>
      <c r="G74" s="49"/>
      <c r="H74" s="49"/>
      <c r="I74" s="49"/>
      <c r="J74" s="49"/>
      <c r="K74" s="49"/>
      <c r="L74" s="49"/>
      <c r="M74" s="49"/>
      <c r="N74" s="49"/>
    </row>
    <row r="75" customFormat="false" ht="20.25" hidden="false" customHeight="true" outlineLevel="0" collapsed="false">
      <c r="A75" s="29" t="s">
        <v>371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</row>
    <row r="77" customFormat="false" ht="24" hidden="false" customHeight="true" outlineLevel="0" collapsed="false">
      <c r="A77" s="73" t="s">
        <v>372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</row>
    <row r="78" customFormat="false" ht="27" hidden="false" customHeight="true" outlineLevel="0" collapsed="false">
      <c r="A78" s="4" t="s">
        <v>373</v>
      </c>
      <c r="B78" s="4" t="s">
        <v>374</v>
      </c>
      <c r="C78" s="4"/>
      <c r="D78" s="4" t="s">
        <v>375</v>
      </c>
      <c r="E78" s="4"/>
      <c r="F78" s="4" t="s">
        <v>94</v>
      </c>
      <c r="G78" s="4"/>
      <c r="H78" s="4"/>
      <c r="I78" s="4"/>
      <c r="J78" s="4"/>
      <c r="K78" s="4"/>
      <c r="L78" s="4"/>
      <c r="M78" s="4"/>
      <c r="N78" s="4"/>
    </row>
    <row r="79" customFormat="false" ht="19.5" hidden="false" customHeight="true" outlineLevel="0" collapsed="false">
      <c r="A79" s="5" t="s">
        <v>376</v>
      </c>
      <c r="B79" s="34"/>
      <c r="C79" s="34"/>
      <c r="D79" s="96" t="n">
        <f aca="false">B63/(G37+G40)</f>
        <v>4.18606150793651</v>
      </c>
      <c r="E79" s="96"/>
      <c r="F79" s="49" t="s">
        <v>377</v>
      </c>
      <c r="G79" s="49"/>
      <c r="H79" s="49"/>
      <c r="I79" s="49"/>
      <c r="J79" s="49"/>
      <c r="K79" s="49"/>
      <c r="L79" s="49"/>
      <c r="M79" s="49"/>
      <c r="N79" s="49"/>
    </row>
    <row r="80" customFormat="false" ht="19.5" hidden="false" customHeight="true" outlineLevel="0" collapsed="false">
      <c r="A80" s="5" t="s">
        <v>378</v>
      </c>
      <c r="B80" s="34"/>
      <c r="C80" s="34"/>
      <c r="D80" s="96" t="n">
        <f aca="false">B63/G32</f>
        <v>2.00930952380952</v>
      </c>
      <c r="E80" s="96"/>
      <c r="F80" s="49" t="s">
        <v>379</v>
      </c>
      <c r="G80" s="49"/>
      <c r="H80" s="49"/>
      <c r="I80" s="49"/>
      <c r="J80" s="49"/>
      <c r="K80" s="49"/>
      <c r="L80" s="49"/>
      <c r="M80" s="49"/>
      <c r="N80" s="49"/>
    </row>
    <row r="81" customFormat="false" ht="19.5" hidden="false" customHeight="true" outlineLevel="0" collapsed="false">
      <c r="A81" s="5" t="s">
        <v>380</v>
      </c>
      <c r="B81" s="34"/>
      <c r="C81" s="34"/>
      <c r="D81" s="97" t="n">
        <f aca="false">B72/(F27/'00-三表与联动'!$B$9)</f>
        <v>3.48115719729957</v>
      </c>
      <c r="E81" s="97"/>
      <c r="F81" s="49" t="s">
        <v>381</v>
      </c>
      <c r="G81" s="49"/>
      <c r="H81" s="49"/>
      <c r="I81" s="49"/>
      <c r="J81" s="49"/>
      <c r="K81" s="49"/>
      <c r="L81" s="49"/>
      <c r="M81" s="49"/>
      <c r="N81" s="49"/>
    </row>
    <row r="82" customFormat="false" ht="19.5" hidden="false" customHeight="true" outlineLevel="0" collapsed="false">
      <c r="A82" s="5" t="s">
        <v>382</v>
      </c>
      <c r="B82" s="34"/>
      <c r="C82" s="34"/>
      <c r="D82" s="97" t="n">
        <f aca="false">'00-三表与联动'!$B$6/(F27/'00-三表与联动'!$B$9)</f>
        <v>11.1418563668608</v>
      </c>
      <c r="E82" s="97"/>
      <c r="F82" s="49" t="s">
        <v>383</v>
      </c>
      <c r="G82" s="49"/>
      <c r="H82" s="49"/>
      <c r="I82" s="49"/>
      <c r="J82" s="49"/>
      <c r="K82" s="49"/>
      <c r="L82" s="49"/>
      <c r="M82" s="49"/>
      <c r="N82" s="49"/>
    </row>
    <row r="83" customFormat="false" ht="19.5" hidden="false" customHeight="true" outlineLevel="0" collapsed="false">
      <c r="A83" s="5" t="s">
        <v>384</v>
      </c>
      <c r="B83" s="34"/>
      <c r="C83" s="34"/>
      <c r="D83" s="96" t="n">
        <f aca="false">'00-三表与联动'!$B$6*'00-三表与联动'!$B$9/B70</f>
        <v>3.20061856887815</v>
      </c>
      <c r="E83" s="96"/>
      <c r="F83" s="49" t="s">
        <v>385</v>
      </c>
      <c r="G83" s="49"/>
      <c r="H83" s="49"/>
      <c r="I83" s="49"/>
      <c r="J83" s="49"/>
      <c r="K83" s="49"/>
      <c r="L83" s="49"/>
      <c r="M83" s="49"/>
      <c r="N83" s="49"/>
    </row>
    <row r="85" customFormat="false" ht="24" hidden="false" customHeight="true" outlineLevel="0" collapsed="false">
      <c r="A85" s="73" t="s">
        <v>386</v>
      </c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</row>
    <row r="86" customFormat="false" ht="33" hidden="false" customHeight="true" outlineLevel="0" collapsed="false">
      <c r="A86" s="74" t="s">
        <v>387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</row>
    <row r="87" customFormat="false" ht="33" hidden="false" customHeight="true" outlineLevel="0" collapsed="false">
      <c r="A87" s="29" t="s">
        <v>388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</row>
    <row r="88" customFormat="false" ht="33" hidden="false" customHeight="true" outlineLevel="0" collapsed="false">
      <c r="A88" s="29" t="s">
        <v>389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</row>
    <row r="89" customFormat="false" ht="27" hidden="false" customHeight="true" outlineLevel="0" collapsed="false">
      <c r="A89" s="4" t="s">
        <v>390</v>
      </c>
      <c r="B89" s="14" t="s">
        <v>297</v>
      </c>
      <c r="C89" s="14" t="s">
        <v>298</v>
      </c>
      <c r="D89" s="14" t="s">
        <v>299</v>
      </c>
      <c r="E89" s="14" t="s">
        <v>300</v>
      </c>
      <c r="F89" s="14" t="s">
        <v>301</v>
      </c>
      <c r="G89" s="14" t="s">
        <v>302</v>
      </c>
      <c r="H89" s="4" t="s">
        <v>5</v>
      </c>
      <c r="I89" s="4"/>
      <c r="J89" s="4"/>
      <c r="K89" s="4"/>
      <c r="L89" s="4"/>
      <c r="M89" s="4"/>
      <c r="N89" s="4"/>
    </row>
    <row r="90" customFormat="false" ht="16.5" hidden="false" customHeight="true" outlineLevel="0" collapsed="false">
      <c r="A90" s="30" t="s">
        <v>391</v>
      </c>
      <c r="B90" s="31" t="n">
        <f aca="false">B45</f>
        <v>85336.8840038086</v>
      </c>
      <c r="C90" s="31" t="n">
        <f aca="false">C45</f>
        <v>30296.192676121</v>
      </c>
      <c r="D90" s="31" t="n">
        <f aca="false">D45</f>
        <v>15169.5664293269</v>
      </c>
      <c r="E90" s="31" t="n">
        <f aca="false">E45</f>
        <v>19790.0185698203</v>
      </c>
      <c r="F90" s="31" t="n">
        <f aca="false">F45</f>
        <v>25859.8269460249</v>
      </c>
      <c r="G90" s="31" t="n">
        <f aca="false">G45</f>
        <v>28773.2638381201</v>
      </c>
      <c r="H90" s="49" t="s">
        <v>392</v>
      </c>
      <c r="I90" s="49"/>
      <c r="J90" s="49"/>
      <c r="K90" s="49"/>
      <c r="L90" s="49"/>
      <c r="M90" s="49"/>
      <c r="N90" s="49"/>
    </row>
    <row r="91" customFormat="false" ht="16.5" hidden="false" customHeight="true" outlineLevel="0" collapsed="false">
      <c r="A91" s="98" t="s">
        <v>393</v>
      </c>
      <c r="B91" s="46" t="n">
        <f aca="false">$B$133</f>
        <v>1</v>
      </c>
      <c r="C91" s="46" t="n">
        <f aca="false">$B$133</f>
        <v>1</v>
      </c>
      <c r="D91" s="46" t="n">
        <f aca="false">$B$133</f>
        <v>1</v>
      </c>
      <c r="E91" s="46" t="n">
        <f aca="false">$B$133</f>
        <v>1</v>
      </c>
      <c r="F91" s="46" t="n">
        <f aca="false">$B$133</f>
        <v>1</v>
      </c>
      <c r="G91" s="46" t="n">
        <f aca="false">$B$133</f>
        <v>1</v>
      </c>
      <c r="H91" s="49" t="s">
        <v>394</v>
      </c>
      <c r="I91" s="49"/>
      <c r="J91" s="49"/>
      <c r="K91" s="49"/>
      <c r="L91" s="49"/>
      <c r="M91" s="49"/>
      <c r="N91" s="49"/>
    </row>
    <row r="92" customFormat="false" ht="16.5" hidden="false" customHeight="true" outlineLevel="0" collapsed="false">
      <c r="A92" s="30" t="s">
        <v>395</v>
      </c>
      <c r="B92" s="31" t="n">
        <f aca="false">MAX(0,B90*B91)</f>
        <v>85336.8840038086</v>
      </c>
      <c r="C92" s="31" t="n">
        <f aca="false">MAX(0,C90*C91)</f>
        <v>30296.192676121</v>
      </c>
      <c r="D92" s="31" t="n">
        <f aca="false">MAX(0,D90*D91)</f>
        <v>15169.5664293269</v>
      </c>
      <c r="E92" s="31" t="n">
        <f aca="false">MAX(0,E90*E91)</f>
        <v>19790.0185698203</v>
      </c>
      <c r="F92" s="31" t="n">
        <f aca="false">MAX(0,F90*F91)</f>
        <v>25859.8269460249</v>
      </c>
      <c r="G92" s="31" t="n">
        <f aca="false">MAX(0,G90*G91)</f>
        <v>28773.2638381201</v>
      </c>
      <c r="H92" s="49" t="s">
        <v>396</v>
      </c>
      <c r="I92" s="49"/>
      <c r="J92" s="49"/>
      <c r="K92" s="49"/>
      <c r="L92" s="49"/>
      <c r="M92" s="49"/>
      <c r="N92" s="49"/>
    </row>
    <row r="93" customFormat="false" ht="16.5" hidden="false" customHeight="true" outlineLevel="0" collapsed="false">
      <c r="A93" s="30" t="s">
        <v>397</v>
      </c>
      <c r="B93" s="99" t="n">
        <f aca="false">'00-三表与联动'!$B$6*$B$135*(1+$B$211)^0.5</f>
        <v>959.997838202253</v>
      </c>
      <c r="C93" s="99" t="n">
        <f aca="false">'00-三表与联动'!$B$6*$B$135*(1+$B$211)^1.5</f>
        <v>1084.79755716855</v>
      </c>
      <c r="D93" s="99" t="n">
        <f aca="false">'00-三表与联动'!$B$6*$B$135*(1+$B$211)^2.5</f>
        <v>1225.82123960046</v>
      </c>
      <c r="E93" s="99" t="n">
        <f aca="false">'00-三表与联动'!$B$6*$B$135*(1+$B$211)^3.5</f>
        <v>1385.17800074852</v>
      </c>
      <c r="F93" s="99" t="n">
        <f aca="false">'00-三表与联动'!$B$6*$B$135*(1+$B$211)^4.5</f>
        <v>1565.25114084582</v>
      </c>
      <c r="G93" s="99" t="n">
        <f aca="false">'00-三表与联动'!$B$6*$B$135*(1+$B$211)^5.5</f>
        <v>1768.73378915578</v>
      </c>
      <c r="H93" s="49" t="s">
        <v>398</v>
      </c>
      <c r="I93" s="49"/>
      <c r="J93" s="49"/>
      <c r="K93" s="49"/>
      <c r="L93" s="49"/>
      <c r="M93" s="49"/>
      <c r="N93" s="49"/>
    </row>
    <row r="94" customFormat="false" ht="16.5" hidden="false" customHeight="true" outlineLevel="0" collapsed="false">
      <c r="A94" s="30" t="s">
        <v>399</v>
      </c>
      <c r="B94" s="100" t="n">
        <f aca="false">B92/B93</f>
        <v>88.8927876792049</v>
      </c>
      <c r="C94" s="100" t="n">
        <f aca="false">C92/C93</f>
        <v>27.9279691182175</v>
      </c>
      <c r="D94" s="100" t="n">
        <f aca="false">D92/D93</f>
        <v>12.3750233225452</v>
      </c>
      <c r="E94" s="100" t="n">
        <f aca="false">E92/E93</f>
        <v>14.286985902986</v>
      </c>
      <c r="F94" s="100" t="n">
        <f aca="false">F92/F93</f>
        <v>16.5211998708724</v>
      </c>
      <c r="G94" s="100" t="n">
        <f aca="false">G92/G93</f>
        <v>16.267718757074</v>
      </c>
      <c r="H94" s="49" t="s">
        <v>400</v>
      </c>
      <c r="I94" s="49"/>
      <c r="J94" s="49"/>
      <c r="K94" s="49"/>
      <c r="L94" s="49"/>
      <c r="M94" s="49"/>
      <c r="N94" s="49"/>
    </row>
    <row r="95" customFormat="false" ht="16.5" hidden="false" customHeight="true" outlineLevel="0" collapsed="false">
      <c r="A95" s="30" t="s">
        <v>401</v>
      </c>
      <c r="B95" s="100" t="n">
        <f aca="false">B32*0.0115/B93</f>
        <v>2.12031641218261</v>
      </c>
      <c r="C95" s="100" t="n">
        <f aca="false">C32*0.0115/C93</f>
        <v>1.21965103355637</v>
      </c>
      <c r="D95" s="100" t="n">
        <f aca="false">D32*0.0115/D93</f>
        <v>0.992990222010496</v>
      </c>
      <c r="E95" s="100" t="n">
        <f aca="false">E32*0.0115/E93</f>
        <v>1.00177774609908</v>
      </c>
      <c r="F95" s="100" t="n">
        <f aca="false">F32*0.0115/F93</f>
        <v>0.992912456310598</v>
      </c>
      <c r="G95" s="100" t="n">
        <f aca="false">G32*0.0115/G93</f>
        <v>0.948978276827828</v>
      </c>
      <c r="H95" s="49" t="s">
        <v>402</v>
      </c>
      <c r="I95" s="49"/>
      <c r="J95" s="49"/>
      <c r="K95" s="49"/>
      <c r="L95" s="49"/>
      <c r="M95" s="49"/>
      <c r="N95" s="49"/>
    </row>
    <row r="96" customFormat="false" ht="16.5" hidden="false" customHeight="true" outlineLevel="0" collapsed="false">
      <c r="A96" s="30" t="s">
        <v>403</v>
      </c>
      <c r="B96" s="100" t="n">
        <f aca="false">'00-三表与联动'!$B$9</f>
        <v>1150</v>
      </c>
      <c r="C96" s="100" t="n">
        <f aca="false">B97</f>
        <v>1063.22752873298</v>
      </c>
      <c r="D96" s="100" t="n">
        <f aca="false">C97</f>
        <v>1036.51921064832</v>
      </c>
      <c r="E96" s="100" t="n">
        <f aca="false">D97</f>
        <v>1025.13717754778</v>
      </c>
      <c r="F96" s="100" t="n">
        <f aca="false">E97</f>
        <v>1011.8519693909</v>
      </c>
      <c r="G96" s="100" t="n">
        <f aca="false">F97</f>
        <v>996.323681976333</v>
      </c>
      <c r="H96" s="48" t="s">
        <v>404</v>
      </c>
      <c r="I96" s="48"/>
      <c r="J96" s="48"/>
      <c r="K96" s="48"/>
      <c r="L96" s="48"/>
      <c r="M96" s="48"/>
      <c r="N96" s="48"/>
    </row>
    <row r="97" customFormat="false" ht="16.5" hidden="false" customHeight="true" outlineLevel="0" collapsed="false">
      <c r="A97" s="35" t="s">
        <v>405</v>
      </c>
      <c r="B97" s="101" t="n">
        <f aca="false">MAX(20,B96-B94+B95)</f>
        <v>1063.22752873298</v>
      </c>
      <c r="C97" s="101" t="n">
        <f aca="false">MAX(20,C96-C94+C95)</f>
        <v>1036.51921064832</v>
      </c>
      <c r="D97" s="101" t="n">
        <f aca="false">MAX(20,D96-D94+D95)</f>
        <v>1025.13717754778</v>
      </c>
      <c r="E97" s="101" t="n">
        <f aca="false">MAX(20,E96-E94+E95)</f>
        <v>1011.8519693909</v>
      </c>
      <c r="F97" s="101" t="n">
        <f aca="false">MAX(20,F96-F94+F95)</f>
        <v>996.323681976333</v>
      </c>
      <c r="G97" s="101" t="n">
        <f aca="false">MAX(20,G96-G94+G95)</f>
        <v>981.004941496087</v>
      </c>
      <c r="H97" s="49" t="s">
        <v>406</v>
      </c>
      <c r="I97" s="49"/>
      <c r="J97" s="49"/>
      <c r="K97" s="49"/>
      <c r="L97" s="49"/>
      <c r="M97" s="49"/>
      <c r="N97" s="49"/>
    </row>
    <row r="98" customFormat="false" ht="16.5" hidden="false" customHeight="true" outlineLevel="0" collapsed="false">
      <c r="A98" s="30" t="s">
        <v>407</v>
      </c>
      <c r="B98" s="31" t="n">
        <f aca="false">('00-三表与联动'!$B$10-'00-三表与联动'!$B$11)+B90-B92</f>
        <v>24433</v>
      </c>
      <c r="C98" s="31" t="n">
        <f aca="false">B98+C90-C92</f>
        <v>24433</v>
      </c>
      <c r="D98" s="31" t="n">
        <f aca="false">C98+D90-D92</f>
        <v>24433</v>
      </c>
      <c r="E98" s="31" t="n">
        <f aca="false">D98+E90-E92</f>
        <v>24433</v>
      </c>
      <c r="F98" s="31" t="n">
        <f aca="false">E98+F90-F92</f>
        <v>24433</v>
      </c>
      <c r="G98" s="31" t="n">
        <f aca="false">F98+G90-G92</f>
        <v>24433</v>
      </c>
      <c r="H98" s="49" t="s">
        <v>408</v>
      </c>
      <c r="I98" s="49"/>
      <c r="J98" s="49"/>
      <c r="K98" s="49"/>
      <c r="L98" s="49"/>
      <c r="M98" s="49"/>
      <c r="N98" s="49"/>
    </row>
    <row r="99" customFormat="false" ht="16.5" hidden="false" customHeight="true" outlineLevel="0" collapsed="false">
      <c r="A99" s="30" t="s">
        <v>310</v>
      </c>
      <c r="B99" s="31" t="n">
        <f aca="false">B39</f>
        <v>98551.6643910102</v>
      </c>
      <c r="C99" s="31" t="n">
        <f aca="false">C39</f>
        <v>30660.812527801</v>
      </c>
      <c r="D99" s="31" t="n">
        <f aca="false">D39</f>
        <v>23868.2632908728</v>
      </c>
      <c r="E99" s="31" t="n">
        <f aca="false">E39</f>
        <v>34135.9561901828</v>
      </c>
      <c r="F99" s="31" t="n">
        <f aca="false">F39</f>
        <v>41556.8162315269</v>
      </c>
      <c r="G99" s="31" t="n">
        <f aca="false">G39</f>
        <v>44881.361530049</v>
      </c>
      <c r="H99" s="49" t="s">
        <v>409</v>
      </c>
      <c r="I99" s="49"/>
      <c r="J99" s="49"/>
      <c r="K99" s="49"/>
      <c r="L99" s="49"/>
      <c r="M99" s="49"/>
      <c r="N99" s="49"/>
    </row>
    <row r="100" customFormat="false" ht="16.5" hidden="false" customHeight="true" outlineLevel="0" collapsed="false">
      <c r="A100" s="35" t="s">
        <v>410</v>
      </c>
      <c r="B100" s="102" t="n">
        <f aca="false">B99/B97</f>
        <v>92.6910390558189</v>
      </c>
      <c r="C100" s="102" t="n">
        <f aca="false">C99/C97</f>
        <v>29.5805540435893</v>
      </c>
      <c r="D100" s="102" t="n">
        <f aca="false">D99/D97</f>
        <v>23.2829945236868</v>
      </c>
      <c r="E100" s="102" t="n">
        <f aca="false">E99/E97</f>
        <v>33.7361167668939</v>
      </c>
      <c r="F100" s="102" t="n">
        <f aca="false">F99/F97</f>
        <v>41.7101560299096</v>
      </c>
      <c r="G100" s="102" t="n">
        <f aca="false">G99/G97</f>
        <v>45.7503929201442</v>
      </c>
      <c r="H100" s="49" t="s">
        <v>411</v>
      </c>
      <c r="I100" s="49"/>
      <c r="J100" s="49"/>
      <c r="K100" s="49"/>
      <c r="L100" s="49"/>
      <c r="M100" s="49"/>
      <c r="N100" s="49"/>
    </row>
    <row r="101" customFormat="false" ht="16.5" hidden="false" customHeight="true" outlineLevel="0" collapsed="false">
      <c r="A101" s="30" t="s">
        <v>412</v>
      </c>
      <c r="B101" s="103" t="n">
        <f aca="false">B98/B97</f>
        <v>22.9800295230469</v>
      </c>
      <c r="C101" s="103" t="n">
        <f aca="false">C98/C97</f>
        <v>23.572163206428</v>
      </c>
      <c r="D101" s="103" t="n">
        <f aca="false">D98/D97</f>
        <v>23.8338834403079</v>
      </c>
      <c r="E101" s="103" t="n">
        <f aca="false">E98/E97</f>
        <v>24.1468127148163</v>
      </c>
      <c r="F101" s="103" t="n">
        <f aca="false">F98/F97</f>
        <v>24.5231549164164</v>
      </c>
      <c r="G101" s="103" t="n">
        <f aca="false">G98/G97</f>
        <v>24.9060926877069</v>
      </c>
      <c r="H101" s="49" t="s">
        <v>413</v>
      </c>
      <c r="I101" s="49"/>
      <c r="J101" s="49"/>
      <c r="K101" s="49"/>
      <c r="L101" s="49"/>
      <c r="M101" s="49"/>
      <c r="N101" s="49"/>
    </row>
    <row r="102" customFormat="false" ht="16.5" hidden="false" customHeight="true" outlineLevel="0" collapsed="false">
      <c r="A102" s="35" t="s">
        <v>414</v>
      </c>
      <c r="B102" s="104" t="n">
        <f aca="false">$B$137</f>
        <v>4</v>
      </c>
      <c r="C102" s="104" t="n">
        <f aca="false">$B$139</f>
        <v>7</v>
      </c>
      <c r="D102" s="104" t="n">
        <f aca="false">$B$139+($B$141-$B$139)*1/4</f>
        <v>7.5</v>
      </c>
      <c r="E102" s="104" t="n">
        <f aca="false">$B$139+($B$141-$B$139)*2/4</f>
        <v>8</v>
      </c>
      <c r="F102" s="104" t="n">
        <f aca="false">$B$139+($B$141-$B$139)*3/4</f>
        <v>8.5</v>
      </c>
      <c r="G102" s="104" t="n">
        <f aca="false">$B$141</f>
        <v>9</v>
      </c>
      <c r="H102" s="48" t="s">
        <v>415</v>
      </c>
      <c r="I102" s="48"/>
      <c r="J102" s="48"/>
      <c r="K102" s="48"/>
      <c r="L102" s="48"/>
      <c r="M102" s="48"/>
      <c r="N102" s="48"/>
    </row>
    <row r="103" customFormat="false" ht="16.5" hidden="false" customHeight="true" outlineLevel="0" collapsed="false">
      <c r="A103" s="35" t="s">
        <v>416</v>
      </c>
      <c r="B103" s="105" t="n">
        <f aca="false">B100*B102+B101</f>
        <v>393.744185746322</v>
      </c>
      <c r="C103" s="105" t="n">
        <f aca="false">C100*C102+C101</f>
        <v>230.636041511553</v>
      </c>
      <c r="D103" s="105" t="n">
        <f aca="false">D100*D102+D101</f>
        <v>198.456342367959</v>
      </c>
      <c r="E103" s="105" t="n">
        <f aca="false">E100*E102+E101</f>
        <v>294.035746849968</v>
      </c>
      <c r="F103" s="105" t="n">
        <f aca="false">F100*F102+F101</f>
        <v>379.059481170648</v>
      </c>
      <c r="G103" s="105" t="n">
        <f aca="false">G100*G102+G101</f>
        <v>436.659628969005</v>
      </c>
      <c r="H103" s="49" t="s">
        <v>417</v>
      </c>
      <c r="I103" s="49"/>
      <c r="J103" s="49"/>
      <c r="K103" s="49"/>
      <c r="L103" s="49"/>
      <c r="M103" s="49"/>
      <c r="N103" s="49"/>
    </row>
    <row r="104" customFormat="false" ht="16.5" hidden="false" customHeight="true" outlineLevel="0" collapsed="false">
      <c r="A104" s="30" t="s">
        <v>418</v>
      </c>
      <c r="B104" s="106" t="n">
        <f aca="false">1/(1+$B$211)^1</f>
        <v>0.884955752212389</v>
      </c>
      <c r="C104" s="106" t="n">
        <f aca="false">1/(1+$B$211)^2</f>
        <v>0.783146683373796</v>
      </c>
      <c r="D104" s="106" t="n">
        <f aca="false">1/(1+$B$211)^3</f>
        <v>0.693050162277696</v>
      </c>
      <c r="E104" s="106" t="n">
        <f aca="false">1/(1+$B$211)^4</f>
        <v>0.613318727679377</v>
      </c>
      <c r="F104" s="106" t="n">
        <f aca="false">1/(1+$B$211)^5</f>
        <v>0.542759935999449</v>
      </c>
      <c r="G104" s="106" t="n">
        <f aca="false">1/(1+$B$211)^6</f>
        <v>0.48031852743314</v>
      </c>
      <c r="H104" s="49" t="s">
        <v>419</v>
      </c>
      <c r="I104" s="49"/>
      <c r="J104" s="49"/>
      <c r="K104" s="49"/>
      <c r="L104" s="49"/>
      <c r="M104" s="49"/>
      <c r="N104" s="49"/>
    </row>
    <row r="105" customFormat="false" ht="16.5" hidden="false" customHeight="true" outlineLevel="0" collapsed="false">
      <c r="A105" s="35" t="s">
        <v>420</v>
      </c>
      <c r="B105" s="105" t="n">
        <f aca="false">B103*B104</f>
        <v>348.446182076391</v>
      </c>
      <c r="C105" s="105" t="n">
        <f aca="false">C103*C104</f>
        <v>180.621850976234</v>
      </c>
      <c r="D105" s="105" t="n">
        <f aca="false">D103*D104</f>
        <v>137.540200283152</v>
      </c>
      <c r="E105" s="105" t="n">
        <f aca="false">E103*E104</f>
        <v>180.337630150277</v>
      </c>
      <c r="F105" s="105" t="n">
        <f aca="false">F103*F104</f>
        <v>205.738299740165</v>
      </c>
      <c r="G105" s="105" t="n">
        <f aca="false">G103*G104</f>
        <v>209.735709975894</v>
      </c>
      <c r="H105" s="49" t="s">
        <v>421</v>
      </c>
      <c r="I105" s="49"/>
      <c r="J105" s="49"/>
      <c r="K105" s="49"/>
      <c r="L105" s="49"/>
      <c r="M105" s="49"/>
      <c r="N105" s="49"/>
    </row>
    <row r="107" customFormat="false" ht="19.5" hidden="false" customHeight="true" outlineLevel="0" collapsed="false">
      <c r="A107" s="107" t="s">
        <v>422</v>
      </c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</row>
    <row r="108" customFormat="false" ht="27" hidden="false" customHeight="true" outlineLevel="0" collapsed="false">
      <c r="A108" s="4" t="s">
        <v>423</v>
      </c>
      <c r="B108" s="4" t="s">
        <v>424</v>
      </c>
      <c r="C108" s="4" t="s">
        <v>412</v>
      </c>
      <c r="D108" s="4" t="s">
        <v>425</v>
      </c>
      <c r="E108" s="4" t="s">
        <v>426</v>
      </c>
      <c r="F108" s="4" t="s">
        <v>427</v>
      </c>
      <c r="G108" s="4" t="s">
        <v>420</v>
      </c>
      <c r="H108" s="4" t="s">
        <v>428</v>
      </c>
      <c r="I108" s="4" t="s">
        <v>429</v>
      </c>
      <c r="J108" s="4"/>
      <c r="K108" s="4"/>
      <c r="L108" s="4"/>
      <c r="M108" s="4"/>
      <c r="N108" s="4"/>
    </row>
    <row r="109" customFormat="false" ht="30" hidden="false" customHeight="true" outlineLevel="0" collapsed="false">
      <c r="A109" s="108" t="s">
        <v>430</v>
      </c>
      <c r="B109" s="109" t="n">
        <f aca="false">B100</f>
        <v>92.6910390558189</v>
      </c>
      <c r="C109" s="109" t="n">
        <f aca="false">B101</f>
        <v>22.9800295230469</v>
      </c>
      <c r="D109" s="110" t="n">
        <f aca="false">B102</f>
        <v>4</v>
      </c>
      <c r="E109" s="16" t="n">
        <f aca="false">B103</f>
        <v>393.744185746322</v>
      </c>
      <c r="F109" s="111" t="n">
        <v>1</v>
      </c>
      <c r="G109" s="16" t="n">
        <f aca="false">B103/(1+$B$211)^1</f>
        <v>348.446182076392</v>
      </c>
      <c r="H109" s="17" t="n">
        <f aca="false">B103/(1+$B$211)^1/'00-三表与联动'!$B$6-1</f>
        <v>-0.614162284958984</v>
      </c>
      <c r="I109" s="49" t="s">
        <v>431</v>
      </c>
      <c r="J109" s="49"/>
      <c r="K109" s="49"/>
      <c r="L109" s="49"/>
      <c r="M109" s="49"/>
      <c r="N109" s="49"/>
    </row>
    <row r="110" customFormat="false" ht="25.5" hidden="false" customHeight="true" outlineLevel="0" collapsed="false">
      <c r="A110" s="108" t="s">
        <v>432</v>
      </c>
      <c r="B110" s="109" t="n">
        <f aca="false">C100</f>
        <v>29.5805540435893</v>
      </c>
      <c r="C110" s="109" t="n">
        <f aca="false">C101</f>
        <v>23.572163206428</v>
      </c>
      <c r="D110" s="110" t="n">
        <f aca="false">C102</f>
        <v>7</v>
      </c>
      <c r="E110" s="16" t="n">
        <f aca="false">C103</f>
        <v>230.636041511553</v>
      </c>
      <c r="F110" s="111" t="n">
        <v>2</v>
      </c>
      <c r="G110" s="16" t="n">
        <f aca="false">C103/(1+$B$211)^2</f>
        <v>180.621850976234</v>
      </c>
      <c r="H110" s="17" t="n">
        <f aca="false">C103/(1+$B$211)^2/'00-三表与联动'!$B$6-1</f>
        <v>-0.799995735778014</v>
      </c>
      <c r="I110" s="49" t="s">
        <v>433</v>
      </c>
      <c r="J110" s="49"/>
      <c r="K110" s="49"/>
      <c r="L110" s="49"/>
      <c r="M110" s="49"/>
      <c r="N110" s="49"/>
    </row>
    <row r="111" customFormat="false" ht="25.5" hidden="false" customHeight="true" outlineLevel="0" collapsed="false">
      <c r="A111" s="108" t="s">
        <v>434</v>
      </c>
      <c r="B111" s="109" t="n">
        <f aca="false">G100</f>
        <v>45.7503929201442</v>
      </c>
      <c r="C111" s="109" t="n">
        <f aca="false">G101</f>
        <v>24.9060926877069</v>
      </c>
      <c r="D111" s="110" t="n">
        <f aca="false">G102</f>
        <v>9</v>
      </c>
      <c r="E111" s="16" t="n">
        <f aca="false">G103</f>
        <v>436.659628969005</v>
      </c>
      <c r="F111" s="111" t="n">
        <v>6</v>
      </c>
      <c r="G111" s="16" t="n">
        <f aca="false">G103/(1+$B$211)^6</f>
        <v>209.735709975894</v>
      </c>
      <c r="H111" s="17" t="n">
        <f aca="false">G103/(1+$B$211)^6/'00-三表与联动'!$B$6-1</f>
        <v>-0.767757687521849</v>
      </c>
      <c r="I111" s="49" t="s">
        <v>435</v>
      </c>
      <c r="J111" s="49"/>
      <c r="K111" s="49"/>
      <c r="L111" s="49"/>
      <c r="M111" s="49"/>
      <c r="N111" s="49"/>
    </row>
    <row r="112" customFormat="false" ht="20.25" hidden="false" customHeight="true" outlineLevel="0" collapsed="false">
      <c r="A112" s="42" t="s">
        <v>436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</row>
    <row r="114" customFormat="false" ht="19.5" hidden="false" customHeight="true" outlineLevel="0" collapsed="false">
      <c r="A114" s="107" t="s">
        <v>437</v>
      </c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</row>
    <row r="115" customFormat="false" ht="27" hidden="false" customHeight="true" outlineLevel="0" collapsed="false">
      <c r="A115" s="4" t="s">
        <v>438</v>
      </c>
      <c r="B115" s="4" t="s">
        <v>4</v>
      </c>
      <c r="C115" s="4"/>
      <c r="D115" s="4" t="s">
        <v>232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customFormat="false" ht="18.75" hidden="false" customHeight="true" outlineLevel="0" collapsed="false">
      <c r="A116" s="112" t="s">
        <v>439</v>
      </c>
      <c r="B116" s="113" t="n">
        <f aca="false">B103</f>
        <v>393.744185746322</v>
      </c>
      <c r="C116" s="113"/>
      <c r="D116" s="49" t="s">
        <v>440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49"/>
    </row>
    <row r="117" customFormat="false" ht="25.5" hidden="false" customHeight="true" outlineLevel="0" collapsed="false">
      <c r="A117" s="114" t="s">
        <v>441</v>
      </c>
      <c r="B117" s="115" t="n">
        <f aca="false">G105</f>
        <v>209.735709975894</v>
      </c>
      <c r="C117" s="115"/>
      <c r="D117" s="48" t="s">
        <v>442</v>
      </c>
      <c r="E117" s="48"/>
      <c r="F117" s="48"/>
      <c r="G117" s="48"/>
      <c r="H117" s="48"/>
      <c r="I117" s="48"/>
      <c r="J117" s="48"/>
      <c r="K117" s="48"/>
      <c r="L117" s="48"/>
      <c r="M117" s="48"/>
      <c r="N117" s="48"/>
    </row>
    <row r="118" customFormat="false" ht="18.75" hidden="false" customHeight="true" outlineLevel="0" collapsed="false">
      <c r="A118" s="112" t="s">
        <v>443</v>
      </c>
      <c r="B118" s="113" t="n">
        <f aca="false">B72</f>
        <v>282.161082479923</v>
      </c>
      <c r="C118" s="113"/>
      <c r="D118" s="49" t="s">
        <v>444</v>
      </c>
      <c r="E118" s="49"/>
      <c r="F118" s="49"/>
      <c r="G118" s="49"/>
      <c r="H118" s="49"/>
      <c r="I118" s="49"/>
      <c r="J118" s="49"/>
      <c r="K118" s="49"/>
      <c r="L118" s="49"/>
      <c r="M118" s="49"/>
      <c r="N118" s="49"/>
    </row>
    <row r="119" customFormat="false" ht="18.75" hidden="false" customHeight="true" outlineLevel="0" collapsed="false">
      <c r="A119" s="62" t="s">
        <v>445</v>
      </c>
      <c r="B119" s="116" t="n">
        <f aca="false">B117/B118-1</f>
        <v>-0.256680942203227</v>
      </c>
      <c r="C119" s="116"/>
      <c r="D119" s="49" t="s">
        <v>446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/>
    </row>
    <row r="120" customFormat="false" ht="25.5" hidden="false" customHeight="true" outlineLevel="0" collapsed="false">
      <c r="A120" s="92" t="s">
        <v>447</v>
      </c>
      <c r="B120" s="117" t="n">
        <f aca="false">B63/G39</f>
        <v>6.53433991482772</v>
      </c>
      <c r="C120" s="117"/>
      <c r="D120" s="49" t="s">
        <v>448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49"/>
    </row>
    <row r="121" customFormat="false" ht="18.75" hidden="false" customHeight="true" outlineLevel="0" collapsed="false">
      <c r="A121" s="62" t="s">
        <v>449</v>
      </c>
      <c r="B121" s="89" t="n">
        <f aca="false">SUM(B92:G92)</f>
        <v>205225.752463222</v>
      </c>
      <c r="C121" s="89"/>
      <c r="D121" s="49" t="s">
        <v>450</v>
      </c>
      <c r="E121" s="49"/>
      <c r="F121" s="49"/>
      <c r="G121" s="49"/>
      <c r="H121" s="49"/>
      <c r="I121" s="49"/>
      <c r="J121" s="49"/>
      <c r="K121" s="49"/>
      <c r="L121" s="49"/>
      <c r="M121" s="49"/>
      <c r="N121" s="49"/>
    </row>
    <row r="122" customFormat="false" ht="18.75" hidden="false" customHeight="true" outlineLevel="0" collapsed="false">
      <c r="A122" s="62" t="s">
        <v>451</v>
      </c>
      <c r="B122" s="91" t="n">
        <f aca="false">SUM(B94:G94)</f>
        <v>176.2716846509</v>
      </c>
      <c r="C122" s="91"/>
      <c r="D122" s="49" t="s">
        <v>452</v>
      </c>
      <c r="E122" s="49"/>
      <c r="F122" s="49"/>
      <c r="G122" s="49"/>
      <c r="H122" s="49"/>
      <c r="I122" s="49"/>
      <c r="J122" s="49"/>
      <c r="K122" s="49"/>
      <c r="L122" s="49"/>
      <c r="M122" s="49"/>
      <c r="N122" s="49"/>
    </row>
    <row r="123" customFormat="false" ht="18.75" hidden="false" customHeight="true" outlineLevel="0" collapsed="false">
      <c r="A123" s="112" t="s">
        <v>453</v>
      </c>
      <c r="B123" s="90" t="n">
        <f aca="false">G97/'00-三表与联动'!$B$9</f>
        <v>0.853047775213989</v>
      </c>
      <c r="C123" s="90"/>
      <c r="D123" s="49" t="s">
        <v>454</v>
      </c>
      <c r="E123" s="49"/>
      <c r="F123" s="49"/>
      <c r="G123" s="49"/>
      <c r="H123" s="49"/>
      <c r="I123" s="49"/>
      <c r="J123" s="49"/>
      <c r="K123" s="49"/>
      <c r="L123" s="49"/>
      <c r="M123" s="49"/>
      <c r="N123" s="49"/>
    </row>
    <row r="124" customFormat="false" ht="18.75" hidden="false" customHeight="true" outlineLevel="0" collapsed="false">
      <c r="A124" s="62" t="s">
        <v>455</v>
      </c>
      <c r="B124" s="113" t="n">
        <f aca="false">((G39/('00-三表与联动'!$B$9+SUM(B95:G95)))*$B$141+(('00-三表与联动'!$B$10-'00-三表与联动'!$B$11)+SUM(B90:G90))/('00-三表与联动'!$B$9+SUM(B95:G95)))/(1+$B$211)^6</f>
        <v>262.966945182544</v>
      </c>
      <c r="C124" s="113"/>
      <c r="D124" s="49" t="s">
        <v>456</v>
      </c>
      <c r="E124" s="49"/>
      <c r="F124" s="49"/>
      <c r="G124" s="49"/>
      <c r="H124" s="49"/>
      <c r="I124" s="49"/>
      <c r="J124" s="49"/>
      <c r="K124" s="49"/>
      <c r="L124" s="49"/>
      <c r="M124" s="49"/>
      <c r="N124" s="49"/>
    </row>
    <row r="125" customFormat="false" ht="25.5" hidden="false" customHeight="true" outlineLevel="0" collapsed="false">
      <c r="A125" s="92" t="s">
        <v>457</v>
      </c>
      <c r="B125" s="118" t="n">
        <f aca="false">B117-B124</f>
        <v>-53.2312352066508</v>
      </c>
      <c r="C125" s="118"/>
      <c r="D125" s="49" t="s">
        <v>458</v>
      </c>
      <c r="E125" s="49"/>
      <c r="F125" s="49"/>
      <c r="G125" s="49"/>
      <c r="H125" s="49"/>
      <c r="I125" s="49"/>
      <c r="J125" s="49"/>
      <c r="K125" s="49"/>
      <c r="L125" s="49"/>
      <c r="M125" s="49"/>
      <c r="N125" s="49"/>
    </row>
    <row r="126" customFormat="false" ht="28.5" hidden="false" customHeight="true" outlineLevel="0" collapsed="false">
      <c r="A126" s="62" t="s">
        <v>459</v>
      </c>
      <c r="B126" s="119" t="n">
        <f aca="false">SUM(B92:G92)/('00-三表与联动'!$B$6*'00-三表与联动'!$B$8)</f>
        <v>0.201461342518368</v>
      </c>
      <c r="C126" s="119"/>
      <c r="D126" s="49" t="s">
        <v>460</v>
      </c>
      <c r="E126" s="49"/>
      <c r="F126" s="49"/>
      <c r="G126" s="49"/>
      <c r="H126" s="49"/>
      <c r="I126" s="49"/>
      <c r="J126" s="49"/>
      <c r="K126" s="49"/>
      <c r="L126" s="49"/>
      <c r="M126" s="49"/>
      <c r="N126" s="49"/>
    </row>
    <row r="127" customFormat="false" ht="18.75" hidden="false" customHeight="true" outlineLevel="0" collapsed="false">
      <c r="A127" s="62" t="s">
        <v>461</v>
      </c>
      <c r="B127" s="120" t="n">
        <f aca="false">B72/'00-三表与联动'!$B$6</f>
        <v>0.3124396045576</v>
      </c>
      <c r="C127" s="120"/>
      <c r="D127" s="49" t="s">
        <v>462</v>
      </c>
      <c r="E127" s="49"/>
      <c r="F127" s="49"/>
      <c r="G127" s="49"/>
      <c r="H127" s="49"/>
      <c r="I127" s="49"/>
      <c r="J127" s="49"/>
      <c r="K127" s="49"/>
      <c r="L127" s="49"/>
      <c r="M127" s="49"/>
      <c r="N127" s="49"/>
    </row>
    <row r="128" customFormat="false" ht="45.75" hidden="false" customHeight="true" outlineLevel="0" collapsed="false">
      <c r="A128" s="29" t="s">
        <v>463</v>
      </c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</row>
    <row r="130" customFormat="false" ht="24" hidden="false" customHeight="true" outlineLevel="0" collapsed="false">
      <c r="A130" s="121" t="s">
        <v>464</v>
      </c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</row>
    <row r="131" customFormat="false" ht="20.25" hidden="false" customHeight="true" outlineLevel="0" collapsed="false">
      <c r="A131" s="74" t="s">
        <v>465</v>
      </c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</row>
    <row r="132" customFormat="false" ht="27" hidden="false" customHeight="true" outlineLevel="0" collapsed="false">
      <c r="A132" s="4" t="s">
        <v>328</v>
      </c>
      <c r="B132" s="4" t="s">
        <v>466</v>
      </c>
      <c r="C132" s="4" t="s">
        <v>467</v>
      </c>
      <c r="D132" s="4"/>
      <c r="E132" s="4"/>
      <c r="F132" s="4"/>
      <c r="G132" s="4"/>
      <c r="H132" s="4" t="s">
        <v>468</v>
      </c>
      <c r="I132" s="4" t="s">
        <v>469</v>
      </c>
      <c r="J132" s="4" t="s">
        <v>94</v>
      </c>
      <c r="K132" s="4"/>
      <c r="L132" s="4"/>
      <c r="M132" s="4"/>
      <c r="N132" s="4"/>
    </row>
    <row r="133" customFormat="false" ht="30" hidden="false" customHeight="true" outlineLevel="0" collapsed="false">
      <c r="A133" s="68" t="s">
        <v>470</v>
      </c>
      <c r="B133" s="122" t="n">
        <f aca="false">H133/1000</f>
        <v>1</v>
      </c>
      <c r="C133" s="123"/>
      <c r="D133" s="123"/>
      <c r="E133" s="123"/>
      <c r="F133" s="123"/>
      <c r="G133" s="123"/>
      <c r="H133" s="124" t="n">
        <v>1000</v>
      </c>
      <c r="I133" s="125" t="s">
        <v>471</v>
      </c>
      <c r="J133" s="126" t="s">
        <v>472</v>
      </c>
      <c r="K133" s="126"/>
      <c r="L133" s="126"/>
      <c r="M133" s="126"/>
      <c r="N133" s="126"/>
    </row>
    <row r="134" customFormat="false" ht="30" hidden="false" customHeight="true" outlineLevel="0" collapsed="false">
      <c r="A134" s="68"/>
      <c r="B134" s="122"/>
      <c r="C134" s="123"/>
      <c r="D134" s="123"/>
      <c r="E134" s="123"/>
      <c r="F134" s="123"/>
      <c r="G134" s="123"/>
      <c r="H134" s="124"/>
      <c r="I134" s="125"/>
      <c r="J134" s="125"/>
      <c r="K134" s="126"/>
      <c r="L134" s="126"/>
      <c r="M134" s="126"/>
      <c r="N134" s="126"/>
    </row>
    <row r="135" customFormat="false" ht="30" hidden="false" customHeight="true" outlineLevel="0" collapsed="false">
      <c r="A135" s="68" t="s">
        <v>473</v>
      </c>
      <c r="B135" s="127" t="n">
        <f aca="false">H135/100</f>
        <v>1</v>
      </c>
      <c r="C135" s="123"/>
      <c r="D135" s="123"/>
      <c r="E135" s="123"/>
      <c r="F135" s="123"/>
      <c r="G135" s="123"/>
      <c r="H135" s="124" t="n">
        <v>100</v>
      </c>
      <c r="I135" s="125" t="s">
        <v>474</v>
      </c>
      <c r="J135" s="126" t="s">
        <v>475</v>
      </c>
      <c r="K135" s="126"/>
      <c r="L135" s="126"/>
      <c r="M135" s="126"/>
      <c r="N135" s="126"/>
    </row>
    <row r="136" customFormat="false" ht="30" hidden="false" customHeight="true" outlineLevel="0" collapsed="false">
      <c r="A136" s="68"/>
      <c r="B136" s="127"/>
      <c r="C136" s="123"/>
      <c r="D136" s="123"/>
      <c r="E136" s="123"/>
      <c r="F136" s="123"/>
      <c r="G136" s="123"/>
      <c r="H136" s="124"/>
      <c r="I136" s="125"/>
      <c r="J136" s="125"/>
      <c r="K136" s="126"/>
      <c r="L136" s="126"/>
      <c r="M136" s="126"/>
      <c r="N136" s="126"/>
    </row>
    <row r="137" customFormat="false" ht="30" hidden="false" customHeight="true" outlineLevel="0" collapsed="false">
      <c r="A137" s="128" t="s">
        <v>476</v>
      </c>
      <c r="B137" s="129" t="n">
        <f aca="false">H137/10</f>
        <v>4</v>
      </c>
      <c r="C137" s="123"/>
      <c r="D137" s="123"/>
      <c r="E137" s="123"/>
      <c r="F137" s="123"/>
      <c r="G137" s="123"/>
      <c r="H137" s="124" t="n">
        <v>40</v>
      </c>
      <c r="I137" s="125" t="s">
        <v>477</v>
      </c>
      <c r="J137" s="126" t="s">
        <v>478</v>
      </c>
      <c r="K137" s="126"/>
      <c r="L137" s="126"/>
      <c r="M137" s="126"/>
      <c r="N137" s="126"/>
    </row>
    <row r="138" customFormat="false" ht="30" hidden="false" customHeight="true" outlineLevel="0" collapsed="false">
      <c r="A138" s="128"/>
      <c r="B138" s="129"/>
      <c r="C138" s="123"/>
      <c r="D138" s="123"/>
      <c r="E138" s="123"/>
      <c r="F138" s="123"/>
      <c r="G138" s="123"/>
      <c r="H138" s="124"/>
      <c r="I138" s="125"/>
      <c r="J138" s="125"/>
      <c r="K138" s="126"/>
      <c r="L138" s="126"/>
      <c r="M138" s="126"/>
      <c r="N138" s="126"/>
    </row>
    <row r="139" customFormat="false" ht="30" hidden="false" customHeight="true" outlineLevel="0" collapsed="false">
      <c r="A139" s="128" t="s">
        <v>479</v>
      </c>
      <c r="B139" s="129" t="n">
        <f aca="false">H139/10</f>
        <v>7</v>
      </c>
      <c r="C139" s="123"/>
      <c r="D139" s="123"/>
      <c r="E139" s="123"/>
      <c r="F139" s="123"/>
      <c r="G139" s="123"/>
      <c r="H139" s="124" t="n">
        <v>70</v>
      </c>
      <c r="I139" s="125" t="s">
        <v>477</v>
      </c>
      <c r="J139" s="126" t="s">
        <v>480</v>
      </c>
      <c r="K139" s="126"/>
      <c r="L139" s="126"/>
      <c r="M139" s="126"/>
      <c r="N139" s="126"/>
    </row>
    <row r="140" customFormat="false" ht="30" hidden="false" customHeight="true" outlineLevel="0" collapsed="false">
      <c r="A140" s="128"/>
      <c r="B140" s="129"/>
      <c r="C140" s="123"/>
      <c r="D140" s="123"/>
      <c r="E140" s="123"/>
      <c r="F140" s="123"/>
      <c r="G140" s="123"/>
      <c r="H140" s="124"/>
      <c r="I140" s="125"/>
      <c r="J140" s="125"/>
      <c r="K140" s="126"/>
      <c r="L140" s="126"/>
      <c r="M140" s="126"/>
      <c r="N140" s="126"/>
    </row>
    <row r="141" customFormat="false" ht="30" hidden="false" customHeight="true" outlineLevel="0" collapsed="false">
      <c r="A141" s="128" t="s">
        <v>481</v>
      </c>
      <c r="B141" s="129" t="n">
        <f aca="false">H141/10</f>
        <v>9</v>
      </c>
      <c r="C141" s="123"/>
      <c r="D141" s="123"/>
      <c r="E141" s="123"/>
      <c r="F141" s="123"/>
      <c r="G141" s="123"/>
      <c r="H141" s="124" t="n">
        <v>90</v>
      </c>
      <c r="I141" s="125" t="s">
        <v>477</v>
      </c>
      <c r="J141" s="126" t="s">
        <v>482</v>
      </c>
      <c r="K141" s="126"/>
      <c r="L141" s="126"/>
      <c r="M141" s="126"/>
      <c r="N141" s="126"/>
    </row>
    <row r="142" customFormat="false" ht="30" hidden="false" customHeight="true" outlineLevel="0" collapsed="false">
      <c r="A142" s="128"/>
      <c r="B142" s="129"/>
      <c r="C142" s="123"/>
      <c r="D142" s="123"/>
      <c r="E142" s="123"/>
      <c r="F142" s="123"/>
      <c r="G142" s="123"/>
      <c r="H142" s="124"/>
      <c r="I142" s="125"/>
      <c r="J142" s="125"/>
      <c r="K142" s="126"/>
      <c r="L142" s="126"/>
      <c r="M142" s="126"/>
      <c r="N142" s="126"/>
    </row>
    <row r="144" customFormat="false" ht="18.75" hidden="false" customHeight="true" outlineLevel="0" collapsed="false">
      <c r="A144" s="50" t="s">
        <v>483</v>
      </c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</row>
    <row r="145" customFormat="false" ht="27.75" hidden="false" customHeight="true" outlineLevel="0" collapsed="false">
      <c r="A145" s="130" t="s">
        <v>484</v>
      </c>
      <c r="B145" s="131" t="n">
        <v>0</v>
      </c>
      <c r="C145" s="131" t="n">
        <v>0.25</v>
      </c>
      <c r="D145" s="131" t="n">
        <v>0.5</v>
      </c>
      <c r="E145" s="131" t="n">
        <v>0.75</v>
      </c>
      <c r="F145" s="131" t="n">
        <v>1</v>
      </c>
      <c r="G145" s="39"/>
      <c r="H145" s="39"/>
      <c r="I145" s="39"/>
      <c r="J145" s="39"/>
      <c r="K145" s="39"/>
      <c r="L145" s="39"/>
      <c r="M145" s="39"/>
      <c r="N145" s="39"/>
    </row>
    <row r="146" customFormat="false" ht="18.75" hidden="false" customHeight="true" outlineLevel="0" collapsed="false">
      <c r="A146" s="132" t="n">
        <f aca="false">MAX(1,$B$141+-4)</f>
        <v>5</v>
      </c>
      <c r="B146" s="99" t="n">
        <f aca="false">((G39/MAX(20,'00-三表与联动'!$B$9-B$145*SUMPRODUCT(B90:G90,1/B93:G93)+SUM(B95:G95)))*$A$146+(('00-三表与联动'!$B$10-'00-三表与联动'!$B$11)+(1-B$145)*SUM(B90:G90))/MAX(20,'00-三表与联动'!$B$9-B$145*SUMPRODUCT(B90:G90,1/B93:G93)+SUM(B95:G95)))/(1+$B$211)^6</f>
        <v>188.456326053978</v>
      </c>
      <c r="C146" s="99" t="n">
        <f aca="false">((G39/MAX(20,'00-三表与联动'!$B$9-C$145*SUMPRODUCT(B90:G90,1/B93:G93)+SUM(B95:G95)))*$A$146+(('00-三表与联动'!$B$10-'00-三表与联动'!$B$11)+(1-C$145)*SUM(B90:G90))/MAX(20,'00-三表与联动'!$B$9-C$145*SUMPRODUCT(B90:G90,1/B93:G93)+SUM(B95:G95)))/(1+$B$211)^6</f>
        <v>173.779334927961</v>
      </c>
      <c r="D146" s="99" t="n">
        <f aca="false">((G39/MAX(20,'00-三表与联动'!$B$9-D$145*SUMPRODUCT(B90:G90,1/B93:G93)+SUM(B95:G95)))*$A$146+(('00-三表与联动'!$B$10-'00-三表与联动'!$B$11)+(1-D$145)*SUM(B90:G90))/MAX(20,'00-三表与联动'!$B$9-D$145*SUMPRODUCT(B90:G90,1/B93:G93)+SUM(B95:G95)))/(1+$B$211)^6</f>
        <v>157.892429265645</v>
      </c>
      <c r="E146" s="99" t="n">
        <f aca="false">((G39/MAX(20,'00-三表与联动'!$B$9-E$145*SUMPRODUCT(B90:G90,1/B93:G93)+SUM(B95:G95)))*$A$146+(('00-三表与联动'!$B$10-'00-三表与联动'!$B$11)+(1-E$145)*SUM(B90:G90))/MAX(20,'00-三表与联动'!$B$9-E$145*SUMPRODUCT(B90:G90,1/B93:G93)+SUM(B95:G95)))/(1+$B$211)^6</f>
        <v>140.639566251906</v>
      </c>
      <c r="F146" s="99" t="n">
        <f aca="false">((G39/MAX(20,'00-三表与联动'!$B$9-F$145*SUMPRODUCT(B90:G90,1/B93:G93)+SUM(B95:G95)))*$A$146+(('00-三表与联动'!$B$10-'00-三表与联动'!$B$11)+(1-F$145)*SUM(B90:G90))/MAX(20,'00-三表与联动'!$B$9-F$145*SUMPRODUCT(B90:G90,1/B93:G93)+SUM(B95:G95)))/(1+$B$211)^6</f>
        <v>121.836664548329</v>
      </c>
      <c r="G146" s="34"/>
      <c r="H146" s="34"/>
      <c r="I146" s="34"/>
      <c r="J146" s="34"/>
      <c r="K146" s="34"/>
      <c r="L146" s="34"/>
      <c r="M146" s="34"/>
      <c r="N146" s="34"/>
    </row>
    <row r="147" customFormat="false" ht="18.75" hidden="false" customHeight="true" outlineLevel="0" collapsed="false">
      <c r="A147" s="132" t="n">
        <f aca="false">MAX(1,$B$141+-2)</f>
        <v>7</v>
      </c>
      <c r="B147" s="99" t="n">
        <f aca="false">((G39/MAX(20,'00-三表与联动'!$B$9-B$145*SUMPRODUCT(B90:G90,1/B93:G93)+SUM(B95:G95)))*$A$147+(('00-三表与联动'!$B$10-'00-三表与联动'!$B$11)+(1-B$145)*SUM(B90:G90))/MAX(20,'00-三表与联动'!$B$9-B$145*SUMPRODUCT(B90:G90,1/B93:G93)+SUM(B95:G95)))/(1+$B$211)^6</f>
        <v>225.711635618261</v>
      </c>
      <c r="C147" s="99" t="n">
        <f aca="false">((G39/MAX(20,'00-三表与联动'!$B$9-C$145*SUMPRODUCT(B90:G90,1/B93:G93)+SUM(B95:G95)))*$A$147+(('00-三表与联动'!$B$10-'00-三表与联动'!$B$11)+(1-C$145)*SUM(B90:G90))/MAX(20,'00-三表与联动'!$B$9-C$145*SUMPRODUCT(B90:G90,1/B93:G93)+SUM(B95:G95)))/(1+$B$211)^6</f>
        <v>212.509447947715</v>
      </c>
      <c r="D147" s="99" t="n">
        <f aca="false">((G39/MAX(20,'00-三表与联动'!$B$9-D$145*SUMPRODUCT(B90:G90,1/B93:G93)+SUM(B95:G95)))*$A$147+(('00-三表与联动'!$B$10-'00-三表与联动'!$B$11)+(1-D$145)*SUM(B90:G90))/MAX(20,'00-三表与联动'!$B$9-D$145*SUMPRODUCT(B90:G90,1/B93:G93)+SUM(B95:G95)))/(1+$B$211)^6</f>
        <v>198.218922849124</v>
      </c>
      <c r="E147" s="99" t="n">
        <f aca="false">((G39/MAX(20,'00-三表与联动'!$B$9-E$145*SUMPRODUCT(B90:G90,1/B93:G93)+SUM(B95:G95)))*$A$147+(('00-三表与联动'!$B$10-'00-三表与联动'!$B$11)+(1-E$145)*SUM(B90:G90))/MAX(20,'00-三表与联动'!$B$9-E$145*SUMPRODUCT(B90:G90,1/B93:G93)+SUM(B95:G95)))/(1+$B$211)^6</f>
        <v>182.699697320819</v>
      </c>
      <c r="F147" s="99" t="n">
        <f aca="false">((G39/MAX(20,'00-三表与联动'!$B$9-F$145*SUMPRODUCT(B90:G90,1/B93:G93)+SUM(B95:G95)))*$A$147+(('00-三表与联动'!$B$10-'00-三表与联动'!$B$11)+(1-F$145)*SUM(B90:G90))/MAX(20,'00-三表与联动'!$B$9-F$145*SUMPRODUCT(B90:G90,1/B93:G93)+SUM(B95:G95)))/(1+$B$211)^6</f>
        <v>165.786187262111</v>
      </c>
      <c r="G147" s="34"/>
      <c r="H147" s="34"/>
      <c r="I147" s="34"/>
      <c r="J147" s="34"/>
      <c r="K147" s="34"/>
      <c r="L147" s="34"/>
      <c r="M147" s="34"/>
      <c r="N147" s="34"/>
    </row>
    <row r="148" customFormat="false" ht="18.75" hidden="false" customHeight="true" outlineLevel="0" collapsed="false">
      <c r="A148" s="132" t="n">
        <f aca="false">MAX(1,$B$141+0)</f>
        <v>9</v>
      </c>
      <c r="B148" s="99" t="n">
        <f aca="false">((G39/MAX(20,'00-三表与联动'!$B$9-B$145*SUMPRODUCT(B90:G90,1/B93:G93)+SUM(B95:G95)))*$A$148+(('00-三表与联动'!$B$10-'00-三表与联动'!$B$11)+(1-B$145)*SUM(B90:G90))/MAX(20,'00-三表与联动'!$B$9-B$145*SUMPRODUCT(B90:G90,1/B93:G93)+SUM(B95:G95)))/(1+$B$211)^6</f>
        <v>262.966945182544</v>
      </c>
      <c r="C148" s="99" t="n">
        <f aca="false">((G39/MAX(20,'00-三表与联动'!$B$9-C$145*SUMPRODUCT(B90:G90,1/B93:G93)+SUM(B95:G95)))*$A$148+(('00-三表与联动'!$B$10-'00-三表与联动'!$B$11)+(1-C$145)*SUM(B90:G90))/MAX(20,'00-三表与联动'!$B$9-C$145*SUMPRODUCT(B90:G90,1/B93:G93)+SUM(B95:G95)))/(1+$B$211)^6</f>
        <v>251.23956096747</v>
      </c>
      <c r="D148" s="99" t="n">
        <f aca="false">((G39/MAX(20,'00-三表与联动'!$B$9-D$145*SUMPRODUCT(B90:G90,1/B93:G93)+SUM(B95:G95)))*$A$148+(('00-三表与联动'!$B$10-'00-三表与联动'!$B$11)+(1-D$145)*SUM(B90:G90))/MAX(20,'00-三表与联动'!$B$9-D$145*SUMPRODUCT(B90:G90,1/B93:G93)+SUM(B95:G95)))/(1+$B$211)^6</f>
        <v>238.545416432603</v>
      </c>
      <c r="E148" s="99" t="n">
        <f aca="false">((G39/MAX(20,'00-三表与联动'!$B$9-E$145*SUMPRODUCT(B90:G90,1/B93:G93)+SUM(B95:G95)))*$A$148+(('00-三表与联动'!$B$10-'00-三表与联动'!$B$11)+(1-E$145)*SUM(B90:G90))/MAX(20,'00-三表与联动'!$B$9-E$145*SUMPRODUCT(B90:G90,1/B93:G93)+SUM(B95:G95)))/(1+$B$211)^6</f>
        <v>224.759828389731</v>
      </c>
      <c r="F148" s="133" t="n">
        <f aca="false">((G39/MAX(20,'00-三表与联动'!$B$9-F$145*SUMPRODUCT(B90:G90,1/B93:G93)+SUM(B95:G95)))*$A$148+(('00-三表与联动'!$B$10-'00-三表与联动'!$B$11)+(1-F$145)*SUM(B90:G90))/MAX(20,'00-三表与联动'!$B$9-F$145*SUMPRODUCT(B90:G90,1/B93:G93)+SUM(B95:G95)))/(1+$B$211)^6</f>
        <v>209.735709975894</v>
      </c>
      <c r="G148" s="34"/>
      <c r="H148" s="34"/>
      <c r="I148" s="34"/>
      <c r="J148" s="34"/>
      <c r="K148" s="34"/>
      <c r="L148" s="34"/>
      <c r="M148" s="34"/>
      <c r="N148" s="34"/>
    </row>
    <row r="149" customFormat="false" ht="18.75" hidden="false" customHeight="true" outlineLevel="0" collapsed="false">
      <c r="A149" s="132" t="n">
        <f aca="false">MAX(1,$B$141+2)</f>
        <v>11</v>
      </c>
      <c r="B149" s="99" t="n">
        <f aca="false">((G39/MAX(20,'00-三表与联动'!$B$9-B$145*SUMPRODUCT(B90:G90,1/B93:G93)+SUM(B95:G95)))*$A$149+(('00-三表与联动'!$B$10-'00-三表与联动'!$B$11)+(1-B$145)*SUM(B90:G90))/MAX(20,'00-三表与联动'!$B$9-B$145*SUMPRODUCT(B90:G90,1/B93:G93)+SUM(B95:G95)))/(1+$B$211)^6</f>
        <v>300.222254746828</v>
      </c>
      <c r="C149" s="99" t="n">
        <f aca="false">((G39/MAX(20,'00-三表与联动'!$B$9-C$145*SUMPRODUCT(B90:G90,1/B93:G93)+SUM(B95:G95)))*$A$149+(('00-三表与联动'!$B$10-'00-三表与联动'!$B$11)+(1-C$145)*SUM(B90:G90))/MAX(20,'00-三表与联动'!$B$9-C$145*SUMPRODUCT(B90:G90,1/B93:G93)+SUM(B95:G95)))/(1+$B$211)^6</f>
        <v>289.969673987224</v>
      </c>
      <c r="D149" s="99" t="n">
        <f aca="false">((G39/MAX(20,'00-三表与联动'!$B$9-D$145*SUMPRODUCT(B90:G90,1/B93:G93)+SUM(B95:G95)))*$A$149+(('00-三表与联动'!$B$10-'00-三表与联动'!$B$11)+(1-D$145)*SUM(B90:G90))/MAX(20,'00-三表与联动'!$B$9-D$145*SUMPRODUCT(B90:G90,1/B93:G93)+SUM(B95:G95)))/(1+$B$211)^6</f>
        <v>278.871910016082</v>
      </c>
      <c r="E149" s="99" t="n">
        <f aca="false">((G39/MAX(20,'00-三表与联动'!$B$9-E$145*SUMPRODUCT(B90:G90,1/B93:G93)+SUM(B95:G95)))*$A$149+(('00-三表与联动'!$B$10-'00-三表与联动'!$B$11)+(1-E$145)*SUM(B90:G90))/MAX(20,'00-三表与联动'!$B$9-E$145*SUMPRODUCT(B90:G90,1/B93:G93)+SUM(B95:G95)))/(1+$B$211)^6</f>
        <v>266.819959458644</v>
      </c>
      <c r="F149" s="99" t="n">
        <f aca="false">((G39/MAX(20,'00-三表与联动'!$B$9-F$145*SUMPRODUCT(B90:G90,1/B93:G93)+SUM(B95:G95)))*$A$149+(('00-三表与联动'!$B$10-'00-三表与联动'!$B$11)+(1-F$145)*SUM(B90:G90))/MAX(20,'00-三表与联动'!$B$9-F$145*SUMPRODUCT(B90:G90,1/B93:G93)+SUM(B95:G95)))/(1+$B$211)^6</f>
        <v>253.685232689676</v>
      </c>
      <c r="G149" s="34"/>
      <c r="H149" s="34"/>
      <c r="I149" s="34"/>
      <c r="J149" s="34"/>
      <c r="K149" s="34"/>
      <c r="L149" s="34"/>
      <c r="M149" s="34"/>
      <c r="N149" s="34"/>
    </row>
    <row r="150" customFormat="false" ht="18.75" hidden="false" customHeight="true" outlineLevel="0" collapsed="false">
      <c r="A150" s="132" t="n">
        <f aca="false">MAX(1,$B$141+4)</f>
        <v>13</v>
      </c>
      <c r="B150" s="99" t="n">
        <f aca="false">((G39/MAX(20,'00-三表与联动'!$B$9-B$145*SUMPRODUCT(B90:G90,1/B93:G93)+SUM(B95:G95)))*$A$150+(('00-三表与联动'!$B$10-'00-三表与联动'!$B$11)+(1-B$145)*SUM(B90:G90))/MAX(20,'00-三表与联动'!$B$9-B$145*SUMPRODUCT(B90:G90,1/B93:G93)+SUM(B95:G95)))/(1+$B$211)^6</f>
        <v>337.477564311111</v>
      </c>
      <c r="C150" s="99" t="n">
        <f aca="false">((G39/MAX(20,'00-三表与联动'!$B$9-C$145*SUMPRODUCT(B90:G90,1/B93:G93)+SUM(B95:G95)))*$A$150+(('00-三表与联动'!$B$10-'00-三表与联动'!$B$11)+(1-C$145)*SUM(B90:G90))/MAX(20,'00-三表与联动'!$B$9-C$145*SUMPRODUCT(B90:G90,1/B93:G93)+SUM(B95:G95)))/(1+$B$211)^6</f>
        <v>328.699787006979</v>
      </c>
      <c r="D150" s="99" t="n">
        <f aca="false">((G39/MAX(20,'00-三表与联动'!$B$9-D$145*SUMPRODUCT(B90:G90,1/B93:G93)+SUM(B95:G95)))*$A$150+(('00-三表与联动'!$B$10-'00-三表与联动'!$B$11)+(1-D$145)*SUM(B90:G90))/MAX(20,'00-三表与联动'!$B$9-D$145*SUMPRODUCT(B90:G90,1/B93:G93)+SUM(B95:G95)))/(1+$B$211)^6</f>
        <v>319.198403599561</v>
      </c>
      <c r="E150" s="99" t="n">
        <f aca="false">((G39/MAX(20,'00-三表与联动'!$B$9-E$145*SUMPRODUCT(B90:G90,1/B93:G93)+SUM(B95:G95)))*$A$150+(('00-三表与联动'!$B$10-'00-三表与联动'!$B$11)+(1-E$145)*SUM(B90:G90))/MAX(20,'00-三表与联动'!$B$9-E$145*SUMPRODUCT(B90:G90,1/B93:G93)+SUM(B95:G95)))/(1+$B$211)^6</f>
        <v>308.880090527556</v>
      </c>
      <c r="F150" s="99" t="n">
        <f aca="false">((G39/MAX(20,'00-三表与联动'!$B$9-F$145*SUMPRODUCT(B90:G90,1/B93:G93)+SUM(B95:G95)))*$A$150+(('00-三表与联动'!$B$10-'00-三表与联动'!$B$11)+(1-F$145)*SUM(B90:G90))/MAX(20,'00-三表与联动'!$B$9-F$145*SUMPRODUCT(B90:G90,1/B93:G93)+SUM(B95:G95)))/(1+$B$211)^6</f>
        <v>297.634755403459</v>
      </c>
      <c r="G150" s="34"/>
      <c r="H150" s="34"/>
      <c r="I150" s="34"/>
      <c r="J150" s="34"/>
      <c r="K150" s="34"/>
      <c r="L150" s="34"/>
      <c r="M150" s="34"/>
      <c r="N150" s="34"/>
    </row>
    <row r="151" customFormat="false" ht="33" hidden="false" customHeight="true" outlineLevel="0" collapsed="false">
      <c r="A151" s="42" t="s">
        <v>485</v>
      </c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</row>
    <row r="153" customFormat="false" ht="18.75" hidden="false" customHeight="true" outlineLevel="0" collapsed="false">
      <c r="A153" s="50" t="s">
        <v>486</v>
      </c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</row>
    <row r="154" customFormat="false" ht="39.75" hidden="false" customHeight="true" outlineLevel="0" collapsed="false">
      <c r="A154" s="14" t="s">
        <v>487</v>
      </c>
      <c r="B154" s="14" t="s">
        <v>488</v>
      </c>
      <c r="C154" s="14" t="s">
        <v>489</v>
      </c>
      <c r="D154" s="14" t="s">
        <v>490</v>
      </c>
      <c r="E154" s="14" t="s">
        <v>491</v>
      </c>
      <c r="F154" s="14" t="s">
        <v>492</v>
      </c>
      <c r="G154" s="4" t="s">
        <v>493</v>
      </c>
      <c r="H154" s="4"/>
      <c r="I154" s="4"/>
      <c r="J154" s="4"/>
      <c r="K154" s="4"/>
      <c r="L154" s="4"/>
      <c r="M154" s="4"/>
      <c r="N154" s="4"/>
    </row>
    <row r="155" customFormat="false" ht="18.75" hidden="false" customHeight="true" outlineLevel="0" collapsed="false">
      <c r="A155" s="134" t="n">
        <v>6</v>
      </c>
      <c r="B155" s="135" t="n">
        <f aca="false">B100*$A$155+B101</f>
        <v>579.12626385796</v>
      </c>
      <c r="C155" s="135" t="n">
        <f aca="false">(C100*$A$155+C101)/(1+$B$211)^2</f>
        <v>157.455938184637</v>
      </c>
      <c r="D155" s="135" t="n">
        <f aca="false">(G100*$A$155+G101)/(1+$B$211)^6</f>
        <v>143.81142590522</v>
      </c>
      <c r="E155" s="136" t="n">
        <f aca="false">B155/'00-三表与联动'!$B$6-1</f>
        <v>-0.358728073771208</v>
      </c>
      <c r="F155" s="136" t="n">
        <f aca="false">D155/'00-三表与联动'!$B$6-1</f>
        <v>-0.840756263600283</v>
      </c>
      <c r="G155" s="34"/>
      <c r="H155" s="34"/>
      <c r="I155" s="34"/>
      <c r="J155" s="34"/>
      <c r="K155" s="34"/>
      <c r="L155" s="34"/>
      <c r="M155" s="34"/>
      <c r="N155" s="34"/>
    </row>
    <row r="156" customFormat="false" ht="18.75" hidden="false" customHeight="true" outlineLevel="0" collapsed="false">
      <c r="A156" s="134" t="n">
        <v>9</v>
      </c>
      <c r="B156" s="135" t="n">
        <f aca="false">B100*$A$156+B101</f>
        <v>857.199381025417</v>
      </c>
      <c r="C156" s="135" t="n">
        <f aca="false">(C100*$A$156+C101)/(1+$B$211)^2</f>
        <v>226.953676559426</v>
      </c>
      <c r="D156" s="135" t="n">
        <f aca="false">(G100*$A$156+G101)/(1+$B$211)^6</f>
        <v>209.735709975894</v>
      </c>
      <c r="E156" s="136" t="n">
        <f aca="false">B156/'00-三表与联动'!$B$6-1</f>
        <v>-0.0508151114225419</v>
      </c>
      <c r="F156" s="136" t="n">
        <f aca="false">D156/'00-三表与联动'!$B$6-1</f>
        <v>-0.767757687521849</v>
      </c>
      <c r="G156" s="34"/>
      <c r="H156" s="34"/>
      <c r="I156" s="34"/>
      <c r="J156" s="34"/>
      <c r="K156" s="34"/>
      <c r="L156" s="34"/>
      <c r="M156" s="34"/>
      <c r="N156" s="34"/>
    </row>
    <row r="157" customFormat="false" ht="18.75" hidden="false" customHeight="true" outlineLevel="0" collapsed="false">
      <c r="A157" s="134" t="n">
        <v>12</v>
      </c>
      <c r="B157" s="135" t="n">
        <f aca="false">B100*$A$157+B101</f>
        <v>1135.27249819287</v>
      </c>
      <c r="C157" s="135" t="n">
        <f aca="false">(C100*$A$157+C101)/(1+$B$211)^2</f>
        <v>296.451414934215</v>
      </c>
      <c r="D157" s="135" t="n">
        <f aca="false">(G100*$A$157+G101)/(1+$B$211)^6</f>
        <v>275.659994046567</v>
      </c>
      <c r="E157" s="136" t="n">
        <f aca="false">B157/'00-三表与联动'!$B$6-1</f>
        <v>0.257097850926124</v>
      </c>
      <c r="F157" s="136" t="n">
        <f aca="false">D157/'00-三表与联动'!$B$6-1</f>
        <v>-0.694759111443414</v>
      </c>
      <c r="G157" s="34"/>
      <c r="H157" s="34"/>
      <c r="I157" s="34"/>
      <c r="J157" s="34"/>
      <c r="K157" s="34"/>
      <c r="L157" s="34"/>
      <c r="M157" s="34"/>
      <c r="N157" s="34"/>
    </row>
    <row r="158" customFormat="false" ht="18.75" hidden="false" customHeight="true" outlineLevel="0" collapsed="false">
      <c r="A158" s="134" t="n">
        <v>15</v>
      </c>
      <c r="B158" s="135" t="n">
        <f aca="false">B100*$A$158+B101</f>
        <v>1413.34561536033</v>
      </c>
      <c r="C158" s="135" t="n">
        <f aca="false">(C100*$A$158+C101)/(1+$B$211)^2</f>
        <v>365.949153309004</v>
      </c>
      <c r="D158" s="135" t="n">
        <f aca="false">(G100*$A$158+G101)/(1+$B$211)^6</f>
        <v>341.584278117241</v>
      </c>
      <c r="E158" s="136" t="n">
        <f aca="false">B158/'00-三表与联动'!$B$6-1</f>
        <v>0.56501081327479</v>
      </c>
      <c r="F158" s="136" t="n">
        <f aca="false">D158/'00-三表与联动'!$B$6-1</f>
        <v>-0.621760535364979</v>
      </c>
      <c r="G158" s="34"/>
      <c r="H158" s="34"/>
      <c r="I158" s="34"/>
      <c r="J158" s="34"/>
      <c r="K158" s="34"/>
      <c r="L158" s="34"/>
      <c r="M158" s="34"/>
      <c r="N158" s="34"/>
    </row>
    <row r="159" customFormat="false" ht="18.75" hidden="false" customHeight="true" outlineLevel="0" collapsed="false">
      <c r="A159" s="134" t="n">
        <v>18</v>
      </c>
      <c r="B159" s="135" t="n">
        <f aca="false">B100*$A$159+B101</f>
        <v>1691.41873252779</v>
      </c>
      <c r="C159" s="135" t="n">
        <f aca="false">(C100*$A$159+C101)/(1+$B$211)^2</f>
        <v>435.446891683793</v>
      </c>
      <c r="D159" s="135" t="n">
        <f aca="false">(G100*$A$159+G101)/(1+$B$211)^6</f>
        <v>407.508562187915</v>
      </c>
      <c r="E159" s="136" t="n">
        <f aca="false">B159/'00-三表与联动'!$B$6-1</f>
        <v>0.872923775623456</v>
      </c>
      <c r="F159" s="136" t="n">
        <f aca="false">D159/'00-三表与联动'!$B$6-1</f>
        <v>-0.548761959286545</v>
      </c>
      <c r="G159" s="34"/>
      <c r="H159" s="34"/>
      <c r="I159" s="34"/>
      <c r="J159" s="34"/>
      <c r="K159" s="34"/>
      <c r="L159" s="34"/>
      <c r="M159" s="34"/>
      <c r="N159" s="34"/>
    </row>
    <row r="160" customFormat="false" ht="18.75" hidden="false" customHeight="true" outlineLevel="0" collapsed="false">
      <c r="A160" s="134" t="n">
        <v>21</v>
      </c>
      <c r="B160" s="135" t="n">
        <f aca="false">B100*$A$160+B101</f>
        <v>1969.49184969524</v>
      </c>
      <c r="C160" s="135" t="n">
        <f aca="false">(C100*$A$160+C101)/(1+$B$211)^2</f>
        <v>504.944630058581</v>
      </c>
      <c r="D160" s="135" t="n">
        <f aca="false">(G100*$A$160+G101)/(1+$B$211)^6</f>
        <v>473.432846258588</v>
      </c>
      <c r="E160" s="136" t="n">
        <f aca="false">B160/'00-三表与联动'!$B$6-1</f>
        <v>1.18083673797212</v>
      </c>
      <c r="F160" s="136" t="n">
        <f aca="false">D160/'00-三表与联动'!$B$6-1</f>
        <v>-0.47576338320811</v>
      </c>
      <c r="G160" s="34"/>
      <c r="H160" s="34"/>
      <c r="I160" s="34"/>
      <c r="J160" s="34"/>
      <c r="K160" s="34"/>
      <c r="L160" s="34"/>
      <c r="M160" s="34"/>
      <c r="N160" s="34"/>
    </row>
    <row r="161" customFormat="false" ht="33" hidden="false" customHeight="true" outlineLevel="0" collapsed="false">
      <c r="A161" s="42" t="s">
        <v>494</v>
      </c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</row>
    <row r="164" customFormat="false" ht="24" hidden="false" customHeight="true" outlineLevel="0" collapsed="false">
      <c r="A164" s="73" t="s">
        <v>495</v>
      </c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</row>
    <row r="165" customFormat="false" ht="33" hidden="false" customHeight="true" outlineLevel="0" collapsed="false">
      <c r="A165" s="43" t="s">
        <v>496</v>
      </c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</row>
    <row r="166" customFormat="false" ht="18.75" hidden="false" customHeight="true" outlineLevel="0" collapsed="false">
      <c r="A166" s="50" t="s">
        <v>497</v>
      </c>
      <c r="B166" s="50"/>
      <c r="C166" s="50"/>
      <c r="D166" s="50"/>
      <c r="E166" s="50"/>
      <c r="F166" s="50"/>
      <c r="G166" s="50"/>
      <c r="H166" s="50" t="s">
        <v>498</v>
      </c>
      <c r="I166" s="50"/>
      <c r="J166" s="50"/>
      <c r="K166" s="50"/>
      <c r="L166" s="50"/>
      <c r="M166" s="50"/>
      <c r="N166" s="50"/>
    </row>
    <row r="167" customFormat="false" ht="27.75" hidden="false" customHeight="true" outlineLevel="0" collapsed="false">
      <c r="A167" s="130" t="s">
        <v>499</v>
      </c>
      <c r="B167" s="137" t="n">
        <f aca="false">$B$213+-0.01</f>
        <v>0.015</v>
      </c>
      <c r="C167" s="137" t="n">
        <f aca="false">$B$213+-0.005</f>
        <v>0.02</v>
      </c>
      <c r="D167" s="137" t="n">
        <f aca="false">$B$213+0</f>
        <v>0.025</v>
      </c>
      <c r="E167" s="137" t="n">
        <f aca="false">$B$213+0.005</f>
        <v>0.03</v>
      </c>
      <c r="F167" s="137" t="n">
        <f aca="false">$B$213+0.01</f>
        <v>0.035</v>
      </c>
      <c r="G167" s="39"/>
      <c r="H167" s="130" t="s">
        <v>500</v>
      </c>
      <c r="I167" s="137" t="n">
        <f aca="false">MAX(0.05,MIN(0.92,$B$195+-0.1))</f>
        <v>0.33</v>
      </c>
      <c r="J167" s="137" t="n">
        <f aca="false">MAX(0.05,MIN(0.92,$B$195+-0.05))</f>
        <v>0.38</v>
      </c>
      <c r="K167" s="137" t="n">
        <f aca="false">MAX(0.05,MIN(0.92,$B$195+0))</f>
        <v>0.43</v>
      </c>
      <c r="L167" s="137" t="n">
        <f aca="false">MAX(0.05,MIN(0.92,$B$195+0.05))</f>
        <v>0.48</v>
      </c>
      <c r="M167" s="137" t="n">
        <f aca="false">MAX(0.05,MIN(0.92,$B$195+0.1))</f>
        <v>0.53</v>
      </c>
      <c r="N167" s="39"/>
    </row>
    <row r="168" customFormat="false" ht="18.75" hidden="false" customHeight="true" outlineLevel="0" collapsed="false">
      <c r="A168" s="138" t="n">
        <f aca="false">$B$211+-0.02</f>
        <v>0.11</v>
      </c>
      <c r="B168" s="103" t="n">
        <f aca="false">IF($A$168&lt;=B$167,"n/a",($B$62*(1+$B$211)^3.5/(1+$A$168)^3.5+$G$45*(1+B$167)/($A$168-B$167)/(1+$A$168)^6)+('00-三表与联动'!$B$10-'00-三表与联动'!$B$11))/'00-三表与联动'!$B$9</f>
        <v>311.520325769458</v>
      </c>
      <c r="C168" s="103" t="n">
        <f aca="false">IF($A$168&lt;=C$167,"n/a",($B$62*(1+$B$211)^3.5/(1+$A$168)^3.5+$G$45*(1+C$167)/($A$168-C$167)/(1+$A$168)^6)+('00-三表与联动'!$B$10-'00-三表与联动'!$B$11))/'00-三表与联动'!$B$9</f>
        <v>320.203535348564</v>
      </c>
      <c r="D168" s="103" t="n">
        <f aca="false">IF($A$168&lt;=D$167,"n/a",($B$62*(1+$B$211)^3.5/(1+$A$168)^3.5+$G$45*(1+D$167)/($A$168-D$167)/(1+$A$168)^6)+('00-三表与联动'!$B$10-'00-三表与联动'!$B$11))/'00-三表与联动'!$B$9</f>
        <v>329.9082989958</v>
      </c>
      <c r="E168" s="103" t="n">
        <f aca="false">IF($A$168&lt;=E$167,"n/a",($B$62*(1+$B$211)^3.5/(1+$A$168)^3.5+$G$45*(1+E$167)/($A$168-E$167)/(1+$A$168)^6)+('00-三表与联动'!$B$10-'00-三表与联动'!$B$11))/'00-三表与联动'!$B$9</f>
        <v>340.826158098941</v>
      </c>
      <c r="F168" s="103" t="n">
        <f aca="false">IF($A$168&lt;=F$167,"n/a",($B$62*(1+$B$211)^3.5/(1+$A$168)^3.5+$G$45*(1+F$167)/($A$168-F$167)/(1+$A$168)^6)+('00-三表与联动'!$B$10-'00-三表与联动'!$B$11))/'00-三表与联动'!$B$9</f>
        <v>353.199731749166</v>
      </c>
      <c r="G168" s="39"/>
      <c r="H168" s="138" t="n">
        <f aca="false">$B$211+-0.02</f>
        <v>0.11</v>
      </c>
      <c r="I168" s="103" t="n">
        <f aca="false">IF($H$168&lt;=$B$213,"n/a",($B$62*(1+$B$211)^3.5/(1+$H$168)^3.5+(($G$32*I$167-$G$32*$B$199)*(1-$B$201)+$G$40+($G$41+$G$42)+$G$44)*(1+$B$213)/($H$168-$B$213)/(1+$H$168)^6)+('00-三表与联动'!$B$10-'00-三表与联动'!$B$11))/'00-三表与联动'!$B$9</f>
        <v>262.811163119764</v>
      </c>
      <c r="J168" s="103" t="n">
        <f aca="false">IF($H$168&lt;=$B$213,"n/a",($B$62*(1+$B$211)^3.5/(1+$H$168)^3.5+(($G$32*J$167-$G$32*$B$199)*(1-$B$201)+$G$40+($G$41+$G$42)+$G$44)*(1+$B$213)/($H$168-$B$213)/(1+$H$168)^6)+('00-三表与联动'!$B$10-'00-三表与联动'!$B$11))/'00-三表与联动'!$B$9</f>
        <v>296.359731057782</v>
      </c>
      <c r="K168" s="103" t="n">
        <f aca="false">IF($H$168&lt;=$B$213,"n/a",($B$62*(1+$B$211)^3.5/(1+$H$168)^3.5+(($G$32*K$167-$G$32*$B$199)*(1-$B$201)+$G$40+($G$41+$G$42)+$G$44)*(1+$B$213)/($H$168-$B$213)/(1+$H$168)^6)+('00-三表与联动'!$B$10-'00-三表与联动'!$B$11))/'00-三表与联动'!$B$9</f>
        <v>329.9082989958</v>
      </c>
      <c r="L168" s="103" t="n">
        <f aca="false">IF($H$168&lt;=$B$213,"n/a",($B$62*(1+$B$211)^3.5/(1+$H$168)^3.5+(($G$32*L$167-$G$32*$B$199)*(1-$B$201)+$G$40+($G$41+$G$42)+$G$44)*(1+$B$213)/($H$168-$B$213)/(1+$H$168)^6)+('00-三表与联动'!$B$10-'00-三表与联动'!$B$11))/'00-三表与联动'!$B$9</f>
        <v>363.456866933818</v>
      </c>
      <c r="M168" s="103" t="n">
        <f aca="false">IF($H$168&lt;=$B$213,"n/a",($B$62*(1+$B$211)^3.5/(1+$H$168)^3.5+(($G$32*M$167-$G$32*$B$199)*(1-$B$201)+$G$40+($G$41+$G$42)+$G$44)*(1+$B$213)/($H$168-$B$213)/(1+$H$168)^6)+('00-三表与联动'!$B$10-'00-三表与联动'!$B$11))/'00-三表与联动'!$B$9</f>
        <v>397.005434871836</v>
      </c>
      <c r="N168" s="39"/>
    </row>
    <row r="169" customFormat="false" ht="18.75" hidden="false" customHeight="true" outlineLevel="0" collapsed="false">
      <c r="A169" s="138" t="n">
        <f aca="false">$B$211+-0.01</f>
        <v>0.12</v>
      </c>
      <c r="B169" s="103" t="n">
        <f aca="false">IF($A$169&lt;=B$167,"n/a",($B$62*(1+$B$211)^3.5/(1+$A$169)^3.5+$G$45*(1+B$167)/($A$169-B$167)/(1+$A$169)^6)+('00-三表与联动'!$B$10-'00-三表与联动'!$B$11))/'00-三表与联动'!$B$9</f>
        <v>286.580689149618</v>
      </c>
      <c r="C169" s="103" t="n">
        <f aca="false">IF($A$169&lt;=C$167,"n/a",($B$62*(1+$B$211)^3.5/(1+$A$169)^3.5+$G$45*(1+C$167)/($A$169-C$167)/(1+$A$169)^6)+('00-三表与联动'!$B$10-'00-三表与联动'!$B$11))/'00-三表与联动'!$B$9</f>
        <v>293.341236821844</v>
      </c>
      <c r="D169" s="103" t="n">
        <f aca="false">IF($A$169&lt;=D$167,"n/a",($B$62*(1+$B$211)^3.5/(1+$A$169)^3.5+$G$45*(1+D$167)/($A$169-D$167)/(1+$A$169)^6)+('00-三表与联动'!$B$10-'00-三表与联动'!$B$11))/'00-三表与联动'!$B$9</f>
        <v>300.813421091147</v>
      </c>
      <c r="E169" s="103" t="n">
        <f aca="false">IF($A$169&lt;=E$167,"n/a",($B$62*(1+$B$211)^3.5/(1+$A$169)^3.5+$G$45*(1+E$167)/($A$169-E$167)/(1+$A$169)^6)+('00-三表与联动'!$B$10-'00-三表与联动'!$B$11))/'00-三表与联动'!$B$9</f>
        <v>309.115848057039</v>
      </c>
      <c r="F169" s="103" t="n">
        <f aca="false">IF($A$169&lt;=F$167,"n/a",($B$62*(1+$B$211)^3.5/(1+$A$169)^3.5+$G$45*(1+F$167)/($A$169-F$167)/(1+$A$169)^6)+('00-三表与联动'!$B$10-'00-三表与联动'!$B$11))/'00-三表与联动'!$B$9</f>
        <v>318.395031136565</v>
      </c>
      <c r="G169" s="39"/>
      <c r="H169" s="138" t="n">
        <f aca="false">$B$211+-0.01</f>
        <v>0.12</v>
      </c>
      <c r="I169" s="103" t="n">
        <f aca="false">IF($H$169&lt;=$B$213,"n/a",($B$62*(1+$B$211)^3.5/(1+$H$169)^3.5+(($G$32*I$167-$G$32*$B$199)*(1-$B$201)+$G$40+($G$41+$G$42)+$G$44)*(1+$B$213)/($H$169-$B$213)/(1+$H$169)^6)+('00-三表与联动'!$B$10-'00-三表与联动'!$B$11))/'00-三表与联动'!$B$9</f>
        <v>243.924324219185</v>
      </c>
      <c r="J169" s="103" t="n">
        <f aca="false">IF($H$169&lt;=$B$213,"n/a",($B$62*(1+$B$211)^3.5/(1+$H$169)^3.5+(($G$32*J$167-$G$32*$B$199)*(1-$B$201)+$G$40+($G$41+$G$42)+$G$44)*(1+$B$213)/($H$169-$B$213)/(1+$H$169)^6)+('00-三表与联动'!$B$10-'00-三表与联动'!$B$11))/'00-三表与联动'!$B$9</f>
        <v>272.368872655166</v>
      </c>
      <c r="K169" s="103" t="n">
        <f aca="false">IF($H$169&lt;=$B$213,"n/a",($B$62*(1+$B$211)^3.5/(1+$H$169)^3.5+(($G$32*K$167-$G$32*$B$199)*(1-$B$201)+$G$40+($G$41+$G$42)+$G$44)*(1+$B$213)/($H$169-$B$213)/(1+$H$169)^6)+('00-三表与联动'!$B$10-'00-三表与联动'!$B$11))/'00-三表与联动'!$B$9</f>
        <v>300.813421091147</v>
      </c>
      <c r="L169" s="103" t="n">
        <f aca="false">IF($H$169&lt;=$B$213,"n/a",($B$62*(1+$B$211)^3.5/(1+$H$169)^3.5+(($G$32*L$167-$G$32*$B$199)*(1-$B$201)+$G$40+($G$41+$G$42)+$G$44)*(1+$B$213)/($H$169-$B$213)/(1+$H$169)^6)+('00-三表与联动'!$B$10-'00-三表与联动'!$B$11))/'00-三表与联动'!$B$9</f>
        <v>329.257969527127</v>
      </c>
      <c r="M169" s="103" t="n">
        <f aca="false">IF($H$169&lt;=$B$213,"n/a",($B$62*(1+$B$211)^3.5/(1+$H$169)^3.5+(($G$32*M$167-$G$32*$B$199)*(1-$B$201)+$G$40+($G$41+$G$42)+$G$44)*(1+$B$213)/($H$169-$B$213)/(1+$H$169)^6)+('00-三表与联动'!$B$10-'00-三表与联动'!$B$11))/'00-三表与联动'!$B$9</f>
        <v>357.702517963108</v>
      </c>
      <c r="N169" s="39"/>
    </row>
    <row r="170" customFormat="false" ht="18.75" hidden="false" customHeight="true" outlineLevel="0" collapsed="false">
      <c r="A170" s="138" t="n">
        <f aca="false">$B$211+0</f>
        <v>0.13</v>
      </c>
      <c r="B170" s="103" t="n">
        <f aca="false">IF($A$170&lt;=B$167,"n/a",($B$62*(1+$B$211)^3.5/(1+$A$170)^3.5+$G$45*(1+B$167)/($A$170-B$167)/(1+$A$170)^6)+('00-三表与联动'!$B$10-'00-三表与联动'!$B$11))/'00-三表与联动'!$B$9</f>
        <v>265.74056103155</v>
      </c>
      <c r="C170" s="103" t="n">
        <f aca="false">IF($A$170&lt;=C$167,"n/a",($B$62*(1+$B$211)^3.5/(1+$A$170)^3.5+$G$45*(1+C$167)/($A$170-C$167)/(1+$A$170)^6)+('00-三表与联动'!$B$10-'00-三表与联动'!$B$11))/'00-三表与联动'!$B$9</f>
        <v>271.108141316573</v>
      </c>
      <c r="D170" s="139" t="n">
        <f aca="false">IF($A$170&lt;=D$167,"n/a",($B$62*(1+$B$211)^3.5/(1+$A$170)^3.5+$G$45*(1+D$167)/($A$170-D$167)/(1+$A$170)^6)+('00-三表与联动'!$B$10-'00-三表与联动'!$B$11))/'00-三表与联动'!$B$9</f>
        <v>276.986919723978</v>
      </c>
      <c r="E170" s="103" t="n">
        <f aca="false">IF($A$170&lt;=E$167,"n/a",($B$62*(1+$B$211)^3.5/(1+$A$170)^3.5+$G$45*(1+E$167)/($A$170-E$167)/(1+$A$170)^6)+('00-三表与联动'!$B$10-'00-三表与联动'!$B$11))/'00-三表与联动'!$B$9</f>
        <v>283.453575972125</v>
      </c>
      <c r="F170" s="103" t="n">
        <f aca="false">IF($A$170&lt;=F$167,"n/a",($B$62*(1+$B$211)^3.5/(1+$A$170)^3.5+$G$45*(1+F$167)/($A$170-F$167)/(1+$A$170)^6)+('00-三表与联动'!$B$10-'00-三表与联动'!$B$11))/'00-三表与联动'!$B$9</f>
        <v>290.600932877971</v>
      </c>
      <c r="G170" s="39"/>
      <c r="H170" s="138" t="n">
        <f aca="false">$B$211+0</f>
        <v>0.13</v>
      </c>
      <c r="I170" s="103" t="n">
        <f aca="false">IF($H$170&lt;=$B$213,"n/a",($B$62*(1+$B$211)^3.5/(1+$H$170)^3.5+(($G$32*I$167-$G$32*$B$199)*(1-$B$201)+$G$40+($G$41+$G$42)+$G$44)*(1+$B$213)/($H$170-$B$213)/(1+$H$170)^6)+('00-三表与联动'!$B$10-'00-三表与联动'!$B$11))/'00-三表与联动'!$B$9</f>
        <v>228.189054788072</v>
      </c>
      <c r="J170" s="103" t="n">
        <f aca="false">IF($H$170&lt;=$B$213,"n/a",($B$62*(1+$B$211)^3.5/(1+$H$170)^3.5+(($G$32*J$167-$G$32*$B$199)*(1-$B$201)+$G$40+($G$41+$G$42)+$G$44)*(1+$B$213)/($H$170-$B$213)/(1+$H$170)^6)+('00-三表与联动'!$B$10-'00-三表与联动'!$B$11))/'00-三表与联动'!$B$9</f>
        <v>252.587987256025</v>
      </c>
      <c r="K170" s="139" t="n">
        <f aca="false">IF($H$170&lt;=$B$213,"n/a",($B$62*(1+$B$211)^3.5/(1+$H$170)^3.5+(($G$32*K$167-$G$32*$B$199)*(1-$B$201)+$G$40+($G$41+$G$42)+$G$44)*(1+$B$213)/($H$170-$B$213)/(1+$H$170)^6)+('00-三表与联动'!$B$10-'00-三表与联动'!$B$11))/'00-三表与联动'!$B$9</f>
        <v>276.986919723978</v>
      </c>
      <c r="L170" s="103" t="n">
        <f aca="false">IF($H$170&lt;=$B$213,"n/a",($B$62*(1+$B$211)^3.5/(1+$H$170)^3.5+(($G$32*L$167-$G$32*$B$199)*(1-$B$201)+$G$40+($G$41+$G$42)+$G$44)*(1+$B$213)/($H$170-$B$213)/(1+$H$170)^6)+('00-三表与联动'!$B$10-'00-三表与联动'!$B$11))/'00-三表与联动'!$B$9</f>
        <v>301.385852191931</v>
      </c>
      <c r="M170" s="103" t="n">
        <f aca="false">IF($H$170&lt;=$B$213,"n/a",($B$62*(1+$B$211)^3.5/(1+$H$170)^3.5+(($G$32*M$167-$G$32*$B$199)*(1-$B$201)+$G$40+($G$41+$G$42)+$G$44)*(1+$B$213)/($H$170-$B$213)/(1+$H$170)^6)+('00-三表与联动'!$B$10-'00-三表与联动'!$B$11))/'00-三表与联动'!$B$9</f>
        <v>325.784784659885</v>
      </c>
      <c r="N170" s="39"/>
    </row>
    <row r="171" customFormat="false" ht="18.75" hidden="false" customHeight="true" outlineLevel="0" collapsed="false">
      <c r="A171" s="138" t="n">
        <f aca="false">$B$211+0.01</f>
        <v>0.14</v>
      </c>
      <c r="B171" s="103" t="n">
        <f aca="false">IF($A$171&lt;=B$167,"n/a",($B$62*(1+$B$211)^3.5/(1+$A$171)^3.5+$G$45*(1+B$167)/($A$171-B$167)/(1+$A$171)^6)+('00-三表与联动'!$B$10-'00-三表与联动'!$B$11))/'00-三表与联动'!$B$9</f>
        <v>248.026873068708</v>
      </c>
      <c r="C171" s="103" t="n">
        <f aca="false">IF($A$171&lt;=C$167,"n/a",($B$62*(1+$B$211)^3.5/(1+$A$171)^3.5+$G$45*(1+C$167)/($A$171-C$167)/(1+$A$171)^6)+('00-三表与联动'!$B$10-'00-三表与联动'!$B$11))/'00-三表与联动'!$B$9</f>
        <v>252.358447448093</v>
      </c>
      <c r="D171" s="103" t="n">
        <f aca="false">IF($A$171&lt;=D$167,"n/a",($B$62*(1+$B$211)^3.5/(1+$A$171)^3.5+$G$45*(1+D$167)/($A$171-D$167)/(1+$A$171)^6)+('00-三表与联动'!$B$10-'00-三表与联动'!$B$11))/'00-三表与联动'!$B$9</f>
        <v>257.066680469163</v>
      </c>
      <c r="E171" s="103" t="n">
        <f aca="false">IF($A$171&lt;=E$167,"n/a",($B$62*(1+$B$211)^3.5/(1+$A$171)^3.5+$G$45*(1+E$167)/($A$171-E$167)/(1+$A$171)^6)+('00-三表与联动'!$B$10-'00-三表与联动'!$B$11))/'00-三表与联动'!$B$9</f>
        <v>262.202934673967</v>
      </c>
      <c r="F171" s="103" t="n">
        <f aca="false">IF($A$171&lt;=F$167,"n/a",($B$62*(1+$B$211)^3.5/(1+$A$171)^3.5+$G$45*(1+F$167)/($A$171-F$167)/(1+$A$171)^6)+('00-三表与联动'!$B$10-'00-三表与联动'!$B$11))/'00-三表与联动'!$B$9</f>
        <v>267.828355945895</v>
      </c>
      <c r="G171" s="39"/>
      <c r="H171" s="138" t="n">
        <f aca="false">$B$211+0.01</f>
        <v>0.14</v>
      </c>
      <c r="I171" s="103" t="n">
        <f aca="false">IF($H$171&lt;=$B$213,"n/a",($B$62*(1+$B$211)^3.5/(1+$H$171)^3.5+(($G$32*I$167-$G$32*$B$199)*(1-$B$201)+$G$40+($G$41+$G$42)+$G$44)*(1+$B$213)/($H$171-$B$213)/(1+$H$171)^6)+('00-三表与联动'!$B$10-'00-三表与联动'!$B$11))/'00-三表与联动'!$B$9</f>
        <v>214.806258200821</v>
      </c>
      <c r="J171" s="103" t="n">
        <f aca="false">IF($H$171&lt;=$B$213,"n/a",($B$62*(1+$B$211)^3.5/(1+$H$171)^3.5+(($G$32*J$167-$G$32*$B$199)*(1-$B$201)+$G$40+($G$41+$G$42)+$G$44)*(1+$B$213)/($H$171-$B$213)/(1+$H$171)^6)+('00-三表与联动'!$B$10-'00-三表与联动'!$B$11))/'00-三表与联动'!$B$9</f>
        <v>235.936469334992</v>
      </c>
      <c r="K171" s="103" t="n">
        <f aca="false">IF($H$171&lt;=$B$213,"n/a",($B$62*(1+$B$211)^3.5/(1+$H$171)^3.5+(($G$32*K$167-$G$32*$B$199)*(1-$B$201)+$G$40+($G$41+$G$42)+$G$44)*(1+$B$213)/($H$171-$B$213)/(1+$H$171)^6)+('00-三表与联动'!$B$10-'00-三表与联动'!$B$11))/'00-三表与联动'!$B$9</f>
        <v>257.066680469163</v>
      </c>
      <c r="L171" s="103" t="n">
        <f aca="false">IF($H$171&lt;=$B$213,"n/a",($B$62*(1+$B$211)^3.5/(1+$H$171)^3.5+(($G$32*L$167-$G$32*$B$199)*(1-$B$201)+$G$40+($G$41+$G$42)+$G$44)*(1+$B$213)/($H$171-$B$213)/(1+$H$171)^6)+('00-三表与联动'!$B$10-'00-三表与联动'!$B$11))/'00-三表与联动'!$B$9</f>
        <v>278.196891603334</v>
      </c>
      <c r="M171" s="103" t="n">
        <f aca="false">IF($H$171&lt;=$B$213,"n/a",($B$62*(1+$B$211)^3.5/(1+$H$171)^3.5+(($G$32*M$167-$G$32*$B$199)*(1-$B$201)+$G$40+($G$41+$G$42)+$G$44)*(1+$B$213)/($H$171-$B$213)/(1+$H$171)^6)+('00-三表与联动'!$B$10-'00-三表与联动'!$B$11))/'00-三表与联动'!$B$9</f>
        <v>299.327102737504</v>
      </c>
      <c r="N171" s="39"/>
    </row>
    <row r="172" customFormat="false" ht="18.75" hidden="false" customHeight="true" outlineLevel="0" collapsed="false">
      <c r="A172" s="138" t="n">
        <f aca="false">$B$211+0.02</f>
        <v>0.15</v>
      </c>
      <c r="B172" s="103" t="n">
        <f aca="false">IF($A$172&lt;=B$167,"n/a",($B$62*(1+$B$211)^3.5/(1+$A$172)^3.5+$G$45*(1+B$167)/($A$172-B$167)/(1+$A$172)^6)+('00-三表与联动'!$B$10-'00-三表与联动'!$B$11))/'00-三表与联动'!$B$9</f>
        <v>232.75449451572</v>
      </c>
      <c r="C172" s="103" t="n">
        <f aca="false">IF($A$172&lt;=C$167,"n/a",($B$62*(1+$B$211)^3.5/(1+$A$172)^3.5+$G$45*(1+C$167)/($A$172-C$167)/(1+$A$172)^6)+('00-三表与联动'!$B$10-'00-三表与联动'!$B$11))/'00-三表与联动'!$B$9</f>
        <v>236.298504766907</v>
      </c>
      <c r="D172" s="103" t="n">
        <f aca="false">IF($A$172&lt;=D$167,"n/a",($B$62*(1+$B$211)^3.5/(1+$A$172)^3.5+$G$45*(1+D$167)/($A$172-D$167)/(1+$A$172)^6)+('00-三表与联动'!$B$10-'00-三表与联动'!$B$11))/'00-三表与联动'!$B$9</f>
        <v>240.126035838188</v>
      </c>
      <c r="E172" s="103" t="n">
        <f aca="false">IF($A$172&lt;=E$167,"n/a",($B$62*(1+$B$211)^3.5/(1+$A$172)^3.5+$G$45*(1+E$167)/($A$172-E$167)/(1+$A$172)^6)+('00-三表与联动'!$B$10-'00-三表与联动'!$B$11))/'00-三表与联动'!$B$9</f>
        <v>244.272527832075</v>
      </c>
      <c r="F172" s="103" t="n">
        <f aca="false">IF($A$172&lt;=F$167,"n/a",($B$62*(1+$B$211)^3.5/(1+$A$172)^3.5+$G$45*(1+F$167)/($A$172-F$167)/(1+$A$172)^6)+('00-三表与联动'!$B$10-'00-三表与联动'!$B$11))/'00-三表与联动'!$B$9</f>
        <v>248.779584347171</v>
      </c>
      <c r="G172" s="39"/>
      <c r="H172" s="138" t="n">
        <f aca="false">$B$211+0.02</f>
        <v>0.15</v>
      </c>
      <c r="I172" s="103" t="n">
        <f aca="false">IF($H$172&lt;=$B$213,"n/a",($B$62*(1+$B$211)^3.5/(1+$H$172)^3.5+(($G$32*I$167-$G$32*$B$199)*(1-$B$201)+$G$40+($G$41+$G$42)+$G$44)*(1+$B$213)/($H$172-$B$213)/(1+$H$172)^6)+('00-三表与联动'!$B$10-'00-三表与联动'!$B$11))/'00-三表与联动'!$B$9</f>
        <v>203.231357744624</v>
      </c>
      <c r="J172" s="103" t="n">
        <f aca="false">IF($H$172&lt;=$B$213,"n/a",($B$62*(1+$B$211)^3.5/(1+$H$172)^3.5+(($G$32*J$167-$G$32*$B$199)*(1-$B$201)+$G$40+($G$41+$G$42)+$G$44)*(1+$B$213)/($H$172-$B$213)/(1+$H$172)^6)+('00-三表与联动'!$B$10-'00-三表与联动'!$B$11))/'00-三表与联动'!$B$9</f>
        <v>221.678696791406</v>
      </c>
      <c r="K172" s="103" t="n">
        <f aca="false">IF($H$172&lt;=$B$213,"n/a",($B$62*(1+$B$211)^3.5/(1+$H$172)^3.5+(($G$32*K$167-$G$32*$B$199)*(1-$B$201)+$G$40+($G$41+$G$42)+$G$44)*(1+$B$213)/($H$172-$B$213)/(1+$H$172)^6)+('00-三表与联动'!$B$10-'00-三表与联动'!$B$11))/'00-三表与联动'!$B$9</f>
        <v>240.126035838188</v>
      </c>
      <c r="L172" s="103" t="n">
        <f aca="false">IF($H$172&lt;=$B$213,"n/a",($B$62*(1+$B$211)^3.5/(1+$H$172)^3.5+(($G$32*L$167-$G$32*$B$199)*(1-$B$201)+$G$40+($G$41+$G$42)+$G$44)*(1+$B$213)/($H$172-$B$213)/(1+$H$172)^6)+('00-三表与联动'!$B$10-'00-三表与联动'!$B$11))/'00-三表与联动'!$B$9</f>
        <v>258.573374884969</v>
      </c>
      <c r="M172" s="103" t="n">
        <f aca="false">IF($H$172&lt;=$B$213,"n/a",($B$62*(1+$B$211)^3.5/(1+$H$172)^3.5+(($G$32*M$167-$G$32*$B$199)*(1-$B$201)+$G$40+($G$41+$G$42)+$G$44)*(1+$B$213)/($H$172-$B$213)/(1+$H$172)^6)+('00-三表与联动'!$B$10-'00-三表与联动'!$B$11))/'00-三表与联动'!$B$9</f>
        <v>277.020713931751</v>
      </c>
      <c r="N172" s="39"/>
    </row>
    <row r="173" customFormat="false" ht="24" hidden="false" customHeight="true" outlineLevel="0" collapsed="false">
      <c r="A173" s="73" t="s">
        <v>501</v>
      </c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</row>
    <row r="174" customFormat="false" ht="33" hidden="false" customHeight="true" outlineLevel="0" collapsed="false">
      <c r="A174" s="140" t="s">
        <v>502</v>
      </c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</row>
    <row r="175" customFormat="false" ht="27" hidden="false" customHeight="true" outlineLevel="0" collapsed="false">
      <c r="A175" s="4" t="s">
        <v>503</v>
      </c>
      <c r="B175" s="4" t="s">
        <v>504</v>
      </c>
      <c r="C175" s="4" t="s">
        <v>505</v>
      </c>
      <c r="D175" s="4"/>
      <c r="E175" s="4" t="s">
        <v>506</v>
      </c>
      <c r="F175" s="4"/>
      <c r="G175" s="4"/>
      <c r="H175" s="4"/>
      <c r="I175" s="4"/>
      <c r="J175" s="4" t="s">
        <v>507</v>
      </c>
      <c r="K175" s="4"/>
      <c r="L175" s="4"/>
      <c r="M175" s="4"/>
      <c r="N175" s="4"/>
    </row>
    <row r="176" customFormat="false" ht="43.5" hidden="false" customHeight="true" outlineLevel="0" collapsed="false">
      <c r="A176" s="128" t="s">
        <v>508</v>
      </c>
      <c r="B176" s="141" t="s">
        <v>509</v>
      </c>
      <c r="C176" s="48" t="s">
        <v>510</v>
      </c>
      <c r="D176" s="48"/>
      <c r="E176" s="142" t="s">
        <v>511</v>
      </c>
      <c r="F176" s="142"/>
      <c r="G176" s="142"/>
      <c r="H176" s="142"/>
      <c r="I176" s="142"/>
      <c r="J176" s="143" t="s">
        <v>512</v>
      </c>
      <c r="K176" s="143"/>
      <c r="L176" s="143"/>
      <c r="M176" s="143"/>
      <c r="N176" s="143"/>
    </row>
    <row r="177" customFormat="false" ht="39.75" hidden="false" customHeight="true" outlineLevel="0" collapsed="false">
      <c r="A177" s="68" t="s">
        <v>513</v>
      </c>
      <c r="B177" s="141" t="s">
        <v>514</v>
      </c>
      <c r="C177" s="48" t="s">
        <v>515</v>
      </c>
      <c r="D177" s="48"/>
      <c r="E177" s="144" t="s">
        <v>516</v>
      </c>
      <c r="F177" s="144"/>
      <c r="G177" s="144"/>
      <c r="H177" s="144"/>
      <c r="I177" s="144"/>
      <c r="J177" s="145" t="s">
        <v>517</v>
      </c>
      <c r="K177" s="145"/>
      <c r="L177" s="145"/>
      <c r="M177" s="145"/>
      <c r="N177" s="145"/>
    </row>
    <row r="178" customFormat="false" ht="43.5" hidden="false" customHeight="true" outlineLevel="0" collapsed="false">
      <c r="A178" s="68" t="s">
        <v>518</v>
      </c>
      <c r="B178" s="146" t="s">
        <v>519</v>
      </c>
      <c r="C178" s="48" t="s">
        <v>520</v>
      </c>
      <c r="D178" s="48"/>
      <c r="E178" s="144" t="s">
        <v>521</v>
      </c>
      <c r="F178" s="144"/>
      <c r="G178" s="144"/>
      <c r="H178" s="144"/>
      <c r="I178" s="144"/>
      <c r="J178" s="145" t="s">
        <v>522</v>
      </c>
      <c r="K178" s="145"/>
      <c r="L178" s="145"/>
      <c r="M178" s="145"/>
      <c r="N178" s="145"/>
    </row>
    <row r="179" customFormat="false" ht="39.75" hidden="false" customHeight="true" outlineLevel="0" collapsed="false">
      <c r="A179" s="68" t="s">
        <v>523</v>
      </c>
      <c r="B179" s="146" t="s">
        <v>524</v>
      </c>
      <c r="C179" s="48" t="s">
        <v>525</v>
      </c>
      <c r="D179" s="48"/>
      <c r="E179" s="144" t="s">
        <v>526</v>
      </c>
      <c r="F179" s="144"/>
      <c r="G179" s="144"/>
      <c r="H179" s="144"/>
      <c r="I179" s="144"/>
      <c r="J179" s="145" t="s">
        <v>527</v>
      </c>
      <c r="K179" s="145"/>
      <c r="L179" s="145"/>
      <c r="M179" s="145"/>
      <c r="N179" s="145"/>
    </row>
    <row r="180" customFormat="false" ht="39.75" hidden="false" customHeight="true" outlineLevel="0" collapsed="false">
      <c r="A180" s="128" t="s">
        <v>528</v>
      </c>
      <c r="B180" s="146" t="s">
        <v>529</v>
      </c>
      <c r="C180" s="49" t="s">
        <v>530</v>
      </c>
      <c r="D180" s="49"/>
      <c r="E180" s="144" t="s">
        <v>531</v>
      </c>
      <c r="F180" s="144"/>
      <c r="G180" s="144"/>
      <c r="H180" s="144"/>
      <c r="I180" s="144"/>
      <c r="J180" s="145" t="s">
        <v>532</v>
      </c>
      <c r="K180" s="145"/>
      <c r="L180" s="145"/>
      <c r="M180" s="145"/>
      <c r="N180" s="145"/>
    </row>
    <row r="181" customFormat="false" ht="33" hidden="false" customHeight="true" outlineLevel="0" collapsed="false">
      <c r="A181" s="43" t="s">
        <v>533</v>
      </c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</row>
    <row r="183" customFormat="false" ht="33" hidden="false" customHeight="true" outlineLevel="0" collapsed="false">
      <c r="A183" s="43" t="s">
        <v>534</v>
      </c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</row>
    <row r="186" customFormat="false" ht="24" hidden="false" customHeight="true" outlineLevel="0" collapsed="false">
      <c r="A186" s="13" t="s">
        <v>535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 customFormat="false" ht="33" hidden="false" customHeight="true" outlineLevel="0" collapsed="false">
      <c r="A187" s="74" t="s">
        <v>536</v>
      </c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</row>
    <row r="188" customFormat="false" ht="27" hidden="false" customHeight="true" outlineLevel="0" collapsed="false">
      <c r="A188" s="4" t="s">
        <v>328</v>
      </c>
      <c r="B188" s="4" t="s">
        <v>466</v>
      </c>
      <c r="C188" s="4" t="s">
        <v>467</v>
      </c>
      <c r="D188" s="4"/>
      <c r="E188" s="4"/>
      <c r="F188" s="4"/>
      <c r="G188" s="4"/>
      <c r="H188" s="4" t="s">
        <v>468</v>
      </c>
      <c r="I188" s="4" t="s">
        <v>469</v>
      </c>
      <c r="J188" s="4" t="s">
        <v>94</v>
      </c>
      <c r="K188" s="4"/>
      <c r="L188" s="4"/>
      <c r="M188" s="4"/>
      <c r="N188" s="4"/>
    </row>
    <row r="189" customFormat="false" ht="30" hidden="false" customHeight="true" outlineLevel="0" collapsed="false">
      <c r="A189" s="128" t="s">
        <v>537</v>
      </c>
      <c r="B189" s="147" t="n">
        <f aca="false">H189*500</f>
        <v>52000</v>
      </c>
      <c r="C189" s="123"/>
      <c r="D189" s="123"/>
      <c r="E189" s="123"/>
      <c r="F189" s="123"/>
      <c r="G189" s="123"/>
      <c r="H189" s="124" t="n">
        <v>104</v>
      </c>
      <c r="I189" s="125" t="s">
        <v>538</v>
      </c>
      <c r="J189" s="148" t="s">
        <v>539</v>
      </c>
      <c r="K189" s="148"/>
      <c r="L189" s="148"/>
      <c r="M189" s="148"/>
      <c r="N189" s="148"/>
    </row>
    <row r="190" customFormat="false" ht="30" hidden="false" customHeight="true" outlineLevel="0" collapsed="false">
      <c r="A190" s="128"/>
      <c r="B190" s="147"/>
      <c r="C190" s="123"/>
      <c r="D190" s="123"/>
      <c r="E190" s="123"/>
      <c r="F190" s="123"/>
      <c r="G190" s="123"/>
      <c r="H190" s="124"/>
      <c r="I190" s="125"/>
      <c r="J190" s="125"/>
      <c r="K190" s="148"/>
      <c r="L190" s="148"/>
      <c r="M190" s="148"/>
      <c r="N190" s="148"/>
    </row>
    <row r="191" customFormat="false" ht="30" hidden="false" customHeight="true" outlineLevel="0" collapsed="false">
      <c r="A191" s="128" t="s">
        <v>540</v>
      </c>
      <c r="B191" s="149" t="n">
        <f aca="false">(H191-100)/1000</f>
        <v>0</v>
      </c>
      <c r="C191" s="123"/>
      <c r="D191" s="123"/>
      <c r="E191" s="123"/>
      <c r="F191" s="123"/>
      <c r="G191" s="123"/>
      <c r="H191" s="124" t="n">
        <v>100</v>
      </c>
      <c r="I191" s="125" t="s">
        <v>541</v>
      </c>
      <c r="J191" s="126" t="s">
        <v>542</v>
      </c>
      <c r="K191" s="126"/>
      <c r="L191" s="126"/>
      <c r="M191" s="126"/>
      <c r="N191" s="126"/>
    </row>
    <row r="192" customFormat="false" ht="30" hidden="false" customHeight="true" outlineLevel="0" collapsed="false">
      <c r="A192" s="128"/>
      <c r="B192" s="149"/>
      <c r="C192" s="123"/>
      <c r="D192" s="123"/>
      <c r="E192" s="123"/>
      <c r="F192" s="123"/>
      <c r="G192" s="123"/>
      <c r="H192" s="124"/>
      <c r="I192" s="125"/>
      <c r="J192" s="125"/>
      <c r="K192" s="126"/>
      <c r="L192" s="126"/>
      <c r="M192" s="126"/>
      <c r="N192" s="126"/>
    </row>
    <row r="193" customFormat="false" ht="30" hidden="false" customHeight="true" outlineLevel="0" collapsed="false">
      <c r="A193" s="68" t="s">
        <v>543</v>
      </c>
      <c r="B193" s="149" t="n">
        <f aca="false">(H193-150)/1000</f>
        <v>0</v>
      </c>
      <c r="C193" s="123"/>
      <c r="D193" s="123"/>
      <c r="E193" s="123"/>
      <c r="F193" s="123"/>
      <c r="G193" s="123"/>
      <c r="H193" s="124" t="n">
        <v>150</v>
      </c>
      <c r="I193" s="125" t="s">
        <v>544</v>
      </c>
      <c r="J193" s="126" t="s">
        <v>545</v>
      </c>
      <c r="K193" s="126"/>
      <c r="L193" s="126"/>
      <c r="M193" s="126"/>
      <c r="N193" s="126"/>
    </row>
    <row r="194" customFormat="false" ht="30" hidden="false" customHeight="true" outlineLevel="0" collapsed="false">
      <c r="A194" s="68"/>
      <c r="B194" s="149"/>
      <c r="C194" s="123"/>
      <c r="D194" s="123"/>
      <c r="E194" s="123"/>
      <c r="F194" s="123"/>
      <c r="G194" s="123"/>
      <c r="H194" s="124"/>
      <c r="I194" s="125"/>
      <c r="J194" s="125"/>
      <c r="K194" s="126"/>
      <c r="L194" s="126"/>
      <c r="M194" s="126"/>
      <c r="N194" s="126"/>
    </row>
    <row r="195" customFormat="false" ht="30" hidden="false" customHeight="true" outlineLevel="0" collapsed="false">
      <c r="A195" s="68" t="s">
        <v>546</v>
      </c>
      <c r="B195" s="122" t="n">
        <f aca="false">H195/1000</f>
        <v>0.43</v>
      </c>
      <c r="C195" s="123"/>
      <c r="D195" s="123"/>
      <c r="E195" s="123"/>
      <c r="F195" s="123"/>
      <c r="G195" s="123"/>
      <c r="H195" s="124" t="n">
        <v>430</v>
      </c>
      <c r="I195" s="125" t="s">
        <v>547</v>
      </c>
      <c r="J195" s="126" t="s">
        <v>548</v>
      </c>
      <c r="K195" s="126"/>
      <c r="L195" s="126"/>
      <c r="M195" s="126"/>
      <c r="N195" s="126"/>
    </row>
    <row r="196" customFormat="false" ht="30" hidden="false" customHeight="true" outlineLevel="0" collapsed="false">
      <c r="A196" s="68"/>
      <c r="B196" s="122"/>
      <c r="C196" s="123"/>
      <c r="D196" s="123"/>
      <c r="E196" s="123"/>
      <c r="F196" s="123"/>
      <c r="G196" s="123"/>
      <c r="H196" s="124"/>
      <c r="I196" s="125"/>
      <c r="J196" s="125"/>
      <c r="K196" s="126"/>
      <c r="L196" s="126"/>
      <c r="M196" s="126"/>
      <c r="N196" s="126"/>
    </row>
    <row r="197" customFormat="false" ht="30" hidden="false" customHeight="true" outlineLevel="0" collapsed="false">
      <c r="A197" s="128" t="s">
        <v>549</v>
      </c>
      <c r="B197" s="149" t="n">
        <f aca="false">(H197-100)/1000</f>
        <v>0</v>
      </c>
      <c r="C197" s="123"/>
      <c r="D197" s="123"/>
      <c r="E197" s="123"/>
      <c r="F197" s="123"/>
      <c r="G197" s="123"/>
      <c r="H197" s="124" t="n">
        <v>100</v>
      </c>
      <c r="I197" s="125" t="s">
        <v>550</v>
      </c>
      <c r="J197" s="126" t="s">
        <v>551</v>
      </c>
      <c r="K197" s="126"/>
      <c r="L197" s="126"/>
      <c r="M197" s="126"/>
      <c r="N197" s="126"/>
    </row>
    <row r="198" customFormat="false" ht="30" hidden="false" customHeight="true" outlineLevel="0" collapsed="false">
      <c r="A198" s="128"/>
      <c r="B198" s="149"/>
      <c r="C198" s="123"/>
      <c r="D198" s="123"/>
      <c r="E198" s="123"/>
      <c r="F198" s="123"/>
      <c r="G198" s="123"/>
      <c r="H198" s="124"/>
      <c r="I198" s="125"/>
      <c r="J198" s="125"/>
      <c r="K198" s="126"/>
      <c r="L198" s="126"/>
      <c r="M198" s="126"/>
      <c r="N198" s="126"/>
    </row>
    <row r="199" customFormat="false" ht="30" hidden="false" customHeight="true" outlineLevel="0" collapsed="false">
      <c r="A199" s="68" t="s">
        <v>552</v>
      </c>
      <c r="B199" s="122" t="n">
        <f aca="false">H199/1000</f>
        <v>0.055</v>
      </c>
      <c r="C199" s="123"/>
      <c r="D199" s="123"/>
      <c r="E199" s="123"/>
      <c r="F199" s="123"/>
      <c r="G199" s="123"/>
      <c r="H199" s="124" t="n">
        <v>55</v>
      </c>
      <c r="I199" s="125" t="s">
        <v>553</v>
      </c>
      <c r="J199" s="148" t="s">
        <v>554</v>
      </c>
      <c r="K199" s="148"/>
      <c r="L199" s="148"/>
      <c r="M199" s="148"/>
      <c r="N199" s="148"/>
    </row>
    <row r="200" customFormat="false" ht="30" hidden="false" customHeight="true" outlineLevel="0" collapsed="false">
      <c r="A200" s="68"/>
      <c r="B200" s="122"/>
      <c r="C200" s="123"/>
      <c r="D200" s="123"/>
      <c r="E200" s="123"/>
      <c r="F200" s="123"/>
      <c r="G200" s="123"/>
      <c r="H200" s="124"/>
      <c r="I200" s="125"/>
      <c r="J200" s="125"/>
      <c r="K200" s="148"/>
      <c r="L200" s="148"/>
      <c r="M200" s="148"/>
      <c r="N200" s="148"/>
    </row>
    <row r="201" customFormat="false" ht="30" hidden="false" customHeight="true" outlineLevel="0" collapsed="false">
      <c r="A201" s="68" t="s">
        <v>555</v>
      </c>
      <c r="B201" s="122" t="n">
        <f aca="false">H201/1000</f>
        <v>0.18</v>
      </c>
      <c r="C201" s="123"/>
      <c r="D201" s="123"/>
      <c r="E201" s="123"/>
      <c r="F201" s="123"/>
      <c r="G201" s="123"/>
      <c r="H201" s="124" t="n">
        <v>180</v>
      </c>
      <c r="I201" s="125" t="s">
        <v>556</v>
      </c>
      <c r="J201" s="148" t="s">
        <v>557</v>
      </c>
      <c r="K201" s="148"/>
      <c r="L201" s="148"/>
      <c r="M201" s="148"/>
      <c r="N201" s="148"/>
    </row>
    <row r="202" customFormat="false" ht="30" hidden="false" customHeight="true" outlineLevel="0" collapsed="false">
      <c r="A202" s="68"/>
      <c r="B202" s="122"/>
      <c r="C202" s="123"/>
      <c r="D202" s="123"/>
      <c r="E202" s="123"/>
      <c r="F202" s="123"/>
      <c r="G202" s="123"/>
      <c r="H202" s="124"/>
      <c r="I202" s="125"/>
      <c r="J202" s="125"/>
      <c r="K202" s="148"/>
      <c r="L202" s="148"/>
      <c r="M202" s="148"/>
      <c r="N202" s="148"/>
    </row>
    <row r="203" customFormat="false" ht="30" hidden="false" customHeight="true" outlineLevel="0" collapsed="false">
      <c r="A203" s="68" t="s">
        <v>558</v>
      </c>
      <c r="B203" s="122" t="n">
        <f aca="false">H203/1000</f>
        <v>0.23</v>
      </c>
      <c r="C203" s="123"/>
      <c r="D203" s="123"/>
      <c r="E203" s="123"/>
      <c r="F203" s="123"/>
      <c r="G203" s="123"/>
      <c r="H203" s="124" t="n">
        <v>230</v>
      </c>
      <c r="I203" s="125" t="s">
        <v>559</v>
      </c>
      <c r="J203" s="148" t="s">
        <v>560</v>
      </c>
      <c r="K203" s="148"/>
      <c r="L203" s="148"/>
      <c r="M203" s="148"/>
      <c r="N203" s="148"/>
    </row>
    <row r="204" customFormat="false" ht="30" hidden="false" customHeight="true" outlineLevel="0" collapsed="false">
      <c r="A204" s="68"/>
      <c r="B204" s="122"/>
      <c r="C204" s="123"/>
      <c r="D204" s="123"/>
      <c r="E204" s="123"/>
      <c r="F204" s="123"/>
      <c r="G204" s="123"/>
      <c r="H204" s="124"/>
      <c r="I204" s="125"/>
      <c r="J204" s="125"/>
      <c r="K204" s="148"/>
      <c r="L204" s="148"/>
      <c r="M204" s="148"/>
      <c r="N204" s="148"/>
    </row>
    <row r="205" customFormat="false" ht="30" hidden="false" customHeight="true" outlineLevel="0" collapsed="false">
      <c r="A205" s="68" t="s">
        <v>561</v>
      </c>
      <c r="B205" s="122" t="n">
        <f aca="false">H205/1000</f>
        <v>0.12</v>
      </c>
      <c r="C205" s="123"/>
      <c r="D205" s="123"/>
      <c r="E205" s="123"/>
      <c r="F205" s="123"/>
      <c r="G205" s="123"/>
      <c r="H205" s="124" t="n">
        <v>120</v>
      </c>
      <c r="I205" s="125" t="s">
        <v>562</v>
      </c>
      <c r="J205" s="148" t="s">
        <v>563</v>
      </c>
      <c r="K205" s="148"/>
      <c r="L205" s="148"/>
      <c r="M205" s="148"/>
      <c r="N205" s="148"/>
    </row>
    <row r="206" customFormat="false" ht="30" hidden="false" customHeight="true" outlineLevel="0" collapsed="false">
      <c r="A206" s="68"/>
      <c r="B206" s="122"/>
      <c r="C206" s="123"/>
      <c r="D206" s="123"/>
      <c r="E206" s="123"/>
      <c r="F206" s="123"/>
      <c r="G206" s="123"/>
      <c r="H206" s="124"/>
      <c r="I206" s="125"/>
      <c r="J206" s="125"/>
      <c r="K206" s="148"/>
      <c r="L206" s="148"/>
      <c r="M206" s="148"/>
      <c r="N206" s="148"/>
    </row>
    <row r="207" customFormat="false" ht="30" hidden="false" customHeight="true" outlineLevel="0" collapsed="false">
      <c r="A207" s="68" t="s">
        <v>564</v>
      </c>
      <c r="B207" s="122" t="n">
        <f aca="false">H207/1000</f>
        <v>0.105</v>
      </c>
      <c r="C207" s="123"/>
      <c r="D207" s="123"/>
      <c r="E207" s="123"/>
      <c r="F207" s="123"/>
      <c r="G207" s="123"/>
      <c r="H207" s="124" t="n">
        <v>105</v>
      </c>
      <c r="I207" s="125" t="s">
        <v>565</v>
      </c>
      <c r="J207" s="148" t="s">
        <v>566</v>
      </c>
      <c r="K207" s="148"/>
      <c r="L207" s="148"/>
      <c r="M207" s="148"/>
      <c r="N207" s="148"/>
    </row>
    <row r="208" customFormat="false" ht="30" hidden="false" customHeight="true" outlineLevel="0" collapsed="false">
      <c r="A208" s="68"/>
      <c r="B208" s="122"/>
      <c r="C208" s="123"/>
      <c r="D208" s="123"/>
      <c r="E208" s="123"/>
      <c r="F208" s="123"/>
      <c r="G208" s="123"/>
      <c r="H208" s="124"/>
      <c r="I208" s="125"/>
      <c r="J208" s="125"/>
      <c r="K208" s="148"/>
      <c r="L208" s="148"/>
      <c r="M208" s="148"/>
      <c r="N208" s="148"/>
    </row>
    <row r="209" customFormat="false" ht="30" hidden="false" customHeight="true" outlineLevel="0" collapsed="false">
      <c r="A209" s="68" t="s">
        <v>567</v>
      </c>
      <c r="B209" s="122" t="n">
        <f aca="false">H209/1000</f>
        <v>0.175</v>
      </c>
      <c r="C209" s="123"/>
      <c r="D209" s="123"/>
      <c r="E209" s="123"/>
      <c r="F209" s="123"/>
      <c r="G209" s="123"/>
      <c r="H209" s="124" t="n">
        <v>175</v>
      </c>
      <c r="I209" s="125" t="s">
        <v>568</v>
      </c>
      <c r="J209" s="126" t="s">
        <v>569</v>
      </c>
      <c r="K209" s="126"/>
      <c r="L209" s="126"/>
      <c r="M209" s="126"/>
      <c r="N209" s="126"/>
    </row>
    <row r="210" customFormat="false" ht="30" hidden="false" customHeight="true" outlineLevel="0" collapsed="false">
      <c r="A210" s="68"/>
      <c r="B210" s="122"/>
      <c r="C210" s="123"/>
      <c r="D210" s="123"/>
      <c r="E210" s="123"/>
      <c r="F210" s="123"/>
      <c r="G210" s="123"/>
      <c r="H210" s="124"/>
      <c r="I210" s="125"/>
      <c r="J210" s="125"/>
      <c r="K210" s="126"/>
      <c r="L210" s="126"/>
      <c r="M210" s="126"/>
      <c r="N210" s="126"/>
    </row>
    <row r="211" customFormat="false" ht="30" hidden="false" customHeight="true" outlineLevel="0" collapsed="false">
      <c r="A211" s="68" t="s">
        <v>570</v>
      </c>
      <c r="B211" s="122" t="n">
        <f aca="false">H211/1000</f>
        <v>0.13</v>
      </c>
      <c r="C211" s="123"/>
      <c r="D211" s="123"/>
      <c r="E211" s="123"/>
      <c r="F211" s="123"/>
      <c r="G211" s="123"/>
      <c r="H211" s="124" t="n">
        <v>130</v>
      </c>
      <c r="I211" s="125" t="s">
        <v>571</v>
      </c>
      <c r="J211" s="148" t="s">
        <v>572</v>
      </c>
      <c r="K211" s="148"/>
      <c r="L211" s="148"/>
      <c r="M211" s="148"/>
      <c r="N211" s="148"/>
    </row>
    <row r="212" customFormat="false" ht="30" hidden="false" customHeight="true" outlineLevel="0" collapsed="false">
      <c r="A212" s="68"/>
      <c r="B212" s="122"/>
      <c r="C212" s="123"/>
      <c r="D212" s="123"/>
      <c r="E212" s="123"/>
      <c r="F212" s="123"/>
      <c r="G212" s="123"/>
      <c r="H212" s="124"/>
      <c r="I212" s="125"/>
      <c r="J212" s="125"/>
      <c r="K212" s="148"/>
      <c r="L212" s="148"/>
      <c r="M212" s="148"/>
      <c r="N212" s="148"/>
    </row>
    <row r="213" customFormat="false" ht="30" hidden="false" customHeight="true" outlineLevel="0" collapsed="false">
      <c r="A213" s="68" t="s">
        <v>573</v>
      </c>
      <c r="B213" s="122" t="n">
        <f aca="false">H213/1000</f>
        <v>0.025</v>
      </c>
      <c r="C213" s="123"/>
      <c r="D213" s="123"/>
      <c r="E213" s="123"/>
      <c r="F213" s="123"/>
      <c r="G213" s="123"/>
      <c r="H213" s="124" t="n">
        <v>25</v>
      </c>
      <c r="I213" s="125" t="s">
        <v>574</v>
      </c>
      <c r="J213" s="126" t="s">
        <v>575</v>
      </c>
      <c r="K213" s="126"/>
      <c r="L213" s="126"/>
      <c r="M213" s="126"/>
      <c r="N213" s="126"/>
    </row>
    <row r="214" customFormat="false" ht="30" hidden="false" customHeight="true" outlineLevel="0" collapsed="false">
      <c r="A214" s="68"/>
      <c r="B214" s="122"/>
      <c r="C214" s="123"/>
      <c r="D214" s="123"/>
      <c r="E214" s="123"/>
      <c r="F214" s="123"/>
      <c r="G214" s="123"/>
      <c r="H214" s="124"/>
      <c r="I214" s="125"/>
      <c r="J214" s="125"/>
      <c r="K214" s="126"/>
      <c r="L214" s="126"/>
      <c r="M214" s="126"/>
      <c r="N214" s="126"/>
    </row>
    <row r="215" customFormat="false" ht="24" hidden="false" customHeight="true" outlineLevel="0" collapsed="false">
      <c r="A215" s="73" t="s">
        <v>576</v>
      </c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</row>
    <row r="216" customFormat="false" ht="27" hidden="false" customHeight="true" outlineLevel="0" collapsed="false">
      <c r="A216" s="4" t="s">
        <v>28</v>
      </c>
      <c r="B216" s="4" t="s">
        <v>29</v>
      </c>
      <c r="C216" s="4" t="s">
        <v>577</v>
      </c>
      <c r="D216" s="4" t="s">
        <v>578</v>
      </c>
      <c r="E216" s="14" t="s">
        <v>31</v>
      </c>
      <c r="F216" s="14" t="s">
        <v>32</v>
      </c>
      <c r="G216" s="14" t="s">
        <v>579</v>
      </c>
      <c r="H216" s="14" t="s">
        <v>580</v>
      </c>
      <c r="I216" s="14" t="s">
        <v>581</v>
      </c>
      <c r="J216" s="14" t="s">
        <v>33</v>
      </c>
      <c r="K216" s="14" t="s">
        <v>582</v>
      </c>
      <c r="L216" s="4" t="s">
        <v>583</v>
      </c>
      <c r="M216" s="4"/>
      <c r="N216" s="4"/>
    </row>
    <row r="217" customFormat="false" ht="30" hidden="false" customHeight="true" outlineLevel="0" collapsed="false">
      <c r="A217" s="150" t="n">
        <f aca="false">B72</f>
        <v>282.161082479923</v>
      </c>
      <c r="B217" s="151" t="n">
        <f aca="false">B74</f>
        <v>-0.6875603954424</v>
      </c>
      <c r="C217" s="152" t="n">
        <f aca="false">B65</f>
        <v>0.469461740671368</v>
      </c>
      <c r="D217" s="153" t="n">
        <f aca="false">B66</f>
        <v>300052.244851911</v>
      </c>
      <c r="E217" s="153" t="n">
        <f aca="false">F13</f>
        <v>176999.928000006</v>
      </c>
      <c r="F217" s="154" t="n">
        <f aca="false">F16/F13</f>
        <v>0.734011330300647</v>
      </c>
      <c r="G217" s="153" t="n">
        <f aca="false">F18</f>
        <v>120184.956574403</v>
      </c>
      <c r="H217" s="155" t="n">
        <f aca="false">F18*(1-$B$201)/'00-三表与联动'!$B$9</f>
        <v>85.6970994704437</v>
      </c>
      <c r="I217" s="153" t="n">
        <f aca="false">G32</f>
        <v>145955.647252192</v>
      </c>
      <c r="J217" s="154" t="n">
        <f aca="false">G34</f>
        <v>0.43</v>
      </c>
      <c r="K217" s="154" t="n">
        <f aca="false">G45/G32</f>
        <v>0.197137037037037</v>
      </c>
      <c r="L217" s="156" t="n">
        <f aca="false">B63/(G37+G40)</f>
        <v>4.18606150793651</v>
      </c>
      <c r="M217" s="39"/>
      <c r="N217" s="39"/>
    </row>
    <row r="219" customFormat="false" ht="24" hidden="false" customHeight="true" outlineLevel="0" collapsed="false">
      <c r="A219" s="157" t="s">
        <v>584</v>
      </c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</row>
    <row r="220" customFormat="false" ht="33" hidden="false" customHeight="true" outlineLevel="0" collapsed="false">
      <c r="A220" s="43" t="s">
        <v>585</v>
      </c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</row>
    <row r="221" customFormat="false" ht="27" hidden="false" customHeight="true" outlineLevel="0" collapsed="false">
      <c r="A221" s="4" t="s">
        <v>586</v>
      </c>
      <c r="B221" s="4" t="s">
        <v>587</v>
      </c>
      <c r="C221" s="4"/>
      <c r="D221" s="4" t="s">
        <v>29</v>
      </c>
      <c r="E221" s="4" t="s">
        <v>94</v>
      </c>
      <c r="F221" s="4"/>
      <c r="G221" s="4"/>
      <c r="H221" s="4"/>
      <c r="I221" s="4"/>
      <c r="J221" s="4"/>
      <c r="K221" s="4"/>
      <c r="L221" s="4"/>
      <c r="M221" s="4"/>
      <c r="N221" s="4"/>
    </row>
    <row r="222" customFormat="false" ht="21.75" hidden="false" customHeight="true" outlineLevel="0" collapsed="false">
      <c r="A222" s="158" t="s">
        <v>588</v>
      </c>
      <c r="B222" s="159" t="n">
        <f aca="false">B72</f>
        <v>282.161082479923</v>
      </c>
      <c r="C222" s="159"/>
      <c r="D222" s="160" t="n">
        <f aca="false">B222/'00-三表与联动'!$B$6-1</f>
        <v>-0.6875603954424</v>
      </c>
      <c r="E222" s="49" t="s">
        <v>589</v>
      </c>
      <c r="F222" s="49"/>
      <c r="G222" s="49"/>
      <c r="H222" s="49"/>
      <c r="I222" s="49"/>
      <c r="J222" s="49"/>
      <c r="K222" s="49"/>
      <c r="L222" s="49"/>
      <c r="M222" s="49"/>
      <c r="N222" s="49"/>
    </row>
    <row r="223" customFormat="false" ht="21.75" hidden="false" customHeight="true" outlineLevel="0" collapsed="false">
      <c r="A223" s="158" t="s">
        <v>590</v>
      </c>
      <c r="B223" s="159" t="n">
        <f aca="false">G105</f>
        <v>209.735709975894</v>
      </c>
      <c r="C223" s="159"/>
      <c r="D223" s="160" t="n">
        <f aca="false">B223/'00-三表与联动'!$B$6-1</f>
        <v>-0.767757687521849</v>
      </c>
      <c r="E223" s="49" t="s">
        <v>591</v>
      </c>
      <c r="F223" s="49"/>
      <c r="G223" s="49"/>
      <c r="H223" s="49"/>
      <c r="I223" s="49"/>
      <c r="J223" s="49"/>
      <c r="K223" s="49"/>
      <c r="L223" s="49"/>
      <c r="M223" s="49"/>
      <c r="N223" s="49"/>
    </row>
    <row r="224" customFormat="false" ht="21.75" hidden="false" customHeight="true" outlineLevel="0" collapsed="false">
      <c r="A224" s="158" t="s">
        <v>592</v>
      </c>
      <c r="B224" s="159" t="n">
        <f aca="false">B103</f>
        <v>393.744185746322</v>
      </c>
      <c r="C224" s="159"/>
      <c r="D224" s="160" t="n">
        <f aca="false">B224/'00-三表与联动'!$B$6-1</f>
        <v>-0.564003382003652</v>
      </c>
      <c r="E224" s="48" t="s">
        <v>593</v>
      </c>
      <c r="F224" s="48"/>
      <c r="G224" s="48"/>
      <c r="H224" s="48"/>
      <c r="I224" s="48"/>
      <c r="J224" s="48"/>
      <c r="K224" s="48"/>
      <c r="L224" s="48"/>
      <c r="M224" s="48"/>
      <c r="N224" s="48"/>
    </row>
    <row r="225" customFormat="false" ht="21.75" hidden="false" customHeight="true" outlineLevel="0" collapsed="false">
      <c r="A225" s="5" t="s">
        <v>594</v>
      </c>
      <c r="B225" s="159" t="n">
        <f aca="false">'00-三表与联动'!$B$6</f>
        <v>903.09</v>
      </c>
      <c r="C225" s="159"/>
      <c r="D225" s="160" t="n">
        <f aca="false">B225/'00-三表与联动'!$B$6-1</f>
        <v>0</v>
      </c>
      <c r="E225" s="48" t="s">
        <v>595</v>
      </c>
      <c r="F225" s="48"/>
      <c r="G225" s="48"/>
      <c r="H225" s="48"/>
      <c r="I225" s="48"/>
      <c r="J225" s="48"/>
      <c r="K225" s="48"/>
      <c r="L225" s="48"/>
      <c r="M225" s="48"/>
      <c r="N225" s="48"/>
    </row>
    <row r="226" customFormat="false" ht="21.75" hidden="false" customHeight="true" outlineLevel="0" collapsed="false">
      <c r="A226" s="5" t="s">
        <v>45</v>
      </c>
      <c r="B226" s="159" t="n">
        <f aca="false">2126</f>
        <v>2126</v>
      </c>
      <c r="C226" s="159"/>
      <c r="D226" s="160" t="n">
        <f aca="false">B226/'00-三表与联动'!$B$6-1</f>
        <v>1.35413967600128</v>
      </c>
      <c r="E226" s="48" t="s">
        <v>596</v>
      </c>
      <c r="F226" s="48"/>
      <c r="G226" s="48"/>
      <c r="H226" s="48"/>
      <c r="I226" s="48"/>
      <c r="J226" s="48"/>
      <c r="K226" s="48"/>
      <c r="L226" s="48"/>
      <c r="M226" s="48"/>
      <c r="N226" s="48"/>
    </row>
    <row r="228" customFormat="false" ht="24" hidden="false" customHeight="true" outlineLevel="0" collapsed="false">
      <c r="A228" s="161" t="s">
        <v>597</v>
      </c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</row>
    <row r="229" customFormat="false" ht="27" hidden="false" customHeight="true" outlineLevel="0" collapsed="false">
      <c r="A229" s="4" t="s">
        <v>197</v>
      </c>
      <c r="B229" s="14" t="s">
        <v>598</v>
      </c>
      <c r="C229" s="14" t="s">
        <v>297</v>
      </c>
      <c r="D229" s="14" t="s">
        <v>298</v>
      </c>
      <c r="E229" s="14" t="s">
        <v>299</v>
      </c>
      <c r="F229" s="14" t="s">
        <v>300</v>
      </c>
      <c r="G229" s="14" t="s">
        <v>301</v>
      </c>
      <c r="H229" s="14" t="s">
        <v>302</v>
      </c>
      <c r="I229" s="4"/>
      <c r="J229" s="4"/>
      <c r="K229" s="4"/>
      <c r="L229" s="4"/>
      <c r="M229" s="4"/>
      <c r="N229" s="4"/>
    </row>
    <row r="230" customFormat="false" ht="16.5" hidden="false" customHeight="true" outlineLevel="0" collapsed="false">
      <c r="A230" s="5" t="s">
        <v>265</v>
      </c>
      <c r="B230" s="162" t="n">
        <f aca="false">'00-三表与联动'!F27</f>
        <v>128959</v>
      </c>
      <c r="C230" s="31" t="n">
        <f aca="false">B32</f>
        <v>176999.928000006</v>
      </c>
      <c r="D230" s="31" t="n">
        <f aca="false">C32</f>
        <v>115049.953200004</v>
      </c>
      <c r="E230" s="31" t="n">
        <f aca="false">D32</f>
        <v>105845.956944003</v>
      </c>
      <c r="F230" s="31" t="n">
        <f aca="false">E32</f>
        <v>120664.390916164</v>
      </c>
      <c r="G230" s="31" t="n">
        <f aca="false">F32</f>
        <v>135144.117826104</v>
      </c>
      <c r="H230" s="31" t="n">
        <f aca="false">G32</f>
        <v>145955.647252192</v>
      </c>
      <c r="I230" s="39"/>
      <c r="J230" s="39"/>
      <c r="K230" s="39"/>
      <c r="L230" s="39"/>
      <c r="M230" s="39"/>
      <c r="N230" s="39"/>
    </row>
    <row r="231" customFormat="false" ht="16.5" hidden="false" customHeight="true" outlineLevel="0" collapsed="false">
      <c r="A231" s="5" t="s">
        <v>271</v>
      </c>
      <c r="B231" s="162" t="n">
        <f aca="false">'00-三表与联动'!F29</f>
        <v>103457</v>
      </c>
      <c r="C231" s="31" t="n">
        <f aca="false">B35</f>
        <v>129919.952614403</v>
      </c>
      <c r="D231" s="31" t="n">
        <f aca="false">C35</f>
        <v>43718.9822160014</v>
      </c>
      <c r="E231" s="31" t="n">
        <f aca="false">D35</f>
        <v>34929.1657915212</v>
      </c>
      <c r="F231" s="31" t="n">
        <f aca="false">E35</f>
        <v>48265.7563664656</v>
      </c>
      <c r="G231" s="31" t="n">
        <f aca="false">F35</f>
        <v>58111.9706652246</v>
      </c>
      <c r="H231" s="31" t="n">
        <f aca="false">G35</f>
        <v>62760.9283184425</v>
      </c>
      <c r="I231" s="39"/>
      <c r="J231" s="39"/>
      <c r="K231" s="39"/>
      <c r="L231" s="39"/>
      <c r="M231" s="39"/>
      <c r="N231" s="39"/>
    </row>
    <row r="232" customFormat="false" ht="16.5" hidden="false" customHeight="true" outlineLevel="0" collapsed="false">
      <c r="A232" s="5" t="s">
        <v>599</v>
      </c>
      <c r="B232" s="162" t="n">
        <f aca="false">'00-三表与联动'!F34</f>
        <v>96729</v>
      </c>
      <c r="C232" s="31" t="n">
        <f aca="false">B37</f>
        <v>120184.956574403</v>
      </c>
      <c r="D232" s="31" t="n">
        <f aca="false">C37</f>
        <v>37391.2347900012</v>
      </c>
      <c r="E232" s="31" t="n">
        <f aca="false">D37</f>
        <v>29107.638159601</v>
      </c>
      <c r="F232" s="31" t="n">
        <f aca="false">E37</f>
        <v>41629.2148660766</v>
      </c>
      <c r="G232" s="31" t="n">
        <f aca="false">F37</f>
        <v>50679.0441847889</v>
      </c>
      <c r="H232" s="31" t="n">
        <f aca="false">G37</f>
        <v>54733.367719572</v>
      </c>
      <c r="I232" s="39"/>
      <c r="J232" s="39"/>
      <c r="K232" s="39"/>
      <c r="L232" s="39"/>
      <c r="M232" s="39"/>
      <c r="N232" s="39"/>
    </row>
    <row r="233" customFormat="false" ht="16.5" hidden="false" customHeight="true" outlineLevel="0" collapsed="false">
      <c r="A233" s="5" t="s">
        <v>600</v>
      </c>
      <c r="B233" s="162" t="n">
        <f aca="false">'00-三表与联动'!F41</f>
        <v>82608</v>
      </c>
      <c r="C233" s="31" t="n">
        <f aca="false">B39</f>
        <v>98551.6643910102</v>
      </c>
      <c r="D233" s="31" t="n">
        <f aca="false">C39</f>
        <v>30660.812527801</v>
      </c>
      <c r="E233" s="31" t="n">
        <f aca="false">D39</f>
        <v>23868.2632908728</v>
      </c>
      <c r="F233" s="31" t="n">
        <f aca="false">E39</f>
        <v>34135.9561901828</v>
      </c>
      <c r="G233" s="31" t="n">
        <f aca="false">F39</f>
        <v>41556.8162315269</v>
      </c>
      <c r="H233" s="31" t="n">
        <f aca="false">G39</f>
        <v>44881.361530049</v>
      </c>
      <c r="I233" s="39"/>
      <c r="J233" s="39"/>
      <c r="K233" s="39"/>
      <c r="L233" s="39"/>
      <c r="M233" s="39"/>
      <c r="N233" s="39"/>
    </row>
    <row r="234" customFormat="false" ht="16.5" hidden="false" customHeight="true" outlineLevel="0" collapsed="false">
      <c r="A234" s="5" t="s">
        <v>601</v>
      </c>
      <c r="B234" s="162" t="n">
        <f aca="false">'00-三表与联动'!F139</f>
        <v>29103</v>
      </c>
      <c r="C234" s="31" t="n">
        <f aca="false">B45</f>
        <v>85336.8840038086</v>
      </c>
      <c r="D234" s="31" t="n">
        <f aca="false">C45</f>
        <v>30296.192676121</v>
      </c>
      <c r="E234" s="31" t="n">
        <f aca="false">D45</f>
        <v>15169.5664293269</v>
      </c>
      <c r="F234" s="31" t="n">
        <f aca="false">E45</f>
        <v>19790.0185698203</v>
      </c>
      <c r="G234" s="31" t="n">
        <f aca="false">F45</f>
        <v>25859.8269460249</v>
      </c>
      <c r="H234" s="31" t="n">
        <f aca="false">G45</f>
        <v>28773.2638381201</v>
      </c>
      <c r="I234" s="39"/>
      <c r="J234" s="39"/>
      <c r="K234" s="39"/>
      <c r="L234" s="39"/>
      <c r="M234" s="39"/>
      <c r="N234" s="39"/>
    </row>
    <row r="235" customFormat="false" ht="16.5" hidden="false" customHeight="true" outlineLevel="0" collapsed="false">
      <c r="A235" s="5" t="s">
        <v>269</v>
      </c>
      <c r="B235" s="163" t="n">
        <f aca="false">'00-三表与联动'!F29/'00-三表与联动'!F27</f>
        <v>0.802247225862483</v>
      </c>
      <c r="C235" s="46" t="n">
        <f aca="false">B34</f>
        <v>0.734011330300647</v>
      </c>
      <c r="D235" s="46" t="n">
        <f aca="false">C34</f>
        <v>0.38</v>
      </c>
      <c r="E235" s="46" t="n">
        <f aca="false">D34</f>
        <v>0.33</v>
      </c>
      <c r="F235" s="46" t="n">
        <f aca="false">E34</f>
        <v>0.4</v>
      </c>
      <c r="G235" s="46" t="n">
        <f aca="false">F34</f>
        <v>0.43</v>
      </c>
      <c r="H235" s="46" t="n">
        <f aca="false">G34</f>
        <v>0.43</v>
      </c>
      <c r="I235" s="39"/>
      <c r="J235" s="39"/>
      <c r="K235" s="39"/>
      <c r="L235" s="39"/>
      <c r="M235" s="39"/>
      <c r="N235" s="39"/>
    </row>
    <row r="236" customFormat="false" ht="16.5" hidden="false" customHeight="true" outlineLevel="0" collapsed="false">
      <c r="A236" s="5" t="s">
        <v>602</v>
      </c>
      <c r="B236" s="163" t="n">
        <f aca="false">'00-三表与联动'!F34/'00-三表与联动'!F27</f>
        <v>0.75007560542498</v>
      </c>
      <c r="C236" s="46" t="n">
        <f aca="false">B38</f>
        <v>0.679011330300647</v>
      </c>
      <c r="D236" s="46" t="n">
        <f aca="false">C38</f>
        <v>0.325</v>
      </c>
      <c r="E236" s="46" t="n">
        <f aca="false">D38</f>
        <v>0.275</v>
      </c>
      <c r="F236" s="46" t="n">
        <f aca="false">E38</f>
        <v>0.345</v>
      </c>
      <c r="G236" s="46" t="n">
        <f aca="false">F38</f>
        <v>0.375</v>
      </c>
      <c r="H236" s="46" t="n">
        <f aca="false">G38</f>
        <v>0.375</v>
      </c>
      <c r="I236" s="39"/>
      <c r="J236" s="39"/>
      <c r="K236" s="39"/>
      <c r="L236" s="39"/>
      <c r="M236" s="39"/>
      <c r="N236" s="39"/>
    </row>
    <row r="237" customFormat="false" ht="16.5" hidden="false" customHeight="true" outlineLevel="0" collapsed="false">
      <c r="A237" s="158" t="s">
        <v>603</v>
      </c>
      <c r="B237" s="163" t="n">
        <f aca="false">'00-三表与联动'!F139/'00-三表与联动'!F27</f>
        <v>0.225676377763475</v>
      </c>
      <c r="C237" s="46" t="n">
        <f aca="false">B46</f>
        <v>0.482129484277563</v>
      </c>
      <c r="D237" s="46" t="n">
        <f aca="false">C46</f>
        <v>0.263330769230769</v>
      </c>
      <c r="E237" s="46" t="n">
        <f aca="false">D46</f>
        <v>0.143317391304348</v>
      </c>
      <c r="F237" s="46" t="n">
        <f aca="false">E46</f>
        <v>0.164008771929825</v>
      </c>
      <c r="G237" s="46" t="n">
        <f aca="false">F46</f>
        <v>0.19135</v>
      </c>
      <c r="H237" s="46" t="n">
        <f aca="false">G46</f>
        <v>0.197137037037037</v>
      </c>
      <c r="I237" s="39"/>
      <c r="J237" s="39"/>
      <c r="K237" s="39"/>
      <c r="L237" s="39"/>
      <c r="M237" s="39"/>
      <c r="N237" s="39"/>
    </row>
    <row r="238" customFormat="false" ht="16.5" hidden="false" customHeight="true" outlineLevel="0" collapsed="false">
      <c r="A238" s="5" t="s">
        <v>604</v>
      </c>
      <c r="B238" s="164" t="n">
        <f aca="false">'00-三表与联动'!F46</f>
        <v>72.21</v>
      </c>
      <c r="C238" s="103" t="n">
        <f aca="false">B37*(1-$B$201)/'00-三表与联动'!$B$9</f>
        <v>85.6970994704437</v>
      </c>
      <c r="D238" s="103" t="n">
        <f aca="false">C37*(1-$B$201)/'00-三表与联动'!$B$9</f>
        <v>26.6615761111313</v>
      </c>
      <c r="E238" s="103" t="n">
        <f aca="false">D37*(1-$B$201)/'00-三表与联动'!$B$9</f>
        <v>20.7550115572807</v>
      </c>
      <c r="F238" s="103" t="n">
        <f aca="false">E37*(1-$B$201)/'00-三表与联动'!$B$9</f>
        <v>29.6834401653763</v>
      </c>
      <c r="G238" s="103" t="n">
        <f aca="false">F37*(1-$B$201)/'00-三表与联动'!$B$9</f>
        <v>36.1363619404582</v>
      </c>
      <c r="H238" s="103" t="n">
        <f aca="false">G37*(1-$B$201)/'00-三表与联动'!$B$9</f>
        <v>39.0272708956948</v>
      </c>
      <c r="I238" s="39"/>
      <c r="J238" s="39"/>
      <c r="K238" s="39"/>
      <c r="L238" s="39"/>
      <c r="M238" s="39"/>
      <c r="N238" s="39"/>
    </row>
    <row r="239" customFormat="false" ht="16.5" hidden="false" customHeight="true" outlineLevel="0" collapsed="false">
      <c r="A239" s="5" t="s">
        <v>605</v>
      </c>
      <c r="B239" s="163" t="n">
        <f aca="false">'00-三表与联动'!F27/7355-1</f>
        <v>16.5335146159075</v>
      </c>
      <c r="C239" s="46" t="n">
        <f aca="false">B33</f>
        <v>0.372528695166726</v>
      </c>
      <c r="D239" s="46" t="n">
        <f aca="false">C33</f>
        <v>-0.35</v>
      </c>
      <c r="E239" s="46" t="n">
        <f aca="false">D33</f>
        <v>-0.0799999999999999</v>
      </c>
      <c r="F239" s="46" t="n">
        <f aca="false">E33</f>
        <v>0.14</v>
      </c>
      <c r="G239" s="46" t="n">
        <f aca="false">F33</f>
        <v>0.12</v>
      </c>
      <c r="H239" s="46" t="n">
        <f aca="false">G33</f>
        <v>0.0800000000000001</v>
      </c>
      <c r="I239" s="39"/>
      <c r="J239" s="39"/>
      <c r="K239" s="39"/>
      <c r="L239" s="39"/>
      <c r="M239" s="39"/>
      <c r="N239" s="39"/>
    </row>
    <row r="240" customFormat="false" ht="16.5" hidden="false" customHeight="true" outlineLevel="0" collapsed="false">
      <c r="A240" s="5" t="s">
        <v>405</v>
      </c>
      <c r="B240" s="165" t="n">
        <f aca="false">'00-三表与联动'!$B$9</f>
        <v>1150</v>
      </c>
      <c r="C240" s="100" t="n">
        <f aca="false">B97</f>
        <v>1063.22752873298</v>
      </c>
      <c r="D240" s="100" t="n">
        <f aca="false">C97</f>
        <v>1036.51921064832</v>
      </c>
      <c r="E240" s="100" t="n">
        <f aca="false">D97</f>
        <v>1025.13717754778</v>
      </c>
      <c r="F240" s="100" t="n">
        <f aca="false">E97</f>
        <v>1011.8519693909</v>
      </c>
      <c r="G240" s="100" t="n">
        <f aca="false">F97</f>
        <v>996.323681976333</v>
      </c>
      <c r="H240" s="100" t="n">
        <f aca="false">G97</f>
        <v>981.004941496087</v>
      </c>
      <c r="I240" s="39"/>
      <c r="J240" s="39"/>
      <c r="K240" s="39"/>
      <c r="L240" s="39"/>
      <c r="M240" s="39"/>
      <c r="N240" s="39"/>
    </row>
    <row r="241" customFormat="false" ht="16.5" hidden="false" customHeight="true" outlineLevel="0" collapsed="false">
      <c r="A241" s="5" t="s">
        <v>606</v>
      </c>
      <c r="B241" s="164" t="n">
        <f aca="false">'00-三表与联动'!F46</f>
        <v>72.21</v>
      </c>
      <c r="C241" s="103" t="n">
        <f aca="false">B100</f>
        <v>92.6910390558189</v>
      </c>
      <c r="D241" s="103" t="n">
        <f aca="false">C100</f>
        <v>29.5805540435893</v>
      </c>
      <c r="E241" s="103" t="n">
        <f aca="false">D100</f>
        <v>23.2829945236868</v>
      </c>
      <c r="F241" s="103" t="n">
        <f aca="false">E100</f>
        <v>33.7361167668939</v>
      </c>
      <c r="G241" s="103" t="n">
        <f aca="false">F100</f>
        <v>41.7101560299096</v>
      </c>
      <c r="H241" s="103" t="n">
        <f aca="false">G100</f>
        <v>45.7503929201442</v>
      </c>
      <c r="I241" s="39"/>
      <c r="J241" s="39"/>
      <c r="K241" s="39"/>
      <c r="L241" s="39"/>
      <c r="M241" s="39"/>
      <c r="N241" s="39"/>
    </row>
    <row r="242" customFormat="false" ht="20.25" hidden="false" customHeight="true" outlineLevel="0" collapsed="false">
      <c r="A242" s="166" t="s">
        <v>607</v>
      </c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</row>
    <row r="485" customFormat="false" ht="58.5" hidden="false" customHeight="true" outlineLevel="0" collapsed="false">
      <c r="A485" s="43" t="s">
        <v>608</v>
      </c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</row>
  </sheetData>
  <mergeCells count="320">
    <mergeCell ref="A1:N1"/>
    <mergeCell ref="A2:N2"/>
    <mergeCell ref="A4:N4"/>
    <mergeCell ref="A5:N5"/>
    <mergeCell ref="A6:N6"/>
    <mergeCell ref="A7:N7"/>
    <mergeCell ref="A8:N8"/>
    <mergeCell ref="A9:N9"/>
    <mergeCell ref="A11:N11"/>
    <mergeCell ref="G13:N13"/>
    <mergeCell ref="G14:N14"/>
    <mergeCell ref="G15:N15"/>
    <mergeCell ref="G16:N16"/>
    <mergeCell ref="G17:N17"/>
    <mergeCell ref="G18:N18"/>
    <mergeCell ref="G19:N19"/>
    <mergeCell ref="G20:N20"/>
    <mergeCell ref="G21:N21"/>
    <mergeCell ref="G22:N22"/>
    <mergeCell ref="G23:N23"/>
    <mergeCell ref="G24:N24"/>
    <mergeCell ref="G25:N25"/>
    <mergeCell ref="G26:N26"/>
    <mergeCell ref="G27:N27"/>
    <mergeCell ref="A28:N28"/>
    <mergeCell ref="A30:N30"/>
    <mergeCell ref="I32:N32"/>
    <mergeCell ref="I33:N33"/>
    <mergeCell ref="I34:N34"/>
    <mergeCell ref="I35:N35"/>
    <mergeCell ref="I36:N36"/>
    <mergeCell ref="I37:N37"/>
    <mergeCell ref="I38:N38"/>
    <mergeCell ref="I39:N39"/>
    <mergeCell ref="I40:N40"/>
    <mergeCell ref="I41:N41"/>
    <mergeCell ref="I42:N42"/>
    <mergeCell ref="I43:N43"/>
    <mergeCell ref="I44:N44"/>
    <mergeCell ref="I45:N45"/>
    <mergeCell ref="I46:N46"/>
    <mergeCell ref="I47:N47"/>
    <mergeCell ref="I48:N48"/>
    <mergeCell ref="I49:N49"/>
    <mergeCell ref="A51:N51"/>
    <mergeCell ref="B53:C53"/>
    <mergeCell ref="D53:N53"/>
    <mergeCell ref="B54:C54"/>
    <mergeCell ref="D54:N54"/>
    <mergeCell ref="B55:C55"/>
    <mergeCell ref="D55:N55"/>
    <mergeCell ref="B56:C56"/>
    <mergeCell ref="D56:N56"/>
    <mergeCell ref="B57:C57"/>
    <mergeCell ref="D57:N57"/>
    <mergeCell ref="B58:C58"/>
    <mergeCell ref="D58:N58"/>
    <mergeCell ref="A60:N60"/>
    <mergeCell ref="B62:C62"/>
    <mergeCell ref="D62:N62"/>
    <mergeCell ref="B63:C63"/>
    <mergeCell ref="D63:N63"/>
    <mergeCell ref="B64:C64"/>
    <mergeCell ref="D64:N64"/>
    <mergeCell ref="B65:C65"/>
    <mergeCell ref="D65:N65"/>
    <mergeCell ref="B66:C66"/>
    <mergeCell ref="D66:N66"/>
    <mergeCell ref="B67:C67"/>
    <mergeCell ref="D67:N67"/>
    <mergeCell ref="B68:C68"/>
    <mergeCell ref="D68:N68"/>
    <mergeCell ref="B69:C69"/>
    <mergeCell ref="D69:N69"/>
    <mergeCell ref="B70:C70"/>
    <mergeCell ref="D70:N70"/>
    <mergeCell ref="B71:C71"/>
    <mergeCell ref="D71:N71"/>
    <mergeCell ref="B72:C72"/>
    <mergeCell ref="D72:N72"/>
    <mergeCell ref="B73:C73"/>
    <mergeCell ref="D73:N73"/>
    <mergeCell ref="B74:C74"/>
    <mergeCell ref="D74:N74"/>
    <mergeCell ref="A75:N75"/>
    <mergeCell ref="A77:N77"/>
    <mergeCell ref="B79:C79"/>
    <mergeCell ref="D79:E79"/>
    <mergeCell ref="F79:N79"/>
    <mergeCell ref="B80:C80"/>
    <mergeCell ref="D80:E80"/>
    <mergeCell ref="F80:N80"/>
    <mergeCell ref="B81:C81"/>
    <mergeCell ref="D81:E81"/>
    <mergeCell ref="F81:N81"/>
    <mergeCell ref="B82:C82"/>
    <mergeCell ref="D82:E82"/>
    <mergeCell ref="F82:N82"/>
    <mergeCell ref="B83:C83"/>
    <mergeCell ref="D83:E83"/>
    <mergeCell ref="F83:N83"/>
    <mergeCell ref="A85:N85"/>
    <mergeCell ref="A86:N86"/>
    <mergeCell ref="A87:N87"/>
    <mergeCell ref="A88:N88"/>
    <mergeCell ref="H90:N90"/>
    <mergeCell ref="H91:N91"/>
    <mergeCell ref="H92:N92"/>
    <mergeCell ref="H93:N93"/>
    <mergeCell ref="H94:N94"/>
    <mergeCell ref="H95:N95"/>
    <mergeCell ref="H96:N96"/>
    <mergeCell ref="H97:N97"/>
    <mergeCell ref="H98:N98"/>
    <mergeCell ref="H99:N99"/>
    <mergeCell ref="H100:N100"/>
    <mergeCell ref="H101:N101"/>
    <mergeCell ref="H102:N102"/>
    <mergeCell ref="H103:N103"/>
    <mergeCell ref="H104:N104"/>
    <mergeCell ref="H105:N105"/>
    <mergeCell ref="A107:N107"/>
    <mergeCell ref="I109:N109"/>
    <mergeCell ref="I110:N110"/>
    <mergeCell ref="I111:N111"/>
    <mergeCell ref="A112:N112"/>
    <mergeCell ref="A114:N114"/>
    <mergeCell ref="B116:C116"/>
    <mergeCell ref="D116:N116"/>
    <mergeCell ref="B117:C117"/>
    <mergeCell ref="D117:N117"/>
    <mergeCell ref="B118:C118"/>
    <mergeCell ref="D118:N118"/>
    <mergeCell ref="B119:C119"/>
    <mergeCell ref="D119:N119"/>
    <mergeCell ref="B120:C120"/>
    <mergeCell ref="D120:N120"/>
    <mergeCell ref="B121:C121"/>
    <mergeCell ref="D121:N121"/>
    <mergeCell ref="B122:C122"/>
    <mergeCell ref="D122:N122"/>
    <mergeCell ref="B123:C123"/>
    <mergeCell ref="D123:N123"/>
    <mergeCell ref="B124:C124"/>
    <mergeCell ref="D124:N124"/>
    <mergeCell ref="B125:C125"/>
    <mergeCell ref="D125:N125"/>
    <mergeCell ref="B126:C126"/>
    <mergeCell ref="D126:N126"/>
    <mergeCell ref="B127:C127"/>
    <mergeCell ref="D127:N127"/>
    <mergeCell ref="A128:N128"/>
    <mergeCell ref="A130:N130"/>
    <mergeCell ref="A131:N131"/>
    <mergeCell ref="C132:G132"/>
    <mergeCell ref="A133:A134"/>
    <mergeCell ref="B133:B134"/>
    <mergeCell ref="C133:G134"/>
    <mergeCell ref="H133:H134"/>
    <mergeCell ref="I133:I134"/>
    <mergeCell ref="J133:N134"/>
    <mergeCell ref="A135:A136"/>
    <mergeCell ref="B135:B136"/>
    <mergeCell ref="C135:G136"/>
    <mergeCell ref="H135:H136"/>
    <mergeCell ref="I135:I136"/>
    <mergeCell ref="J135:N136"/>
    <mergeCell ref="A137:A138"/>
    <mergeCell ref="B137:B138"/>
    <mergeCell ref="C137:G138"/>
    <mergeCell ref="H137:H138"/>
    <mergeCell ref="I137:I138"/>
    <mergeCell ref="J137:N138"/>
    <mergeCell ref="A139:A140"/>
    <mergeCell ref="B139:B140"/>
    <mergeCell ref="C139:G140"/>
    <mergeCell ref="H139:H140"/>
    <mergeCell ref="I139:I140"/>
    <mergeCell ref="J139:N140"/>
    <mergeCell ref="A141:A142"/>
    <mergeCell ref="B141:B142"/>
    <mergeCell ref="C141:G142"/>
    <mergeCell ref="H141:H142"/>
    <mergeCell ref="I141:I142"/>
    <mergeCell ref="J141:N142"/>
    <mergeCell ref="A144:N144"/>
    <mergeCell ref="G146:N146"/>
    <mergeCell ref="G147:N147"/>
    <mergeCell ref="G148:N148"/>
    <mergeCell ref="G149:N149"/>
    <mergeCell ref="G150:N150"/>
    <mergeCell ref="A151:N151"/>
    <mergeCell ref="A153:N153"/>
    <mergeCell ref="G155:N155"/>
    <mergeCell ref="G156:N156"/>
    <mergeCell ref="G157:N157"/>
    <mergeCell ref="G158:N158"/>
    <mergeCell ref="G159:N159"/>
    <mergeCell ref="G160:N160"/>
    <mergeCell ref="A161:N161"/>
    <mergeCell ref="A164:N164"/>
    <mergeCell ref="A165:N165"/>
    <mergeCell ref="A166:G166"/>
    <mergeCell ref="H166:N166"/>
    <mergeCell ref="A173:N173"/>
    <mergeCell ref="A174:N174"/>
    <mergeCell ref="C176:D176"/>
    <mergeCell ref="E176:I176"/>
    <mergeCell ref="J176:N176"/>
    <mergeCell ref="C177:D177"/>
    <mergeCell ref="E177:I177"/>
    <mergeCell ref="J177:N177"/>
    <mergeCell ref="C178:D178"/>
    <mergeCell ref="E178:I178"/>
    <mergeCell ref="J178:N178"/>
    <mergeCell ref="C179:D179"/>
    <mergeCell ref="E179:I179"/>
    <mergeCell ref="J179:N179"/>
    <mergeCell ref="C180:D180"/>
    <mergeCell ref="E180:I180"/>
    <mergeCell ref="J180:N180"/>
    <mergeCell ref="A181:N181"/>
    <mergeCell ref="A183:N183"/>
    <mergeCell ref="A186:N186"/>
    <mergeCell ref="A187:N187"/>
    <mergeCell ref="C188:G188"/>
    <mergeCell ref="A189:A190"/>
    <mergeCell ref="B189:B190"/>
    <mergeCell ref="C189:G190"/>
    <mergeCell ref="H189:H190"/>
    <mergeCell ref="I189:I190"/>
    <mergeCell ref="J189:N190"/>
    <mergeCell ref="A191:A192"/>
    <mergeCell ref="B191:B192"/>
    <mergeCell ref="C191:G192"/>
    <mergeCell ref="H191:H192"/>
    <mergeCell ref="I191:I192"/>
    <mergeCell ref="J191:N192"/>
    <mergeCell ref="A193:A194"/>
    <mergeCell ref="B193:B194"/>
    <mergeCell ref="C193:G194"/>
    <mergeCell ref="H193:H194"/>
    <mergeCell ref="I193:I194"/>
    <mergeCell ref="J193:N194"/>
    <mergeCell ref="A195:A196"/>
    <mergeCell ref="B195:B196"/>
    <mergeCell ref="C195:G196"/>
    <mergeCell ref="H195:H196"/>
    <mergeCell ref="I195:I196"/>
    <mergeCell ref="J195:N196"/>
    <mergeCell ref="A197:A198"/>
    <mergeCell ref="B197:B198"/>
    <mergeCell ref="C197:G198"/>
    <mergeCell ref="H197:H198"/>
    <mergeCell ref="I197:I198"/>
    <mergeCell ref="J197:N198"/>
    <mergeCell ref="A199:A200"/>
    <mergeCell ref="B199:B200"/>
    <mergeCell ref="C199:G200"/>
    <mergeCell ref="H199:H200"/>
    <mergeCell ref="I199:I200"/>
    <mergeCell ref="J199:N200"/>
    <mergeCell ref="A201:A202"/>
    <mergeCell ref="B201:B202"/>
    <mergeCell ref="C201:G202"/>
    <mergeCell ref="H201:H202"/>
    <mergeCell ref="I201:I202"/>
    <mergeCell ref="J201:N202"/>
    <mergeCell ref="A203:A204"/>
    <mergeCell ref="B203:B204"/>
    <mergeCell ref="C203:G204"/>
    <mergeCell ref="H203:H204"/>
    <mergeCell ref="I203:I204"/>
    <mergeCell ref="J203:N204"/>
    <mergeCell ref="A205:A206"/>
    <mergeCell ref="B205:B206"/>
    <mergeCell ref="C205:G206"/>
    <mergeCell ref="H205:H206"/>
    <mergeCell ref="I205:I206"/>
    <mergeCell ref="J205:N206"/>
    <mergeCell ref="A207:A208"/>
    <mergeCell ref="B207:B208"/>
    <mergeCell ref="C207:G208"/>
    <mergeCell ref="H207:H208"/>
    <mergeCell ref="I207:I208"/>
    <mergeCell ref="J207:N208"/>
    <mergeCell ref="A209:A210"/>
    <mergeCell ref="B209:B210"/>
    <mergeCell ref="C209:G210"/>
    <mergeCell ref="H209:H210"/>
    <mergeCell ref="I209:I210"/>
    <mergeCell ref="J209:N210"/>
    <mergeCell ref="A211:A212"/>
    <mergeCell ref="B211:B212"/>
    <mergeCell ref="C211:G212"/>
    <mergeCell ref="H211:H212"/>
    <mergeCell ref="I211:I212"/>
    <mergeCell ref="J211:N212"/>
    <mergeCell ref="A213:A214"/>
    <mergeCell ref="B213:B214"/>
    <mergeCell ref="C213:G214"/>
    <mergeCell ref="H213:H214"/>
    <mergeCell ref="I213:I214"/>
    <mergeCell ref="J213:N214"/>
    <mergeCell ref="A215:N215"/>
    <mergeCell ref="A219:N219"/>
    <mergeCell ref="A220:N220"/>
    <mergeCell ref="B222:C222"/>
    <mergeCell ref="E222:N222"/>
    <mergeCell ref="B223:C223"/>
    <mergeCell ref="E223:N223"/>
    <mergeCell ref="B224:C224"/>
    <mergeCell ref="E224:N224"/>
    <mergeCell ref="B225:C225"/>
    <mergeCell ref="E225:N225"/>
    <mergeCell ref="B226:C226"/>
    <mergeCell ref="E226:N226"/>
    <mergeCell ref="A228:N228"/>
    <mergeCell ref="A242:N242"/>
    <mergeCell ref="A485:N485"/>
  </mergeCells>
  <conditionalFormatting sqref="B74">
    <cfRule type="expression" priority="2" aboveAverage="0" equalAverage="0" bottom="0" percent="0" rank="0" text="" dxfId="2">
      <formula>$B$74&gt;0</formula>
    </cfRule>
    <cfRule type="expression" priority="3" aboveAverage="0" equalAverage="0" bottom="0" percent="0" rank="0" text="" dxfId="3">
      <formula>$B$74&lt;=0</formula>
    </cfRule>
  </conditionalFormatting>
  <conditionalFormatting sqref="I109">
    <cfRule type="expression" priority="4" aboveAverage="0" equalAverage="0" bottom="0" percent="0" rank="0" text="" dxfId="0">
      <formula>$I$109&gt;0</formula>
    </cfRule>
    <cfRule type="expression" priority="5" aboveAverage="0" equalAverage="0" bottom="0" percent="0" rank="0" text="" dxfId="1">
      <formula>$I$109&lt;=0</formula>
    </cfRule>
  </conditionalFormatting>
  <conditionalFormatting sqref="I110">
    <cfRule type="expression" priority="6" aboveAverage="0" equalAverage="0" bottom="0" percent="0" rank="0" text="" dxfId="0">
      <formula>$I$110&gt;0</formula>
    </cfRule>
    <cfRule type="expression" priority="7" aboveAverage="0" equalAverage="0" bottom="0" percent="0" rank="0" text="" dxfId="1">
      <formula>$I$110&lt;=0</formula>
    </cfRule>
  </conditionalFormatting>
  <conditionalFormatting sqref="I111">
    <cfRule type="expression" priority="8" aboveAverage="0" equalAverage="0" bottom="0" percent="0" rank="0" text="" dxfId="0">
      <formula>$I$111&gt;0</formula>
    </cfRule>
    <cfRule type="expression" priority="9" aboveAverage="0" equalAverage="0" bottom="0" percent="0" rank="0" text="" dxfId="1">
      <formula>$I$111&lt;=0</formula>
    </cfRule>
  </conditionalFormatting>
  <conditionalFormatting sqref="B125">
    <cfRule type="expression" priority="10" aboveAverage="0" equalAverage="0" bottom="0" percent="0" rank="0" text="" dxfId="2">
      <formula>$B$125&gt;0</formula>
    </cfRule>
    <cfRule type="expression" priority="11" aboveAverage="0" equalAverage="0" bottom="0" percent="0" rank="0" text="" dxfId="3">
      <formula>$B$125&lt;=0</formula>
    </cfRule>
  </conditionalFormatting>
  <conditionalFormatting sqref="B146:F150">
    <cfRule type="expression" priority="12" aboveAverage="0" equalAverage="0" bottom="0" percent="0" rank="0" text="" dxfId="4">
      <formula>AND(ISNUMBER(B146),B146&gt;'00-三表与联动'!$B$6)</formula>
    </cfRule>
    <cfRule type="expression" priority="13" aboveAverage="0" equalAverage="0" bottom="0" percent="0" rank="0" text="" dxfId="5">
      <formula>AND(ISNUMBER(B146),B146&lt;='00-三表与联动'!$B$6)</formula>
    </cfRule>
  </conditionalFormatting>
  <conditionalFormatting sqref="B155:D160">
    <cfRule type="expression" priority="14" aboveAverage="0" equalAverage="0" bottom="0" percent="0" rank="0" text="" dxfId="0">
      <formula>AND(ISNUMBER(B155),B155&gt;'00-三表与联动'!$B$6)</formula>
    </cfRule>
    <cfRule type="expression" priority="15" aboveAverage="0" equalAverage="0" bottom="0" percent="0" rank="0" text="" dxfId="1">
      <formula>AND(ISNUMBER(B155),B155&lt;='00-三表与联动'!$B$6)</formula>
    </cfRule>
  </conditionalFormatting>
  <conditionalFormatting sqref="B168:F172">
    <cfRule type="expression" priority="16" aboveAverage="0" equalAverage="0" bottom="0" percent="0" rank="0" text="" dxfId="4">
      <formula>AND(ISNUMBER(B168),B168&gt;'00-三表与联动'!$B$6)</formula>
    </cfRule>
    <cfRule type="expression" priority="17" aboveAverage="0" equalAverage="0" bottom="0" percent="0" rank="0" text="" dxfId="5">
      <formula>AND(ISNUMBER(B168),B168&lt;='00-三表与联动'!$B$6)</formula>
    </cfRule>
  </conditionalFormatting>
  <conditionalFormatting sqref="I168:M172">
    <cfRule type="expression" priority="18" aboveAverage="0" equalAverage="0" bottom="0" percent="0" rank="0" text="" dxfId="4">
      <formula>AND(ISNUMBER(B168),B168&gt;'00-三表与联动'!$B$6)</formula>
    </cfRule>
    <cfRule type="expression" priority="19" aboveAverage="0" equalAverage="0" bottom="0" percent="0" rank="0" text="" dxfId="5">
      <formula>AND(ISNUMBER(B168),B168&lt;='00-三表与联动'!$B$6)</formula>
    </cfRule>
  </conditionalFormatting>
  <conditionalFormatting sqref="B217">
    <cfRule type="expression" priority="20" aboveAverage="0" equalAverage="0" bottom="0" percent="0" rank="0" text="" dxfId="6">
      <formula>$B$217&gt;0</formula>
    </cfRule>
    <cfRule type="expression" priority="21" aboveAverage="0" equalAverage="0" bottom="0" percent="0" rank="0" text="" dxfId="7">
      <formula>$B$217&lt;=0</formula>
    </cfRule>
  </conditionalFormatting>
  <conditionalFormatting sqref="D222">
    <cfRule type="expression" priority="22" aboveAverage="0" equalAverage="0" bottom="0" percent="0" rank="0" text="" dxfId="0">
      <formula>$D$222&gt;0</formula>
    </cfRule>
    <cfRule type="expression" priority="23" aboveAverage="0" equalAverage="0" bottom="0" percent="0" rank="0" text="" dxfId="1">
      <formula>$D$222&lt;=0</formula>
    </cfRule>
  </conditionalFormatting>
  <conditionalFormatting sqref="D223">
    <cfRule type="expression" priority="24" aboveAverage="0" equalAverage="0" bottom="0" percent="0" rank="0" text="" dxfId="0">
      <formula>$D$223&gt;0</formula>
    </cfRule>
    <cfRule type="expression" priority="25" aboveAverage="0" equalAverage="0" bottom="0" percent="0" rank="0" text="" dxfId="1">
      <formula>$D$223&lt;=0</formula>
    </cfRule>
  </conditionalFormatting>
  <conditionalFormatting sqref="D224">
    <cfRule type="expression" priority="26" aboveAverage="0" equalAverage="0" bottom="0" percent="0" rank="0" text="" dxfId="0">
      <formula>$D$224&gt;0</formula>
    </cfRule>
    <cfRule type="expression" priority="27" aboveAverage="0" equalAverage="0" bottom="0" percent="0" rank="0" text="" dxfId="1">
      <formula>$D$224&lt;=0</formula>
    </cfRule>
  </conditionalFormatting>
  <conditionalFormatting sqref="D225">
    <cfRule type="expression" priority="28" aboveAverage="0" equalAverage="0" bottom="0" percent="0" rank="0" text="" dxfId="0">
      <formula>$D$225&gt;0</formula>
    </cfRule>
    <cfRule type="expression" priority="29" aboveAverage="0" equalAverage="0" bottom="0" percent="0" rank="0" text="" dxfId="1">
      <formula>$D$225&lt;=0</formula>
    </cfRule>
  </conditionalFormatting>
  <conditionalFormatting sqref="D226">
    <cfRule type="expression" priority="30" aboveAverage="0" equalAverage="0" bottom="0" percent="0" rank="0" text="" dxfId="0">
      <formula>$D$226&gt;0</formula>
    </cfRule>
    <cfRule type="expression" priority="31" aboveAverage="0" equalAverage="0" bottom="0" percent="0" rank="0" text="" dxfId="1">
      <formula>$D$226&lt;=0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xmlns:r="http://schemas.openxmlformats.org/officeDocument/2006/relationships" r:id="rId2"/>
  <mc:AlternateContent xmlns:mc="http://schemas.openxmlformats.org/markup-compatibility/2006">
    <mc:Choice xmlns:x14="http://schemas.microsoft.com/office/spreadsheetml/2009/9/main" xmlns:xdr="http://schemas.openxmlformats.org/drawingml/2006/spreadsheetDrawing" xmlns:r="http://schemas.openxmlformats.org/officeDocument/2006/relationships" Requires="x14">
      <controls>
        <mc:AlternateContent xmlns:mc="http://schemas.openxmlformats.org/markup-compatibility/2006">
          <mc:Choice Requires="x14">
            <control shapeId="1025" r:id="rId3" name="Scroll Bar 1">
              <controlPr defaultSize="0" autoLine="0" autoPict="0" altText="" linkedCell="'01-DCF-悲观'!$H$133" print="0">
                <anchor moveWithCells="1" sizeWithCells="0">
                  <from>
                    <xdr:col>2</xdr:col>
                    <xdr:colOff>19050</xdr:colOff>
                    <xdr:row>132</xdr:row>
                    <xdr:rowOff>25400</xdr:rowOff>
                  </from>
                  <to>
                    <xdr:col>7</xdr:col>
                    <xdr:colOff>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croll Bar 2">
              <controlPr defaultSize="0" autoLine="0" autoPict="0" altText="" linkedCell="'01-DCF-悲观'!$H$135" print="0">
                <anchor moveWithCells="1" sizeWithCells="0">
                  <from>
                    <xdr:col>2</xdr:col>
                    <xdr:colOff>19050</xdr:colOff>
                    <xdr:row>134</xdr:row>
                    <xdr:rowOff>25400</xdr:rowOff>
                  </from>
                  <to>
                    <xdr:col>7</xdr:col>
                    <xdr:colOff>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croll Bar 3">
              <controlPr defaultSize="0" autoLine="0" autoPict="0" altText="" linkedCell="'01-DCF-悲观'!$H$137" print="0">
                <anchor moveWithCells="1" sizeWithCells="0">
                  <from>
                    <xdr:col>2</xdr:col>
                    <xdr:colOff>19050</xdr:colOff>
                    <xdr:row>136</xdr:row>
                    <xdr:rowOff>25400</xdr:rowOff>
                  </from>
                  <to>
                    <xdr:col>7</xdr:col>
                    <xdr:colOff>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Scroll Bar 4">
              <controlPr defaultSize="0" autoLine="0" autoPict="0" altText="" linkedCell="'01-DCF-悲观'!$H$139" print="0">
                <anchor moveWithCells="1" sizeWithCells="0">
                  <from>
                    <xdr:col>2</xdr:col>
                    <xdr:colOff>19050</xdr:colOff>
                    <xdr:row>138</xdr:row>
                    <xdr:rowOff>25400</xdr:rowOff>
                  </from>
                  <to>
                    <xdr:col>7</xdr:col>
                    <xdr:colOff>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Scroll Bar 5">
              <controlPr defaultSize="0" autoLine="0" autoPict="0" altText="" linkedCell="'01-DCF-悲观'!$H$141" print="0">
                <anchor moveWithCells="1" sizeWithCells="0">
                  <from>
                    <xdr:col>2</xdr:col>
                    <xdr:colOff>19050</xdr:colOff>
                    <xdr:row>140</xdr:row>
                    <xdr:rowOff>25400</xdr:rowOff>
                  </from>
                  <to>
                    <xdr:col>7</xdr:col>
                    <xdr:colOff>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Scroll Bar 6">
              <controlPr defaultSize="0" autoLine="0" autoPict="0" altText="" linkedCell="'01-DCF-悲观'!$H$189" print="0">
                <anchor moveWithCells="1" sizeWithCells="0">
                  <from>
                    <xdr:col>2</xdr:col>
                    <xdr:colOff>19050</xdr:colOff>
                    <xdr:row>188</xdr:row>
                    <xdr:rowOff>25400</xdr:rowOff>
                  </from>
                  <to>
                    <xdr:col>7</xdr:col>
                    <xdr:colOff>0</xdr:colOff>
                    <xdr:row>190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Scroll Bar 7">
              <controlPr defaultSize="0" autoLine="0" autoPict="0" altText="" linkedCell="'01-DCF-悲观'!$H$191" print="0">
                <anchor moveWithCells="1" sizeWithCells="0">
                  <from>
                    <xdr:col>2</xdr:col>
                    <xdr:colOff>19050</xdr:colOff>
                    <xdr:row>190</xdr:row>
                    <xdr:rowOff>25400</xdr:rowOff>
                  </from>
                  <to>
                    <xdr:col>7</xdr:col>
                    <xdr:colOff>0</xdr:colOff>
                    <xdr:row>192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Scroll Bar 8">
              <controlPr defaultSize="0" autoLine="0" autoPict="0" altText="" linkedCell="'01-DCF-悲观'!$H$193" print="0">
                <anchor moveWithCells="1" sizeWithCells="0">
                  <from>
                    <xdr:col>2</xdr:col>
                    <xdr:colOff>19050</xdr:colOff>
                    <xdr:row>192</xdr:row>
                    <xdr:rowOff>25400</xdr:rowOff>
                  </from>
                  <to>
                    <xdr:col>7</xdr:col>
                    <xdr:colOff>0</xdr:colOff>
                    <xdr:row>194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Scroll Bar 9">
              <controlPr defaultSize="0" autoLine="0" autoPict="0" altText="" linkedCell="'01-DCF-悲观'!$H$195" print="0">
                <anchor moveWithCells="1" sizeWithCells="0">
                  <from>
                    <xdr:col>2</xdr:col>
                    <xdr:colOff>19050</xdr:colOff>
                    <xdr:row>194</xdr:row>
                    <xdr:rowOff>25400</xdr:rowOff>
                  </from>
                  <to>
                    <xdr:col>7</xdr:col>
                    <xdr:colOff>0</xdr:colOff>
                    <xdr:row>196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Scroll Bar 10">
              <controlPr defaultSize="0" autoLine="0" autoPict="0" altText="" linkedCell="'01-DCF-悲观'!$H$197" print="0">
                <anchor moveWithCells="1" sizeWithCells="0">
                  <from>
                    <xdr:col>2</xdr:col>
                    <xdr:colOff>19050</xdr:colOff>
                    <xdr:row>196</xdr:row>
                    <xdr:rowOff>25400</xdr:rowOff>
                  </from>
                  <to>
                    <xdr:col>7</xdr:col>
                    <xdr:colOff>0</xdr:colOff>
                    <xdr:row>198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Scroll Bar 11">
              <controlPr defaultSize="0" autoLine="0" autoPict="0" altText="" linkedCell="'01-DCF-悲观'!$H$199" print="0">
                <anchor moveWithCells="1" sizeWithCells="0">
                  <from>
                    <xdr:col>2</xdr:col>
                    <xdr:colOff>19050</xdr:colOff>
                    <xdr:row>198</xdr:row>
                    <xdr:rowOff>25400</xdr:rowOff>
                  </from>
                  <to>
                    <xdr:col>7</xdr:col>
                    <xdr:colOff>0</xdr:colOff>
                    <xdr:row>200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Scroll Bar 12">
              <controlPr defaultSize="0" autoLine="0" autoPict="0" altText="" linkedCell="'01-DCF-悲观'!$H$201" print="0">
                <anchor moveWithCells="1" sizeWithCells="0">
                  <from>
                    <xdr:col>2</xdr:col>
                    <xdr:colOff>19050</xdr:colOff>
                    <xdr:row>200</xdr:row>
                    <xdr:rowOff>25400</xdr:rowOff>
                  </from>
                  <to>
                    <xdr:col>7</xdr:col>
                    <xdr:colOff>0</xdr:colOff>
                    <xdr:row>202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Scroll Bar 13">
              <controlPr defaultSize="0" autoLine="0" autoPict="0" altText="" linkedCell="'01-DCF-悲观'!$H$203" print="0">
                <anchor moveWithCells="1" sizeWithCells="0">
                  <from>
                    <xdr:col>2</xdr:col>
                    <xdr:colOff>19050</xdr:colOff>
                    <xdr:row>202</xdr:row>
                    <xdr:rowOff>25400</xdr:rowOff>
                  </from>
                  <to>
                    <xdr:col>7</xdr:col>
                    <xdr:colOff>0</xdr:colOff>
                    <xdr:row>204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Scroll Bar 14">
              <controlPr defaultSize="0" autoLine="0" autoPict="0" altText="" linkedCell="'01-DCF-悲观'!$H$205" print="0">
                <anchor moveWithCells="1" sizeWithCells="0">
                  <from>
                    <xdr:col>2</xdr:col>
                    <xdr:colOff>19050</xdr:colOff>
                    <xdr:row>204</xdr:row>
                    <xdr:rowOff>25400</xdr:rowOff>
                  </from>
                  <to>
                    <xdr:col>7</xdr:col>
                    <xdr:colOff>0</xdr:colOff>
                    <xdr:row>206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Scroll Bar 15">
              <controlPr defaultSize="0" autoLine="0" autoPict="0" altText="" linkedCell="'01-DCF-悲观'!$H$207" print="0">
                <anchor moveWithCells="1" sizeWithCells="0">
                  <from>
                    <xdr:col>2</xdr:col>
                    <xdr:colOff>19050</xdr:colOff>
                    <xdr:row>206</xdr:row>
                    <xdr:rowOff>25400</xdr:rowOff>
                  </from>
                  <to>
                    <xdr:col>7</xdr:col>
                    <xdr:colOff>0</xdr:colOff>
                    <xdr:row>208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Scroll Bar 16">
              <controlPr defaultSize="0" autoLine="0" autoPict="0" altText="" linkedCell="'01-DCF-悲观'!$H$209" print="0">
                <anchor moveWithCells="1" sizeWithCells="0">
                  <from>
                    <xdr:col>2</xdr:col>
                    <xdr:colOff>19050</xdr:colOff>
                    <xdr:row>208</xdr:row>
                    <xdr:rowOff>25400</xdr:rowOff>
                  </from>
                  <to>
                    <xdr:col>7</xdr:col>
                    <xdr:colOff>0</xdr:colOff>
                    <xdr:row>210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Scroll Bar 17">
              <controlPr defaultSize="0" autoLine="0" autoPict="0" altText="" linkedCell="'01-DCF-悲观'!$H$211" print="0">
                <anchor moveWithCells="1" sizeWithCells="0">
                  <from>
                    <xdr:col>2</xdr:col>
                    <xdr:colOff>19050</xdr:colOff>
                    <xdr:row>210</xdr:row>
                    <xdr:rowOff>25400</xdr:rowOff>
                  </from>
                  <to>
                    <xdr:col>7</xdr:col>
                    <xdr:colOff>0</xdr:colOff>
                    <xdr:row>212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Scroll Bar 18">
              <controlPr defaultSize="0" autoLine="0" autoPict="0" altText="" linkedCell="'01-DCF-悲观'!$H$213" print="0">
                <anchor moveWithCells="1" sizeWithCells="0">
                  <from>
                    <xdr:col>2</xdr:col>
                    <xdr:colOff>19050</xdr:colOff>
                    <xdr:row>212</xdr:row>
                    <xdr:rowOff>25400</xdr:rowOff>
                  </from>
                  <to>
                    <xdr:col>7</xdr:col>
                    <xdr:colOff>0</xdr:colOff>
                    <xdr:row>214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min="1" max="1" width="29.71" customWidth="1"/>
    <col min="2" max="2" width="11.71" customWidth="1"/>
    <col min="3" max="3" width="11.71" customWidth="1"/>
    <col min="4" max="4" width="11.71" customWidth="1"/>
    <col min="5" max="5" width="11.71" customWidth="1"/>
    <col min="6" max="6" width="12.71" customWidth="1"/>
    <col min="7" max="7" width="11.71" customWidth="1"/>
    <col min="8" max="8" width="13.71" customWidth="1"/>
    <col min="9" max="9" width="14.71" customWidth="1"/>
    <col min="10" max="10" width="12.71" customWidth="1"/>
    <col min="11" max="11" width="12.71" customWidth="1"/>
    <col min="12" max="12" width="12.71" customWidth="1"/>
    <col min="13" max="13" width="13.71" customWidth="1"/>
    <col min="14" max="14" width="14.71" customWidth="1"/>
  </cols>
  <sheetData>
    <row r="1" customFormat="false" ht="37.5" hidden="false" customHeight="true" outlineLevel="0" collapsed="false">
      <c r="A1" s="1" t="s">
        <v>609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72" t="s">
        <v>251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customFormat="false" ht="24" hidden="false" customHeight="true" outlineLevel="0" collapsed="false">
      <c r="A4" s="13" t="s">
        <v>252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customFormat="false" ht="33" hidden="false" customHeight="true" outlineLevel="0" collapsed="false">
      <c r="A5" s="74" t="s">
        <v>610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</row>
    <row r="6" customFormat="false" ht="18.75" hidden="false" customHeight="true" outlineLevel="0" collapsed="false">
      <c r="A6" s="75" t="s">
        <v>611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</row>
    <row r="7" customFormat="false" ht="18.75" hidden="false" customHeight="true" outlineLevel="0" collapsed="false">
      <c r="A7" s="75" t="s">
        <v>612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</row>
    <row r="8" customFormat="false" ht="18.75" hidden="false" customHeight="true" outlineLevel="0" collapsed="false">
      <c r="A8" s="75" t="s">
        <v>613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</row>
    <row r="9" customFormat="false" ht="18.75" hidden="false" customHeight="true" outlineLevel="0" collapsed="false">
      <c r="A9" s="75" t="s">
        <v>614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</row>
    <row r="11" customFormat="false" ht="24" hidden="false" customHeight="true" outlineLevel="0" collapsed="false">
      <c r="A11" s="13" t="s">
        <v>258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customFormat="false" ht="27" hidden="false" customHeight="true" outlineLevel="0" collapsed="false">
      <c r="A12" s="4" t="s">
        <v>49</v>
      </c>
      <c r="B12" s="14" t="s">
        <v>259</v>
      </c>
      <c r="C12" s="14" t="s">
        <v>260</v>
      </c>
      <c r="D12" s="14" t="s">
        <v>261</v>
      </c>
      <c r="E12" s="14" t="s">
        <v>262</v>
      </c>
      <c r="F12" s="14" t="s">
        <v>263</v>
      </c>
      <c r="G12" s="4" t="s">
        <v>264</v>
      </c>
      <c r="H12" s="4"/>
      <c r="I12" s="4"/>
      <c r="J12" s="4"/>
      <c r="K12" s="4"/>
      <c r="L12" s="4"/>
      <c r="M12" s="4"/>
      <c r="N12" s="4"/>
    </row>
    <row r="13" customFormat="false" ht="16.5" hidden="false" customHeight="true" outlineLevel="0" collapsed="false">
      <c r="A13" s="35" t="s">
        <v>265</v>
      </c>
      <c r="B13" s="36" t="n">
        <f aca="false">$B$189</f>
        <v>53000</v>
      </c>
      <c r="C13" s="36" t="n">
        <f aca="false">B13*(1+0.037736+$B$191)</f>
        <v>55000.008</v>
      </c>
      <c r="D13" s="36" t="n">
        <f aca="false">C13*(1+-0.054545+$B$191)</f>
        <v>52000.03256364</v>
      </c>
      <c r="E13" s="36" t="n">
        <f aca="false">D13*(1+-0.134615+$B$191)</f>
        <v>45000.0481800856</v>
      </c>
      <c r="F13" s="167" t="n">
        <f aca="false">SUM(B13:E13)</f>
        <v>205000.088743726</v>
      </c>
      <c r="G13" s="48" t="s">
        <v>266</v>
      </c>
      <c r="H13" s="48"/>
      <c r="I13" s="48"/>
      <c r="J13" s="48"/>
      <c r="K13" s="48"/>
      <c r="L13" s="48"/>
      <c r="M13" s="48"/>
      <c r="N13" s="48"/>
    </row>
    <row r="14" customFormat="false" ht="16.5" hidden="false" customHeight="true" outlineLevel="0" collapsed="false">
      <c r="A14" s="30" t="s">
        <v>267</v>
      </c>
      <c r="B14" s="77" t="n">
        <f aca="false">B13/'00-三表与联动'!E27-1</f>
        <v>0.0600000000000001</v>
      </c>
      <c r="C14" s="77" t="n">
        <f aca="false">C13/B13-1</f>
        <v>0.037736</v>
      </c>
      <c r="D14" s="77" t="n">
        <f aca="false">D13/C13-1</f>
        <v>-0.054545</v>
      </c>
      <c r="E14" s="77" t="n">
        <f aca="false">E13/D13-1</f>
        <v>-0.134615</v>
      </c>
      <c r="F14" s="168" t="n">
        <f aca="false">F13/'00-三表与联动'!F27-1</f>
        <v>0.589653213375768</v>
      </c>
      <c r="G14" s="48" t="s">
        <v>268</v>
      </c>
      <c r="H14" s="48"/>
      <c r="I14" s="48"/>
      <c r="J14" s="48"/>
      <c r="K14" s="48"/>
      <c r="L14" s="48"/>
      <c r="M14" s="48"/>
      <c r="N14" s="48"/>
    </row>
    <row r="15" customFormat="false" ht="16.5" hidden="false" customHeight="true" outlineLevel="0" collapsed="false">
      <c r="A15" s="30" t="s">
        <v>269</v>
      </c>
      <c r="B15" s="77" t="n">
        <f aca="false">MAX(0.05,MIN(0.92,0.86+$B$193))</f>
        <v>0.86</v>
      </c>
      <c r="C15" s="77" t="n">
        <f aca="false">MAX(0.05,MIN(0.92,0.855+$B$193))</f>
        <v>0.855</v>
      </c>
      <c r="D15" s="77" t="n">
        <f aca="false">MAX(0.05,MIN(0.92,0.82+$B$193))</f>
        <v>0.82</v>
      </c>
      <c r="E15" s="77" t="n">
        <f aca="false">MAX(0.05,MIN(0.92,0.76+$B$193))</f>
        <v>0.76</v>
      </c>
      <c r="F15" s="168" t="n">
        <f aca="false">F16/F13</f>
        <v>0.826560960033906</v>
      </c>
      <c r="G15" s="49" t="s">
        <v>270</v>
      </c>
      <c r="H15" s="49"/>
      <c r="I15" s="49"/>
      <c r="J15" s="49"/>
      <c r="K15" s="49"/>
      <c r="L15" s="49"/>
      <c r="M15" s="49"/>
      <c r="N15" s="49"/>
    </row>
    <row r="16" customFormat="false" ht="16.5" hidden="false" customHeight="true" outlineLevel="0" collapsed="false">
      <c r="A16" s="30" t="s">
        <v>271</v>
      </c>
      <c r="B16" s="31" t="n">
        <f aca="false">B13*B15</f>
        <v>45580</v>
      </c>
      <c r="C16" s="31" t="n">
        <f aca="false">C13*C15</f>
        <v>47025.00684</v>
      </c>
      <c r="D16" s="31" t="n">
        <f aca="false">D13*D15</f>
        <v>42640.0267021848</v>
      </c>
      <c r="E16" s="31" t="n">
        <f aca="false">E13*E15</f>
        <v>34200.0366168651</v>
      </c>
      <c r="F16" s="167" t="n">
        <f aca="false">SUM(B16:E16)</f>
        <v>169445.07015905</v>
      </c>
      <c r="G16" s="49" t="s">
        <v>272</v>
      </c>
      <c r="H16" s="49"/>
      <c r="I16" s="49"/>
      <c r="J16" s="49"/>
      <c r="K16" s="49"/>
      <c r="L16" s="49"/>
      <c r="M16" s="49"/>
      <c r="N16" s="49"/>
    </row>
    <row r="17" customFormat="false" ht="16.5" hidden="false" customHeight="true" outlineLevel="0" collapsed="false">
      <c r="A17" s="30" t="s">
        <v>273</v>
      </c>
      <c r="B17" s="31" t="n">
        <f aca="false">B13*$B$199</f>
        <v>2226</v>
      </c>
      <c r="C17" s="31" t="n">
        <f aca="false">C13*$B$199</f>
        <v>2310.000336</v>
      </c>
      <c r="D17" s="31" t="n">
        <f aca="false">D13*$B$199</f>
        <v>2184.00136767288</v>
      </c>
      <c r="E17" s="31" t="n">
        <f aca="false">E13*$B$199</f>
        <v>1890.0020235636</v>
      </c>
      <c r="F17" s="167" t="n">
        <f aca="false">SUM(B17:E17)</f>
        <v>8610.00372723648</v>
      </c>
      <c r="G17" s="49" t="s">
        <v>274</v>
      </c>
      <c r="H17" s="49"/>
      <c r="I17" s="49"/>
      <c r="J17" s="49"/>
      <c r="K17" s="49"/>
      <c r="L17" s="49"/>
      <c r="M17" s="49"/>
      <c r="N17" s="49"/>
    </row>
    <row r="18" customFormat="false" ht="16.5" hidden="false" customHeight="true" outlineLevel="0" collapsed="false">
      <c r="A18" s="35" t="s">
        <v>275</v>
      </c>
      <c r="B18" s="36" t="n">
        <f aca="false">B16-B17</f>
        <v>43354</v>
      </c>
      <c r="C18" s="36" t="n">
        <f aca="false">C16-C17</f>
        <v>44715.006504</v>
      </c>
      <c r="D18" s="36" t="n">
        <f aca="false">D16-D17</f>
        <v>40456.0253345119</v>
      </c>
      <c r="E18" s="36" t="n">
        <f aca="false">E16-E17</f>
        <v>32310.0345933015</v>
      </c>
      <c r="F18" s="167" t="n">
        <f aca="false">SUM(B18:E18)</f>
        <v>160835.066431813</v>
      </c>
      <c r="G18" s="49" t="s">
        <v>276</v>
      </c>
      <c r="H18" s="49"/>
      <c r="I18" s="49"/>
      <c r="J18" s="49"/>
      <c r="K18" s="49"/>
      <c r="L18" s="49"/>
      <c r="M18" s="49"/>
      <c r="N18" s="49"/>
    </row>
    <row r="19" customFormat="false" ht="16.5" hidden="false" customHeight="true" outlineLevel="0" collapsed="false">
      <c r="A19" s="30" t="s">
        <v>277</v>
      </c>
      <c r="B19" s="77" t="n">
        <f aca="false">B18/B13</f>
        <v>0.818</v>
      </c>
      <c r="C19" s="77" t="n">
        <f aca="false">C18/C13</f>
        <v>0.813</v>
      </c>
      <c r="D19" s="77" t="n">
        <f aca="false">D18/D13</f>
        <v>0.778</v>
      </c>
      <c r="E19" s="77" t="n">
        <f aca="false">E18/E13</f>
        <v>0.718</v>
      </c>
      <c r="F19" s="168" t="n">
        <f aca="false">F18/F13</f>
        <v>0.784560960033907</v>
      </c>
      <c r="G19" s="49" t="s">
        <v>278</v>
      </c>
      <c r="H19" s="49"/>
      <c r="I19" s="49"/>
      <c r="J19" s="49"/>
      <c r="K19" s="49"/>
      <c r="L19" s="49"/>
      <c r="M19" s="49"/>
      <c r="N19" s="49"/>
    </row>
    <row r="20" customFormat="false" ht="16.5" hidden="false" customHeight="true" outlineLevel="0" collapsed="false">
      <c r="A20" s="30" t="s">
        <v>279</v>
      </c>
      <c r="B20" s="31" t="n">
        <f aca="false">MAX(0,B18)*$B$201</f>
        <v>7153.41</v>
      </c>
      <c r="C20" s="31" t="n">
        <f aca="false">MAX(0,C18)*$B$201</f>
        <v>7377.97607316</v>
      </c>
      <c r="D20" s="31" t="n">
        <f aca="false">MAX(0,D18)*$B$201</f>
        <v>6675.24418019447</v>
      </c>
      <c r="E20" s="31" t="n">
        <f aca="false">MAX(0,E18)*$B$201</f>
        <v>5331.15570789474</v>
      </c>
      <c r="F20" s="167" t="n">
        <f aca="false">SUM(B20:E20)</f>
        <v>26537.7859612492</v>
      </c>
      <c r="G20" s="49" t="s">
        <v>280</v>
      </c>
      <c r="H20" s="49"/>
      <c r="I20" s="49"/>
      <c r="J20" s="49"/>
      <c r="K20" s="49"/>
      <c r="L20" s="49"/>
      <c r="M20" s="49"/>
      <c r="N20" s="49"/>
    </row>
    <row r="21" customFormat="false" ht="16.5" hidden="false" customHeight="true" outlineLevel="0" collapsed="false">
      <c r="A21" s="35" t="s">
        <v>281</v>
      </c>
      <c r="B21" s="36" t="n">
        <f aca="false">B18-B20</f>
        <v>36200.59</v>
      </c>
      <c r="C21" s="36" t="n">
        <f aca="false">C18-C20</f>
        <v>37337.03043084</v>
      </c>
      <c r="D21" s="36" t="n">
        <f aca="false">D18-D20</f>
        <v>33780.7811543175</v>
      </c>
      <c r="E21" s="36" t="n">
        <f aca="false">E18-E20</f>
        <v>26978.8788854067</v>
      </c>
      <c r="F21" s="167" t="n">
        <f aca="false">SUM(B21:E21)</f>
        <v>134297.280470564</v>
      </c>
      <c r="G21" s="49" t="s">
        <v>282</v>
      </c>
      <c r="H21" s="49"/>
      <c r="I21" s="49"/>
      <c r="J21" s="49"/>
      <c r="K21" s="49"/>
      <c r="L21" s="49"/>
      <c r="M21" s="49"/>
      <c r="N21" s="49"/>
    </row>
    <row r="22" customFormat="false" ht="16.5" hidden="false" customHeight="true" outlineLevel="0" collapsed="false">
      <c r="A22" s="30" t="s">
        <v>283</v>
      </c>
      <c r="B22" s="31" t="n">
        <f aca="false">B13*$B$207</f>
        <v>3975</v>
      </c>
      <c r="C22" s="31" t="n">
        <f aca="false">C13*$B$207</f>
        <v>4125.0006</v>
      </c>
      <c r="D22" s="31" t="n">
        <f aca="false">D13*$B$207</f>
        <v>3900.002442273</v>
      </c>
      <c r="E22" s="31" t="n">
        <f aca="false">E13*$B$207</f>
        <v>3375.00361350642</v>
      </c>
      <c r="F22" s="167" t="n">
        <f aca="false">SUM(B22:E22)</f>
        <v>15375.0066557794</v>
      </c>
      <c r="G22" s="49" t="s">
        <v>284</v>
      </c>
      <c r="H22" s="49"/>
      <c r="I22" s="49"/>
      <c r="J22" s="49"/>
      <c r="K22" s="49"/>
      <c r="L22" s="49"/>
      <c r="M22" s="49"/>
      <c r="N22" s="49"/>
    </row>
    <row r="23" customFormat="false" ht="16.5" hidden="false" customHeight="true" outlineLevel="0" collapsed="false">
      <c r="A23" s="30" t="s">
        <v>285</v>
      </c>
      <c r="B23" s="31" t="n">
        <f aca="false">-B13*$B$203</f>
        <v>-9540</v>
      </c>
      <c r="C23" s="31" t="n">
        <f aca="false">-C13*$B$203</f>
        <v>-9900.00144</v>
      </c>
      <c r="D23" s="31" t="n">
        <f aca="false">-D13*$B$203</f>
        <v>-9360.0058614552</v>
      </c>
      <c r="E23" s="31" t="n">
        <f aca="false">-E13*$B$203</f>
        <v>-8100.00867241541</v>
      </c>
      <c r="F23" s="167" t="n">
        <f aca="false">SUM(B23:E23)</f>
        <v>-36900.0159738706</v>
      </c>
      <c r="G23" s="49" t="s">
        <v>286</v>
      </c>
      <c r="H23" s="49"/>
      <c r="I23" s="49"/>
      <c r="J23" s="49"/>
      <c r="K23" s="49"/>
      <c r="L23" s="49"/>
      <c r="M23" s="49"/>
      <c r="N23" s="49"/>
    </row>
    <row r="24" customFormat="false" ht="16.5" hidden="false" customHeight="true" outlineLevel="0" collapsed="false">
      <c r="A24" s="30" t="s">
        <v>287</v>
      </c>
      <c r="B24" s="31" t="n">
        <f aca="false">-B23*$B$205</f>
        <v>954</v>
      </c>
      <c r="C24" s="31" t="n">
        <f aca="false">-C23*$B$205</f>
        <v>990.000144</v>
      </c>
      <c r="D24" s="31" t="n">
        <f aca="false">-D23*$B$205</f>
        <v>936.00058614552</v>
      </c>
      <c r="E24" s="31" t="n">
        <f aca="false">-E23*$B$205</f>
        <v>810.000867241541</v>
      </c>
      <c r="F24" s="167" t="n">
        <f aca="false">SUM(B24:E24)</f>
        <v>3690.00159738706</v>
      </c>
      <c r="G24" s="49" t="s">
        <v>288</v>
      </c>
      <c r="H24" s="49"/>
      <c r="I24" s="49"/>
      <c r="J24" s="49"/>
      <c r="K24" s="49"/>
      <c r="L24" s="49"/>
      <c r="M24" s="49"/>
      <c r="N24" s="49"/>
    </row>
    <row r="25" customFormat="false" ht="16.5" hidden="false" customHeight="true" outlineLevel="0" collapsed="false">
      <c r="A25" s="30" t="s">
        <v>289</v>
      </c>
      <c r="B25" s="31" t="n">
        <f aca="false">B13*4*$B$209</f>
        <v>31800</v>
      </c>
      <c r="C25" s="31" t="n">
        <f aca="false">C13*4*$B$209</f>
        <v>33000.0048</v>
      </c>
      <c r="D25" s="31" t="n">
        <f aca="false">D13*4*$B$209</f>
        <v>31200.019538184</v>
      </c>
      <c r="E25" s="31" t="n">
        <f aca="false">E13*4*$B$209</f>
        <v>27000.0289080514</v>
      </c>
      <c r="F25" s="167" t="n">
        <f aca="false">E25</f>
        <v>27000.0289080514</v>
      </c>
      <c r="G25" s="49" t="s">
        <v>290</v>
      </c>
      <c r="H25" s="49"/>
      <c r="I25" s="49"/>
      <c r="J25" s="49"/>
      <c r="K25" s="49"/>
      <c r="L25" s="49"/>
      <c r="M25" s="49"/>
      <c r="N25" s="49"/>
    </row>
    <row r="26" customFormat="false" ht="16.5" hidden="false" customHeight="true" outlineLevel="0" collapsed="false">
      <c r="A26" s="30" t="s">
        <v>291</v>
      </c>
      <c r="B26" s="31" t="n">
        <f aca="false">-(B25-'00-三表与联动'!E27*4*$B$209)</f>
        <v>-1800</v>
      </c>
      <c r="C26" s="31" t="n">
        <f aca="false">-(C25-B25)</f>
        <v>-1200.0048</v>
      </c>
      <c r="D26" s="31" t="n">
        <f aca="false">-(D25-C25)</f>
        <v>1799.985261816</v>
      </c>
      <c r="E26" s="31" t="n">
        <f aca="false">-(E25-D25)</f>
        <v>4199.99063013264</v>
      </c>
      <c r="F26" s="167" t="n">
        <f aca="false">SUM(B26:E26)</f>
        <v>2999.97109194864</v>
      </c>
      <c r="G26" s="49" t="s">
        <v>292</v>
      </c>
      <c r="H26" s="49"/>
      <c r="I26" s="49"/>
      <c r="J26" s="49"/>
      <c r="K26" s="49"/>
      <c r="L26" s="49"/>
      <c r="M26" s="49"/>
      <c r="N26" s="49"/>
    </row>
    <row r="27" customFormat="false" ht="16.5" hidden="false" customHeight="true" outlineLevel="0" collapsed="false">
      <c r="A27" s="35" t="s">
        <v>293</v>
      </c>
      <c r="B27" s="169" t="n">
        <f aca="false">B21+B22+B23+B24+B26</f>
        <v>29789.59</v>
      </c>
      <c r="C27" s="169" t="n">
        <f aca="false">C21+C22+C23+C24+C26</f>
        <v>31352.02493484</v>
      </c>
      <c r="D27" s="169" t="n">
        <f aca="false">D21+D22+D23+D24+D26</f>
        <v>31056.7635830968</v>
      </c>
      <c r="E27" s="169" t="n">
        <f aca="false">E21+E22+E23+E24+E26</f>
        <v>27263.8653238719</v>
      </c>
      <c r="F27" s="167" t="n">
        <f aca="false">SUM(B27:E27)</f>
        <v>119462.243841809</v>
      </c>
      <c r="G27" s="49" t="s">
        <v>294</v>
      </c>
      <c r="H27" s="49"/>
      <c r="I27" s="49"/>
      <c r="J27" s="49"/>
      <c r="K27" s="49"/>
      <c r="L27" s="49"/>
      <c r="M27" s="49"/>
      <c r="N27" s="49"/>
    </row>
    <row r="28" customFormat="false" ht="20.25" hidden="false" customHeight="true" outlineLevel="0" collapsed="false">
      <c r="A28" s="43" t="s">
        <v>295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30" customFormat="false" ht="24" hidden="false" customHeight="true" outlineLevel="0" collapsed="false">
      <c r="A30" s="13" t="s">
        <v>296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customFormat="false" ht="27" hidden="false" customHeight="true" outlineLevel="0" collapsed="false">
      <c r="A31" s="4" t="s">
        <v>49</v>
      </c>
      <c r="B31" s="14" t="s">
        <v>297</v>
      </c>
      <c r="C31" s="14" t="s">
        <v>298</v>
      </c>
      <c r="D31" s="14" t="s">
        <v>299</v>
      </c>
      <c r="E31" s="14" t="s">
        <v>300</v>
      </c>
      <c r="F31" s="14" t="s">
        <v>301</v>
      </c>
      <c r="G31" s="14" t="s">
        <v>302</v>
      </c>
      <c r="H31" s="4" t="s">
        <v>303</v>
      </c>
      <c r="I31" s="4" t="s">
        <v>264</v>
      </c>
      <c r="J31" s="4"/>
      <c r="K31" s="4"/>
      <c r="L31" s="4"/>
      <c r="M31" s="4"/>
      <c r="N31" s="4"/>
    </row>
    <row r="32" customFormat="false" ht="16.5" hidden="false" customHeight="true" outlineLevel="0" collapsed="false">
      <c r="A32" s="35" t="s">
        <v>265</v>
      </c>
      <c r="B32" s="36" t="n">
        <f aca="false">F13</f>
        <v>205000.088743726</v>
      </c>
      <c r="C32" s="36" t="n">
        <f aca="false">B32*(1+-0.2)</f>
        <v>164000.070994981</v>
      </c>
      <c r="D32" s="36" t="n">
        <f aca="false">C32*(1+0.12+$B$197)</f>
        <v>183680.079514378</v>
      </c>
      <c r="E32" s="36" t="n">
        <f aca="false">D32*(1+0.14+$B$197)</f>
        <v>209395.290646391</v>
      </c>
      <c r="F32" s="36" t="n">
        <f aca="false">E32*(1+0.12+$B$197)</f>
        <v>234522.725523958</v>
      </c>
      <c r="G32" s="36" t="n">
        <f aca="false">F32*(1+0.1+$B$197)</f>
        <v>257974.998076354</v>
      </c>
      <c r="H32" s="80" t="n">
        <f aca="false">G32*(1+$B$213)</f>
        <v>265714.248018645</v>
      </c>
      <c r="I32" s="48" t="s">
        <v>304</v>
      </c>
      <c r="J32" s="48"/>
      <c r="K32" s="48"/>
      <c r="L32" s="48"/>
      <c r="M32" s="48"/>
      <c r="N32" s="48"/>
    </row>
    <row r="33" customFormat="false" ht="16.5" hidden="false" customHeight="true" outlineLevel="0" collapsed="false">
      <c r="A33" s="30" t="s">
        <v>305</v>
      </c>
      <c r="B33" s="77" t="n">
        <f aca="false">B32/'00-三表与联动'!F27-1</f>
        <v>0.589653213375768</v>
      </c>
      <c r="C33" s="77" t="n">
        <f aca="false">C32/B32-1</f>
        <v>-0.2</v>
      </c>
      <c r="D33" s="77" t="n">
        <f aca="false">D32/C32-1</f>
        <v>0.12</v>
      </c>
      <c r="E33" s="77" t="n">
        <f aca="false">E32/D32-1</f>
        <v>0.14</v>
      </c>
      <c r="F33" s="77" t="n">
        <f aca="false">F32/E32-1</f>
        <v>0.12</v>
      </c>
      <c r="G33" s="77" t="n">
        <f aca="false">G32/F32-1</f>
        <v>0.1</v>
      </c>
      <c r="H33" s="81" t="n">
        <f aca="false">$B$213</f>
        <v>0.03</v>
      </c>
      <c r="I33" s="49" t="s">
        <v>306</v>
      </c>
      <c r="J33" s="49"/>
      <c r="K33" s="49"/>
      <c r="L33" s="49"/>
      <c r="M33" s="49"/>
      <c r="N33" s="49"/>
    </row>
    <row r="34" customFormat="false" ht="16.5" hidden="false" customHeight="true" outlineLevel="0" collapsed="false">
      <c r="A34" s="30" t="s">
        <v>269</v>
      </c>
      <c r="B34" s="77" t="n">
        <f aca="false">F16/F13</f>
        <v>0.826560960033906</v>
      </c>
      <c r="C34" s="77" t="n">
        <f aca="false">MAX(0.05,MIN(0.92,0.68+$B$193))</f>
        <v>0.68</v>
      </c>
      <c r="D34" s="77" t="n">
        <f aca="false">MAX(0.05,MIN(0.92,0.7+$B$193))</f>
        <v>0.7</v>
      </c>
      <c r="E34" s="77" t="n">
        <f aca="false">MAX(0.05,MIN(0.92,0.72+$B$193))</f>
        <v>0.72</v>
      </c>
      <c r="F34" s="77" t="n">
        <f aca="false">MAX(0.05,MIN(0.92,0.7+$B$193))</f>
        <v>0.7</v>
      </c>
      <c r="G34" s="77" t="n">
        <f aca="false">$B$195</f>
        <v>0.68</v>
      </c>
      <c r="H34" s="81" t="n">
        <f aca="false">G34</f>
        <v>0.68</v>
      </c>
      <c r="I34" s="49" t="s">
        <v>307</v>
      </c>
      <c r="J34" s="49"/>
      <c r="K34" s="49"/>
      <c r="L34" s="49"/>
      <c r="M34" s="49"/>
      <c r="N34" s="49"/>
    </row>
    <row r="35" customFormat="false" ht="16.5" hidden="false" customHeight="true" outlineLevel="0" collapsed="false">
      <c r="A35" s="30" t="s">
        <v>271</v>
      </c>
      <c r="B35" s="31" t="n">
        <f aca="false">B32*B34</f>
        <v>169445.07015905</v>
      </c>
      <c r="C35" s="31" t="n">
        <f aca="false">C32*C34</f>
        <v>111520.048276587</v>
      </c>
      <c r="D35" s="31" t="n">
        <f aca="false">D32*D34</f>
        <v>128576.055660065</v>
      </c>
      <c r="E35" s="31" t="n">
        <f aca="false">E32*E34</f>
        <v>150764.609265402</v>
      </c>
      <c r="F35" s="31" t="n">
        <f aca="false">F32*F34</f>
        <v>164165.907866771</v>
      </c>
      <c r="G35" s="31" t="n">
        <f aca="false">G32*G34</f>
        <v>175422.998691921</v>
      </c>
      <c r="H35" s="82" t="n">
        <f aca="false">H32*H34</f>
        <v>180685.688652678</v>
      </c>
      <c r="I35" s="49" t="s">
        <v>272</v>
      </c>
      <c r="J35" s="49"/>
      <c r="K35" s="49"/>
      <c r="L35" s="49"/>
      <c r="M35" s="49"/>
      <c r="N35" s="49"/>
    </row>
    <row r="36" customFormat="false" ht="16.5" hidden="false" customHeight="true" outlineLevel="0" collapsed="false">
      <c r="A36" s="30" t="s">
        <v>273</v>
      </c>
      <c r="B36" s="31" t="n">
        <f aca="false">B32*$B$199</f>
        <v>8610.00372723648</v>
      </c>
      <c r="C36" s="31" t="n">
        <f aca="false">C32*$B$199</f>
        <v>6888.00298178918</v>
      </c>
      <c r="D36" s="31" t="n">
        <f aca="false">D32*$B$199</f>
        <v>7714.56333960389</v>
      </c>
      <c r="E36" s="31" t="n">
        <f aca="false">E32*$B$199</f>
        <v>8794.60220714843</v>
      </c>
      <c r="F36" s="31" t="n">
        <f aca="false">F32*$B$199</f>
        <v>9849.95447200624</v>
      </c>
      <c r="G36" s="31" t="n">
        <f aca="false">G32*$B$199</f>
        <v>10834.9499192069</v>
      </c>
      <c r="H36" s="82" t="n">
        <f aca="false">H32*$B$199</f>
        <v>11159.9984167831</v>
      </c>
      <c r="I36" s="49" t="s">
        <v>308</v>
      </c>
      <c r="J36" s="49"/>
      <c r="K36" s="49"/>
      <c r="L36" s="49"/>
      <c r="M36" s="49"/>
      <c r="N36" s="49"/>
    </row>
    <row r="37" customFormat="false" ht="16.5" hidden="false" customHeight="true" outlineLevel="0" collapsed="false">
      <c r="A37" s="35" t="s">
        <v>275</v>
      </c>
      <c r="B37" s="36" t="n">
        <f aca="false">B35-B36</f>
        <v>160835.066431813</v>
      </c>
      <c r="C37" s="36" t="n">
        <f aca="false">C35-C36</f>
        <v>104632.045294798</v>
      </c>
      <c r="D37" s="36" t="n">
        <f aca="false">D35-D36</f>
        <v>120861.492320461</v>
      </c>
      <c r="E37" s="36" t="n">
        <f aca="false">E35-E36</f>
        <v>141970.007058253</v>
      </c>
      <c r="F37" s="36" t="n">
        <f aca="false">F35-F36</f>
        <v>154315.953394764</v>
      </c>
      <c r="G37" s="36" t="n">
        <f aca="false">G35-G36</f>
        <v>164588.048772714</v>
      </c>
      <c r="H37" s="80" t="n">
        <f aca="false">H35-H36</f>
        <v>169525.690235895</v>
      </c>
      <c r="I37" s="49" t="s">
        <v>276</v>
      </c>
      <c r="J37" s="49"/>
      <c r="K37" s="49"/>
      <c r="L37" s="49"/>
      <c r="M37" s="49"/>
      <c r="N37" s="49"/>
    </row>
    <row r="38" customFormat="false" ht="16.5" hidden="false" customHeight="true" outlineLevel="0" collapsed="false">
      <c r="A38" s="30" t="s">
        <v>277</v>
      </c>
      <c r="B38" s="77" t="n">
        <f aca="false">B37/B32</f>
        <v>0.784560960033906</v>
      </c>
      <c r="C38" s="77" t="n">
        <f aca="false">C37/C32</f>
        <v>0.638</v>
      </c>
      <c r="D38" s="77" t="n">
        <f aca="false">D37/D32</f>
        <v>0.658</v>
      </c>
      <c r="E38" s="77" t="n">
        <f aca="false">E37/E32</f>
        <v>0.678</v>
      </c>
      <c r="F38" s="77" t="n">
        <f aca="false">F37/F32</f>
        <v>0.658</v>
      </c>
      <c r="G38" s="77" t="n">
        <f aca="false">G37/G32</f>
        <v>0.638</v>
      </c>
      <c r="H38" s="81" t="n">
        <f aca="false">H37/H32</f>
        <v>0.638</v>
      </c>
      <c r="I38" s="49" t="s">
        <v>309</v>
      </c>
      <c r="J38" s="49"/>
      <c r="K38" s="49"/>
      <c r="L38" s="49"/>
      <c r="M38" s="49"/>
      <c r="N38" s="49"/>
    </row>
    <row r="39" customFormat="false" ht="16.5" hidden="false" customHeight="true" outlineLevel="0" collapsed="false">
      <c r="A39" s="30" t="s">
        <v>310</v>
      </c>
      <c r="B39" s="31" t="n">
        <f aca="false">B37*(1-$B$201)</f>
        <v>134297.280470564</v>
      </c>
      <c r="C39" s="31" t="n">
        <f aca="false">C37*(1-$B$201)</f>
        <v>87367.757821156</v>
      </c>
      <c r="D39" s="31" t="n">
        <f aca="false">D37*(1-$B$201)</f>
        <v>100919.346087585</v>
      </c>
      <c r="E39" s="31" t="n">
        <f aca="false">E37*(1-$B$201)</f>
        <v>118544.955893641</v>
      </c>
      <c r="F39" s="31" t="n">
        <f aca="false">F37*(1-$B$201)</f>
        <v>128853.821084628</v>
      </c>
      <c r="G39" s="31" t="n">
        <f aca="false">G37*(1-$B$201)</f>
        <v>137431.020725216</v>
      </c>
      <c r="H39" s="82" t="n">
        <f aca="false">H37*(1-$B$201)</f>
        <v>141553.951346973</v>
      </c>
      <c r="I39" s="49" t="s">
        <v>311</v>
      </c>
      <c r="J39" s="49"/>
      <c r="K39" s="49"/>
      <c r="L39" s="49"/>
      <c r="M39" s="49"/>
      <c r="N39" s="49"/>
    </row>
    <row r="40" customFormat="false" ht="16.5" hidden="false" customHeight="true" outlineLevel="0" collapsed="false">
      <c r="A40" s="30" t="s">
        <v>283</v>
      </c>
      <c r="B40" s="31" t="n">
        <f aca="false">B32*$B$207</f>
        <v>15375.0066557794</v>
      </c>
      <c r="C40" s="31" t="n">
        <f aca="false">C32*$B$207</f>
        <v>12300.0053246235</v>
      </c>
      <c r="D40" s="31" t="n">
        <f aca="false">D32*$B$207</f>
        <v>13776.0059635784</v>
      </c>
      <c r="E40" s="31" t="n">
        <f aca="false">E32*$B$207</f>
        <v>15704.6467984793</v>
      </c>
      <c r="F40" s="31" t="n">
        <f aca="false">F32*$B$207</f>
        <v>17589.2044142969</v>
      </c>
      <c r="G40" s="31" t="n">
        <f aca="false">G32*$B$207</f>
        <v>19348.1248557265</v>
      </c>
      <c r="H40" s="82" t="n">
        <f aca="false">H32*$B$207</f>
        <v>19928.5686013983</v>
      </c>
      <c r="I40" s="49" t="s">
        <v>312</v>
      </c>
      <c r="J40" s="49"/>
      <c r="K40" s="49"/>
      <c r="L40" s="49"/>
      <c r="M40" s="49"/>
      <c r="N40" s="49"/>
    </row>
    <row r="41" customFormat="false" ht="16.5" hidden="false" customHeight="true" outlineLevel="0" collapsed="false">
      <c r="A41" s="30" t="s">
        <v>285</v>
      </c>
      <c r="B41" s="31" t="n">
        <f aca="false">-B32*$B$203</f>
        <v>-36900.0159738706</v>
      </c>
      <c r="C41" s="31" t="n">
        <f aca="false">-C32*$B$203</f>
        <v>-29520.0127790965</v>
      </c>
      <c r="D41" s="31" t="n">
        <f aca="false">-D32*$B$203</f>
        <v>-33062.4143125881</v>
      </c>
      <c r="E41" s="31" t="n">
        <f aca="false">-E32*$B$203</f>
        <v>-37691.1523163504</v>
      </c>
      <c r="F41" s="31" t="n">
        <f aca="false">-F32*$B$203</f>
        <v>-42214.0905943125</v>
      </c>
      <c r="G41" s="31" t="n">
        <f aca="false">-G32*$B$203</f>
        <v>-46435.4996537437</v>
      </c>
      <c r="H41" s="82" t="n">
        <f aca="false">-H32*$B$203</f>
        <v>-47828.564643356</v>
      </c>
      <c r="I41" s="49" t="s">
        <v>313</v>
      </c>
      <c r="J41" s="49"/>
      <c r="K41" s="49"/>
      <c r="L41" s="49"/>
      <c r="M41" s="49"/>
      <c r="N41" s="49"/>
    </row>
    <row r="42" customFormat="false" ht="16.5" hidden="false" customHeight="true" outlineLevel="0" collapsed="false">
      <c r="A42" s="30" t="s">
        <v>287</v>
      </c>
      <c r="B42" s="31" t="n">
        <f aca="false">-B41*$B$205</f>
        <v>3690.00159738706</v>
      </c>
      <c r="C42" s="31" t="n">
        <f aca="false">-C41*$B$205</f>
        <v>2952.00127790965</v>
      </c>
      <c r="D42" s="31" t="n">
        <f aca="false">-D41*$B$205</f>
        <v>3306.24143125881</v>
      </c>
      <c r="E42" s="31" t="n">
        <f aca="false">-E41*$B$205</f>
        <v>3769.11523163504</v>
      </c>
      <c r="F42" s="31" t="n">
        <f aca="false">-F41*$B$205</f>
        <v>4221.40905943125</v>
      </c>
      <c r="G42" s="31" t="n">
        <f aca="false">-G41*$B$205</f>
        <v>4643.54996537437</v>
      </c>
      <c r="H42" s="82" t="n">
        <f aca="false">-H41*$B$205</f>
        <v>4782.8564643356</v>
      </c>
      <c r="I42" s="49" t="s">
        <v>314</v>
      </c>
      <c r="J42" s="49"/>
      <c r="K42" s="49"/>
      <c r="L42" s="49"/>
      <c r="M42" s="49"/>
      <c r="N42" s="49"/>
    </row>
    <row r="43" customFormat="false" ht="16.5" hidden="false" customHeight="true" outlineLevel="0" collapsed="false">
      <c r="A43" s="30" t="s">
        <v>289</v>
      </c>
      <c r="B43" s="31" t="n">
        <f aca="false">B32*$B$209</f>
        <v>30750.0133115588</v>
      </c>
      <c r="C43" s="31" t="n">
        <f aca="false">C32*$B$209</f>
        <v>24600.0106492471</v>
      </c>
      <c r="D43" s="31" t="n">
        <f aca="false">D32*$B$209</f>
        <v>27552.0119271567</v>
      </c>
      <c r="E43" s="31" t="n">
        <f aca="false">E32*$B$209</f>
        <v>31409.2935969587</v>
      </c>
      <c r="F43" s="31" t="n">
        <f aca="false">F32*$B$209</f>
        <v>35178.4088285937</v>
      </c>
      <c r="G43" s="31" t="n">
        <f aca="false">G32*$B$209</f>
        <v>38696.2497114531</v>
      </c>
      <c r="H43" s="82" t="n">
        <f aca="false">H32*$B$209</f>
        <v>39857.1372027967</v>
      </c>
      <c r="I43" s="49" t="s">
        <v>315</v>
      </c>
      <c r="J43" s="49"/>
      <c r="K43" s="49"/>
      <c r="L43" s="49"/>
      <c r="M43" s="49"/>
      <c r="N43" s="49"/>
    </row>
    <row r="44" customFormat="false" ht="16.5" hidden="false" customHeight="true" outlineLevel="0" collapsed="false">
      <c r="A44" s="30" t="s">
        <v>291</v>
      </c>
      <c r="B44" s="31" t="n">
        <f aca="false">-(B43-'00-三表与联动'!E27*4*$B$209)</f>
        <v>-750.01331155884</v>
      </c>
      <c r="C44" s="31" t="n">
        <f aca="false">-(C43-B43)</f>
        <v>6150.00266231176</v>
      </c>
      <c r="D44" s="31" t="n">
        <f aca="false">-(D43-C43)</f>
        <v>-2952.00127790965</v>
      </c>
      <c r="E44" s="31" t="n">
        <f aca="false">-(E43-D43)</f>
        <v>-3857.28166980195</v>
      </c>
      <c r="F44" s="31" t="n">
        <f aca="false">-(F43-E43)</f>
        <v>-3769.11523163505</v>
      </c>
      <c r="G44" s="31" t="n">
        <f aca="false">-(G43-F43)</f>
        <v>-3517.84088285937</v>
      </c>
      <c r="H44" s="82" t="n">
        <f aca="false">-(H43-G43)</f>
        <v>-1160.88749134359</v>
      </c>
      <c r="I44" s="49" t="s">
        <v>316</v>
      </c>
      <c r="J44" s="49"/>
      <c r="K44" s="49"/>
      <c r="L44" s="49"/>
      <c r="M44" s="49"/>
      <c r="N44" s="49"/>
    </row>
    <row r="45" customFormat="false" ht="16.5" hidden="false" customHeight="true" outlineLevel="0" collapsed="false">
      <c r="A45" s="35" t="s">
        <v>293</v>
      </c>
      <c r="B45" s="169" t="n">
        <f aca="false">B39+B40+B41+B42+B44</f>
        <v>115712.259438301</v>
      </c>
      <c r="C45" s="169" t="n">
        <f aca="false">C39+C40+C41+C42+C44</f>
        <v>79249.7543069044</v>
      </c>
      <c r="D45" s="169" t="n">
        <f aca="false">D39+D40+D41+D42+D44</f>
        <v>81987.1778919243</v>
      </c>
      <c r="E45" s="169" t="n">
        <f aca="false">E39+E40+E41+E42+E44</f>
        <v>96470.2839376035</v>
      </c>
      <c r="F45" s="169" t="n">
        <f aca="false">F39+F40+F41+F42+F44</f>
        <v>104681.228732409</v>
      </c>
      <c r="G45" s="169" t="n">
        <f aca="false">G39+G40+G41+G42+G44</f>
        <v>111469.355009714</v>
      </c>
      <c r="H45" s="170" t="n">
        <f aca="false">H39+H40+H41+H42+H44</f>
        <v>117275.924278007</v>
      </c>
      <c r="I45" s="49" t="s">
        <v>317</v>
      </c>
      <c r="J45" s="49"/>
      <c r="K45" s="49"/>
      <c r="L45" s="49"/>
      <c r="M45" s="49"/>
      <c r="N45" s="49"/>
    </row>
    <row r="46" customFormat="false" ht="16.5" hidden="false" customHeight="true" outlineLevel="0" collapsed="false">
      <c r="A46" s="30" t="s">
        <v>318</v>
      </c>
      <c r="B46" s="77" t="n">
        <f aca="false">B45/B32</f>
        <v>0.564449801692307</v>
      </c>
      <c r="C46" s="77" t="n">
        <f aca="false">C45/C32</f>
        <v>0.48323</v>
      </c>
      <c r="D46" s="77" t="n">
        <f aca="false">D45/D32</f>
        <v>0.446358571428571</v>
      </c>
      <c r="E46" s="77" t="n">
        <f aca="false">E45/E32</f>
        <v>0.460708947368421</v>
      </c>
      <c r="F46" s="77" t="n">
        <f aca="false">F45/F32</f>
        <v>0.446358571428571</v>
      </c>
      <c r="G46" s="77" t="n">
        <f aca="false">G45/G32</f>
        <v>0.432093636363636</v>
      </c>
      <c r="H46" s="81" t="n">
        <f aca="false">H45/H32</f>
        <v>0.441361067961165</v>
      </c>
      <c r="I46" s="49" t="s">
        <v>319</v>
      </c>
      <c r="J46" s="49"/>
      <c r="K46" s="49"/>
      <c r="L46" s="49"/>
      <c r="M46" s="49"/>
      <c r="N46" s="49"/>
    </row>
    <row r="47" customFormat="false" ht="16.5" hidden="false" customHeight="true" outlineLevel="0" collapsed="false">
      <c r="A47" s="30" t="s">
        <v>320</v>
      </c>
      <c r="B47" s="84" t="n">
        <f aca="false">0.5</f>
        <v>0.5</v>
      </c>
      <c r="C47" s="84" t="n">
        <f aca="false">1.5</f>
        <v>1.5</v>
      </c>
      <c r="D47" s="84" t="n">
        <f aca="false">2.5</f>
        <v>2.5</v>
      </c>
      <c r="E47" s="84" t="n">
        <f aca="false">3.5</f>
        <v>3.5</v>
      </c>
      <c r="F47" s="84" t="n">
        <f aca="false">4.5</f>
        <v>4.5</v>
      </c>
      <c r="G47" s="84" t="n">
        <f aca="false">5.5</f>
        <v>5.5</v>
      </c>
      <c r="H47" s="82" t="s">
        <v>321</v>
      </c>
      <c r="I47" s="49" t="s">
        <v>322</v>
      </c>
      <c r="J47" s="49"/>
      <c r="K47" s="49"/>
      <c r="L47" s="49"/>
      <c r="M47" s="49"/>
      <c r="N47" s="49"/>
    </row>
    <row r="48" customFormat="false" ht="16.5" hidden="false" customHeight="true" outlineLevel="0" collapsed="false">
      <c r="A48" s="30" t="s">
        <v>323</v>
      </c>
      <c r="B48" s="84" t="n">
        <f aca="false">1/(1+$B$211)^B47</f>
        <v>0.949157995752499</v>
      </c>
      <c r="C48" s="84" t="n">
        <f aca="false">1/(1+$B$211)^C47</f>
        <v>0.85509729347072</v>
      </c>
      <c r="D48" s="84" t="n">
        <f aca="false">1/(1+$B$211)^D47</f>
        <v>0.770357922045693</v>
      </c>
      <c r="E48" s="84" t="n">
        <f aca="false">1/(1+$B$211)^E47</f>
        <v>0.694016145987111</v>
      </c>
      <c r="F48" s="84" t="n">
        <f aca="false">1/(1+$B$211)^F47</f>
        <v>0.62523977115956</v>
      </c>
      <c r="G48" s="84" t="n">
        <f aca="false">1/(1+$B$211)^G47</f>
        <v>0.56327907311672</v>
      </c>
      <c r="H48" s="82" t="s">
        <v>321</v>
      </c>
      <c r="I48" s="49" t="s">
        <v>324</v>
      </c>
      <c r="J48" s="49"/>
      <c r="K48" s="49"/>
      <c r="L48" s="49"/>
      <c r="M48" s="49"/>
      <c r="N48" s="49"/>
    </row>
    <row r="49" customFormat="false" ht="16.5" hidden="false" customHeight="true" outlineLevel="0" collapsed="false">
      <c r="A49" s="35" t="s">
        <v>325</v>
      </c>
      <c r="B49" s="169" t="n">
        <f aca="false">B45*B48</f>
        <v>109829.216252451</v>
      </c>
      <c r="C49" s="169" t="n">
        <f aca="false">C45*C48</f>
        <v>67766.2504160535</v>
      </c>
      <c r="D49" s="169" t="n">
        <f aca="false">D45*D48</f>
        <v>63159.4719952134</v>
      </c>
      <c r="E49" s="169" t="n">
        <f aca="false">E45*E48</f>
        <v>66951.9346606579</v>
      </c>
      <c r="F49" s="169" t="n">
        <f aca="false">F45*F48</f>
        <v>65450.8674973529</v>
      </c>
      <c r="G49" s="169" t="n">
        <f aca="false">G45*G48</f>
        <v>62788.3549707903</v>
      </c>
      <c r="H49" s="80" t="s">
        <v>321</v>
      </c>
      <c r="I49" s="49" t="s">
        <v>326</v>
      </c>
      <c r="J49" s="49"/>
      <c r="K49" s="49"/>
      <c r="L49" s="49"/>
      <c r="M49" s="49"/>
      <c r="N49" s="49"/>
    </row>
    <row r="51" customFormat="false" ht="24" hidden="false" customHeight="true" outlineLevel="0" collapsed="false">
      <c r="A51" s="13" t="s">
        <v>327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customFormat="false" ht="27" hidden="false" customHeight="true" outlineLevel="0" collapsed="false">
      <c r="A52" s="4" t="s">
        <v>328</v>
      </c>
      <c r="B52" s="4" t="s">
        <v>329</v>
      </c>
      <c r="C52" s="4"/>
      <c r="D52" s="4" t="s">
        <v>330</v>
      </c>
      <c r="E52" s="4"/>
      <c r="F52" s="4"/>
      <c r="G52" s="4"/>
      <c r="H52" s="4"/>
      <c r="I52" s="4"/>
      <c r="J52" s="4"/>
      <c r="K52" s="4"/>
      <c r="L52" s="4"/>
      <c r="M52" s="4"/>
      <c r="N52" s="4"/>
    </row>
    <row r="53" customFormat="false" ht="19.5" hidden="false" customHeight="true" outlineLevel="0" collapsed="false">
      <c r="A53" s="5" t="s">
        <v>22</v>
      </c>
      <c r="B53" s="85" t="n">
        <f aca="false">'00-三表与联动'!$B$14</f>
        <v>0.042</v>
      </c>
      <c r="C53" s="85"/>
      <c r="D53" s="48" t="s">
        <v>331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</row>
    <row r="54" customFormat="false" ht="19.5" hidden="false" customHeight="true" outlineLevel="0" collapsed="false">
      <c r="A54" s="5" t="s">
        <v>24</v>
      </c>
      <c r="B54" s="85" t="n">
        <f aca="false">'00-三表与联动'!$B$15</f>
        <v>0.05</v>
      </c>
      <c r="C54" s="85"/>
      <c r="D54" s="49" t="s">
        <v>332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</row>
    <row r="55" customFormat="false" ht="28.5" hidden="false" customHeight="true" outlineLevel="0" collapsed="false">
      <c r="A55" s="5" t="s">
        <v>333</v>
      </c>
      <c r="B55" s="86" t="n">
        <f aca="false">(B56-B53)/B54</f>
        <v>1.36</v>
      </c>
      <c r="C55" s="86"/>
      <c r="D55" s="49" t="s">
        <v>334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</row>
    <row r="56" customFormat="false" ht="19.5" hidden="false" customHeight="true" outlineLevel="0" collapsed="false">
      <c r="A56" s="5" t="s">
        <v>335</v>
      </c>
      <c r="B56" s="85" t="n">
        <f aca="false">$B$211</f>
        <v>0.11</v>
      </c>
      <c r="C56" s="85"/>
      <c r="D56" s="49" t="s">
        <v>336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</row>
    <row r="57" customFormat="false" ht="28.5" hidden="false" customHeight="true" outlineLevel="0" collapsed="false">
      <c r="A57" s="5" t="s">
        <v>337</v>
      </c>
      <c r="B57" s="87" t="n">
        <v>0.0056</v>
      </c>
      <c r="C57" s="87"/>
      <c r="D57" s="49" t="s">
        <v>338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</row>
    <row r="58" customFormat="false" ht="19.5" hidden="false" customHeight="true" outlineLevel="0" collapsed="false">
      <c r="A58" s="5" t="s">
        <v>339</v>
      </c>
      <c r="B58" s="88" t="n">
        <v>24433</v>
      </c>
      <c r="C58" s="88"/>
      <c r="D58" s="49" t="s">
        <v>340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</row>
    <row r="60" customFormat="false" ht="24" hidden="false" customHeight="true" outlineLevel="0" collapsed="false">
      <c r="A60" s="13" t="s">
        <v>341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customFormat="false" ht="27" hidden="false" customHeight="true" outlineLevel="0" collapsed="false">
      <c r="A61" s="4" t="s">
        <v>342</v>
      </c>
      <c r="B61" s="4" t="s">
        <v>343</v>
      </c>
      <c r="C61" s="4"/>
      <c r="D61" s="4" t="s">
        <v>344</v>
      </c>
      <c r="E61" s="4"/>
      <c r="F61" s="4"/>
      <c r="G61" s="4"/>
      <c r="H61" s="4"/>
      <c r="I61" s="4"/>
      <c r="J61" s="4"/>
      <c r="K61" s="4"/>
      <c r="L61" s="4"/>
      <c r="M61" s="4"/>
      <c r="N61" s="4"/>
    </row>
    <row r="62" customFormat="false" ht="18.75" hidden="false" customHeight="true" outlineLevel="0" collapsed="false">
      <c r="A62" s="62" t="s">
        <v>345</v>
      </c>
      <c r="B62" s="89" t="n">
        <f aca="false">SUM(B49:G49)</f>
        <v>435946.095792519</v>
      </c>
      <c r="C62" s="89"/>
      <c r="D62" s="48" t="s">
        <v>346</v>
      </c>
      <c r="E62" s="48"/>
      <c r="F62" s="48"/>
      <c r="G62" s="48"/>
      <c r="H62" s="48"/>
      <c r="I62" s="48"/>
      <c r="J62" s="48"/>
      <c r="K62" s="48"/>
      <c r="L62" s="48"/>
      <c r="M62" s="48"/>
      <c r="N62" s="48"/>
    </row>
    <row r="63" customFormat="false" ht="18.75" hidden="false" customHeight="true" outlineLevel="0" collapsed="false">
      <c r="A63" s="62" t="s">
        <v>347</v>
      </c>
      <c r="B63" s="89" t="n">
        <f aca="false">H45/($B$211-$B$213)</f>
        <v>1465949.05347509</v>
      </c>
      <c r="C63" s="89"/>
      <c r="D63" s="49" t="s">
        <v>348</v>
      </c>
      <c r="E63" s="49"/>
      <c r="F63" s="49"/>
      <c r="G63" s="49"/>
      <c r="H63" s="49"/>
      <c r="I63" s="49"/>
      <c r="J63" s="49"/>
      <c r="K63" s="49"/>
      <c r="L63" s="49"/>
      <c r="M63" s="49"/>
      <c r="N63" s="49"/>
    </row>
    <row r="64" customFormat="false" ht="18.75" hidden="false" customHeight="true" outlineLevel="0" collapsed="false">
      <c r="A64" s="62" t="s">
        <v>349</v>
      </c>
      <c r="B64" s="89" t="n">
        <f aca="false">B63*G48/(1+$B$211)^0.5</f>
        <v>783756.227613492</v>
      </c>
      <c r="C64" s="89"/>
      <c r="D64" s="49" t="s">
        <v>350</v>
      </c>
      <c r="E64" s="49"/>
      <c r="F64" s="49"/>
      <c r="G64" s="49"/>
      <c r="H64" s="49"/>
      <c r="I64" s="49"/>
      <c r="J64" s="49"/>
      <c r="K64" s="49"/>
      <c r="L64" s="49"/>
      <c r="M64" s="49"/>
      <c r="N64" s="49"/>
    </row>
    <row r="65" customFormat="false" ht="18.75" hidden="false" customHeight="true" outlineLevel="0" collapsed="false">
      <c r="A65" s="62" t="s">
        <v>351</v>
      </c>
      <c r="B65" s="90" t="n">
        <f aca="false">B64/B66</f>
        <v>0.642579925095869</v>
      </c>
      <c r="C65" s="90"/>
      <c r="D65" s="49" t="s">
        <v>352</v>
      </c>
      <c r="E65" s="49"/>
      <c r="F65" s="49"/>
      <c r="G65" s="49"/>
      <c r="H65" s="49"/>
      <c r="I65" s="49"/>
      <c r="J65" s="49"/>
      <c r="K65" s="49"/>
      <c r="L65" s="49"/>
      <c r="M65" s="49"/>
      <c r="N65" s="49"/>
    </row>
    <row r="66" customFormat="false" ht="18.75" hidden="false" customHeight="true" outlineLevel="0" collapsed="false">
      <c r="A66" s="62" t="s">
        <v>353</v>
      </c>
      <c r="B66" s="89" t="n">
        <f aca="false">B62+B64</f>
        <v>1219702.32340601</v>
      </c>
      <c r="C66" s="89"/>
      <c r="D66" s="49" t="s">
        <v>354</v>
      </c>
      <c r="E66" s="49"/>
      <c r="F66" s="49"/>
      <c r="G66" s="49"/>
      <c r="H66" s="49"/>
      <c r="I66" s="49"/>
      <c r="J66" s="49"/>
      <c r="K66" s="49"/>
      <c r="L66" s="49"/>
      <c r="M66" s="49"/>
      <c r="N66" s="49"/>
    </row>
    <row r="67" customFormat="false" ht="18.75" hidden="false" customHeight="true" outlineLevel="0" collapsed="false">
      <c r="A67" s="62" t="s">
        <v>355</v>
      </c>
      <c r="B67" s="89" t="n">
        <f aca="false">'00-三表与联动'!$B$10</f>
        <v>30155</v>
      </c>
      <c r="C67" s="89"/>
      <c r="D67" s="48" t="s">
        <v>356</v>
      </c>
      <c r="E67" s="48"/>
      <c r="F67" s="48"/>
      <c r="G67" s="48"/>
      <c r="H67" s="48"/>
      <c r="I67" s="48"/>
      <c r="J67" s="48"/>
      <c r="K67" s="48"/>
      <c r="L67" s="48"/>
      <c r="M67" s="48"/>
      <c r="N67" s="48"/>
    </row>
    <row r="68" customFormat="false" ht="18.75" hidden="false" customHeight="true" outlineLevel="0" collapsed="false">
      <c r="A68" s="62" t="s">
        <v>357</v>
      </c>
      <c r="B68" s="89" t="n">
        <v>0</v>
      </c>
      <c r="C68" s="89"/>
      <c r="D68" s="48" t="s">
        <v>358</v>
      </c>
      <c r="E68" s="48"/>
      <c r="F68" s="48"/>
      <c r="G68" s="48"/>
      <c r="H68" s="48"/>
      <c r="I68" s="48"/>
      <c r="J68" s="48"/>
      <c r="K68" s="48"/>
      <c r="L68" s="48"/>
      <c r="M68" s="48"/>
      <c r="N68" s="48"/>
    </row>
    <row r="69" customFormat="false" ht="18.75" hidden="false" customHeight="true" outlineLevel="0" collapsed="false">
      <c r="A69" s="62" t="s">
        <v>359</v>
      </c>
      <c r="B69" s="89" t="n">
        <f aca="false">-'00-三表与联动'!$B$11</f>
        <v>-5722</v>
      </c>
      <c r="C69" s="89"/>
      <c r="D69" s="48" t="s">
        <v>360</v>
      </c>
      <c r="E69" s="48"/>
      <c r="F69" s="48"/>
      <c r="G69" s="48"/>
      <c r="H69" s="48"/>
      <c r="I69" s="48"/>
      <c r="J69" s="48"/>
      <c r="K69" s="48"/>
      <c r="L69" s="48"/>
      <c r="M69" s="48"/>
      <c r="N69" s="48"/>
    </row>
    <row r="70" customFormat="false" ht="18.75" hidden="false" customHeight="true" outlineLevel="0" collapsed="false">
      <c r="A70" s="62" t="s">
        <v>361</v>
      </c>
      <c r="B70" s="89" t="n">
        <f aca="false">B66+B67+B68+B69</f>
        <v>1244135.32340601</v>
      </c>
      <c r="C70" s="89"/>
      <c r="D70" s="49" t="s">
        <v>362</v>
      </c>
      <c r="E70" s="49"/>
      <c r="F70" s="49"/>
      <c r="G70" s="49"/>
      <c r="H70" s="49"/>
      <c r="I70" s="49"/>
      <c r="J70" s="49"/>
      <c r="K70" s="49"/>
      <c r="L70" s="49"/>
      <c r="M70" s="49"/>
      <c r="N70" s="49"/>
    </row>
    <row r="71" customFormat="false" ht="18.75" hidden="false" customHeight="true" outlineLevel="0" collapsed="false">
      <c r="A71" s="62" t="s">
        <v>363</v>
      </c>
      <c r="B71" s="91" t="n">
        <f aca="false">'00-三表与联动'!$B$9</f>
        <v>1150</v>
      </c>
      <c r="C71" s="91"/>
      <c r="D71" s="49" t="s">
        <v>364</v>
      </c>
      <c r="E71" s="49"/>
      <c r="F71" s="49"/>
      <c r="G71" s="49"/>
      <c r="H71" s="49"/>
      <c r="I71" s="49"/>
      <c r="J71" s="49"/>
      <c r="K71" s="49"/>
      <c r="L71" s="49"/>
      <c r="M71" s="49"/>
      <c r="N71" s="49"/>
    </row>
    <row r="72" customFormat="false" ht="24" hidden="false" customHeight="true" outlineLevel="0" collapsed="false">
      <c r="A72" s="171" t="s">
        <v>365</v>
      </c>
      <c r="B72" s="172" t="n">
        <f aca="false">B70/B71</f>
        <v>1081.85680296175</v>
      </c>
      <c r="C72" s="172"/>
      <c r="D72" s="49" t="s">
        <v>366</v>
      </c>
      <c r="E72" s="49"/>
      <c r="F72" s="49"/>
      <c r="G72" s="49"/>
      <c r="H72" s="49"/>
      <c r="I72" s="49"/>
      <c r="J72" s="49"/>
      <c r="K72" s="49"/>
      <c r="L72" s="49"/>
      <c r="M72" s="49"/>
      <c r="N72" s="49"/>
    </row>
    <row r="73" customFormat="false" ht="18.75" hidden="false" customHeight="true" outlineLevel="0" collapsed="false">
      <c r="A73" s="62" t="s">
        <v>367</v>
      </c>
      <c r="B73" s="94" t="n">
        <f aca="false">'00-三表与联动'!$B$6</f>
        <v>903.09</v>
      </c>
      <c r="C73" s="94"/>
      <c r="D73" s="48" t="s">
        <v>368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 customFormat="false" ht="24" hidden="false" customHeight="true" outlineLevel="0" collapsed="false">
      <c r="A74" s="171" t="s">
        <v>369</v>
      </c>
      <c r="B74" s="173" t="n">
        <f aca="false">B72/B73-1</f>
        <v>0.19795015221268</v>
      </c>
      <c r="C74" s="173"/>
      <c r="D74" s="49" t="s">
        <v>370</v>
      </c>
      <c r="E74" s="49"/>
      <c r="F74" s="49"/>
      <c r="G74" s="49"/>
      <c r="H74" s="49"/>
      <c r="I74" s="49"/>
      <c r="J74" s="49"/>
      <c r="K74" s="49"/>
      <c r="L74" s="49"/>
      <c r="M74" s="49"/>
      <c r="N74" s="49"/>
    </row>
    <row r="75" customFormat="false" ht="20.25" hidden="false" customHeight="true" outlineLevel="0" collapsed="false">
      <c r="A75" s="29" t="s">
        <v>371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</row>
    <row r="77" customFormat="false" ht="24" hidden="false" customHeight="true" outlineLevel="0" collapsed="false">
      <c r="A77" s="13" t="s">
        <v>372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</row>
    <row r="78" customFormat="false" ht="27" hidden="false" customHeight="true" outlineLevel="0" collapsed="false">
      <c r="A78" s="4" t="s">
        <v>373</v>
      </c>
      <c r="B78" s="4" t="s">
        <v>374</v>
      </c>
      <c r="C78" s="4"/>
      <c r="D78" s="4" t="s">
        <v>375</v>
      </c>
      <c r="E78" s="4"/>
      <c r="F78" s="4" t="s">
        <v>94</v>
      </c>
      <c r="G78" s="4"/>
      <c r="H78" s="4"/>
      <c r="I78" s="4"/>
      <c r="J78" s="4"/>
      <c r="K78" s="4"/>
      <c r="L78" s="4"/>
      <c r="M78" s="4"/>
      <c r="N78" s="4"/>
    </row>
    <row r="79" customFormat="false" ht="19.5" hidden="false" customHeight="true" outlineLevel="0" collapsed="false">
      <c r="A79" s="5" t="s">
        <v>376</v>
      </c>
      <c r="B79" s="34"/>
      <c r="C79" s="34"/>
      <c r="D79" s="174" t="n">
        <f aca="false">B63/(G37+G40)</f>
        <v>7.96987903225807</v>
      </c>
      <c r="E79" s="174"/>
      <c r="F79" s="49" t="s">
        <v>377</v>
      </c>
      <c r="G79" s="49"/>
      <c r="H79" s="49"/>
      <c r="I79" s="49"/>
      <c r="J79" s="49"/>
      <c r="K79" s="49"/>
      <c r="L79" s="49"/>
      <c r="M79" s="49"/>
      <c r="N79" s="49"/>
    </row>
    <row r="80" customFormat="false" ht="19.5" hidden="false" customHeight="true" outlineLevel="0" collapsed="false">
      <c r="A80" s="5" t="s">
        <v>378</v>
      </c>
      <c r="B80" s="34"/>
      <c r="C80" s="34"/>
      <c r="D80" s="174" t="n">
        <f aca="false">B63/G32</f>
        <v>5.68252375</v>
      </c>
      <c r="E80" s="174"/>
      <c r="F80" s="49" t="s">
        <v>379</v>
      </c>
      <c r="G80" s="49"/>
      <c r="H80" s="49"/>
      <c r="I80" s="49"/>
      <c r="J80" s="49"/>
      <c r="K80" s="49"/>
      <c r="L80" s="49"/>
      <c r="M80" s="49"/>
      <c r="N80" s="49"/>
    </row>
    <row r="81" customFormat="false" ht="19.5" hidden="false" customHeight="true" outlineLevel="0" collapsed="false">
      <c r="A81" s="5" t="s">
        <v>380</v>
      </c>
      <c r="B81" s="34"/>
      <c r="C81" s="34"/>
      <c r="D81" s="175" t="n">
        <f aca="false">B72/(F27/'00-三表与联动'!$B$9)</f>
        <v>10.4144647161784</v>
      </c>
      <c r="E81" s="175"/>
      <c r="F81" s="49" t="s">
        <v>381</v>
      </c>
      <c r="G81" s="49"/>
      <c r="H81" s="49"/>
      <c r="I81" s="49"/>
      <c r="J81" s="49"/>
      <c r="K81" s="49"/>
      <c r="L81" s="49"/>
      <c r="M81" s="49"/>
      <c r="N81" s="49"/>
    </row>
    <row r="82" customFormat="false" ht="19.5" hidden="false" customHeight="true" outlineLevel="0" collapsed="false">
      <c r="A82" s="5" t="s">
        <v>382</v>
      </c>
      <c r="B82" s="34"/>
      <c r="C82" s="34"/>
      <c r="D82" s="175" t="n">
        <f aca="false">'00-三表与联动'!$B$6/(F27/'00-三表与联动'!$B$9)</f>
        <v>8.69357101123303</v>
      </c>
      <c r="E82" s="175"/>
      <c r="F82" s="49" t="s">
        <v>383</v>
      </c>
      <c r="G82" s="49"/>
      <c r="H82" s="49"/>
      <c r="I82" s="49"/>
      <c r="J82" s="49"/>
      <c r="K82" s="49"/>
      <c r="L82" s="49"/>
      <c r="M82" s="49"/>
      <c r="N82" s="49"/>
    </row>
    <row r="83" customFormat="false" ht="19.5" hidden="false" customHeight="true" outlineLevel="0" collapsed="false">
      <c r="A83" s="5" t="s">
        <v>384</v>
      </c>
      <c r="B83" s="34"/>
      <c r="C83" s="34"/>
      <c r="D83" s="174" t="n">
        <f aca="false">'00-三表与联动'!$B$6*'00-三表与联动'!$B$9/B70</f>
        <v>0.834759274543223</v>
      </c>
      <c r="E83" s="174"/>
      <c r="F83" s="49" t="s">
        <v>385</v>
      </c>
      <c r="G83" s="49"/>
      <c r="H83" s="49"/>
      <c r="I83" s="49"/>
      <c r="J83" s="49"/>
      <c r="K83" s="49"/>
      <c r="L83" s="49"/>
      <c r="M83" s="49"/>
      <c r="N83" s="49"/>
    </row>
    <row r="85" customFormat="false" ht="24" hidden="false" customHeight="true" outlineLevel="0" collapsed="false">
      <c r="A85" s="13" t="s">
        <v>386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 customFormat="false" ht="33" hidden="false" customHeight="true" outlineLevel="0" collapsed="false">
      <c r="A86" s="74" t="s">
        <v>387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</row>
    <row r="87" customFormat="false" ht="33" hidden="false" customHeight="true" outlineLevel="0" collapsed="false">
      <c r="A87" s="29" t="s">
        <v>388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</row>
    <row r="88" customFormat="false" ht="33" hidden="false" customHeight="true" outlineLevel="0" collapsed="false">
      <c r="A88" s="29" t="s">
        <v>389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</row>
    <row r="89" customFormat="false" ht="27" hidden="false" customHeight="true" outlineLevel="0" collapsed="false">
      <c r="A89" s="4" t="s">
        <v>390</v>
      </c>
      <c r="B89" s="14" t="s">
        <v>297</v>
      </c>
      <c r="C89" s="14" t="s">
        <v>298</v>
      </c>
      <c r="D89" s="14" t="s">
        <v>299</v>
      </c>
      <c r="E89" s="14" t="s">
        <v>300</v>
      </c>
      <c r="F89" s="14" t="s">
        <v>301</v>
      </c>
      <c r="G89" s="14" t="s">
        <v>302</v>
      </c>
      <c r="H89" s="4" t="s">
        <v>5</v>
      </c>
      <c r="I89" s="4"/>
      <c r="J89" s="4"/>
      <c r="K89" s="4"/>
      <c r="L89" s="4"/>
      <c r="M89" s="4"/>
      <c r="N89" s="4"/>
    </row>
    <row r="90" customFormat="false" ht="16.5" hidden="false" customHeight="true" outlineLevel="0" collapsed="false">
      <c r="A90" s="30" t="s">
        <v>391</v>
      </c>
      <c r="B90" s="31" t="n">
        <f aca="false">B45</f>
        <v>115712.259438301</v>
      </c>
      <c r="C90" s="31" t="n">
        <f aca="false">C45</f>
        <v>79249.7543069044</v>
      </c>
      <c r="D90" s="31" t="n">
        <f aca="false">D45</f>
        <v>81987.1778919243</v>
      </c>
      <c r="E90" s="31" t="n">
        <f aca="false">E45</f>
        <v>96470.2839376035</v>
      </c>
      <c r="F90" s="31" t="n">
        <f aca="false">F45</f>
        <v>104681.228732409</v>
      </c>
      <c r="G90" s="31" t="n">
        <f aca="false">G45</f>
        <v>111469.355009714</v>
      </c>
      <c r="H90" s="49" t="s">
        <v>392</v>
      </c>
      <c r="I90" s="49"/>
      <c r="J90" s="49"/>
      <c r="K90" s="49"/>
      <c r="L90" s="49"/>
      <c r="M90" s="49"/>
      <c r="N90" s="49"/>
    </row>
    <row r="91" customFormat="false" ht="16.5" hidden="false" customHeight="true" outlineLevel="0" collapsed="false">
      <c r="A91" s="98" t="s">
        <v>393</v>
      </c>
      <c r="B91" s="46" t="n">
        <f aca="false">$B$133</f>
        <v>1</v>
      </c>
      <c r="C91" s="46" t="n">
        <f aca="false">$B$133</f>
        <v>1</v>
      </c>
      <c r="D91" s="46" t="n">
        <f aca="false">$B$133</f>
        <v>1</v>
      </c>
      <c r="E91" s="46" t="n">
        <f aca="false">$B$133</f>
        <v>1</v>
      </c>
      <c r="F91" s="46" t="n">
        <f aca="false">$B$133</f>
        <v>1</v>
      </c>
      <c r="G91" s="46" t="n">
        <f aca="false">$B$133</f>
        <v>1</v>
      </c>
      <c r="H91" s="49" t="s">
        <v>394</v>
      </c>
      <c r="I91" s="49"/>
      <c r="J91" s="49"/>
      <c r="K91" s="49"/>
      <c r="L91" s="49"/>
      <c r="M91" s="49"/>
      <c r="N91" s="49"/>
    </row>
    <row r="92" customFormat="false" ht="16.5" hidden="false" customHeight="true" outlineLevel="0" collapsed="false">
      <c r="A92" s="30" t="s">
        <v>395</v>
      </c>
      <c r="B92" s="31" t="n">
        <f aca="false">MAX(0,B90*B91)</f>
        <v>115712.259438301</v>
      </c>
      <c r="C92" s="31" t="n">
        <f aca="false">MAX(0,C90*C91)</f>
        <v>79249.7543069044</v>
      </c>
      <c r="D92" s="31" t="n">
        <f aca="false">MAX(0,D90*D91)</f>
        <v>81987.1778919243</v>
      </c>
      <c r="E92" s="31" t="n">
        <f aca="false">MAX(0,E90*E91)</f>
        <v>96470.2839376035</v>
      </c>
      <c r="F92" s="31" t="n">
        <f aca="false">MAX(0,F90*F91)</f>
        <v>104681.228732409</v>
      </c>
      <c r="G92" s="31" t="n">
        <f aca="false">MAX(0,G90*G91)</f>
        <v>111469.355009714</v>
      </c>
      <c r="H92" s="49" t="s">
        <v>396</v>
      </c>
      <c r="I92" s="49"/>
      <c r="J92" s="49"/>
      <c r="K92" s="49"/>
      <c r="L92" s="49"/>
      <c r="M92" s="49"/>
      <c r="N92" s="49"/>
    </row>
    <row r="93" customFormat="false" ht="16.5" hidden="false" customHeight="true" outlineLevel="0" collapsed="false">
      <c r="A93" s="30" t="s">
        <v>397</v>
      </c>
      <c r="B93" s="99" t="n">
        <f aca="false">'00-三表与联动'!$B$6*$B$135*(1+$B$211)^0.5</f>
        <v>951.464354766378</v>
      </c>
      <c r="C93" s="99" t="n">
        <f aca="false">'00-三表与联动'!$B$6*$B$135*(1+$B$211)^1.5</f>
        <v>1056.12543379068</v>
      </c>
      <c r="D93" s="99" t="n">
        <f aca="false">'00-三表与联动'!$B$6*$B$135*(1+$B$211)^2.5</f>
        <v>1172.29923150765</v>
      </c>
      <c r="E93" s="99" t="n">
        <f aca="false">'00-三表与联动'!$B$6*$B$135*(1+$B$211)^3.5</f>
        <v>1301.2521469735</v>
      </c>
      <c r="F93" s="99" t="n">
        <f aca="false">'00-三表与联动'!$B$6*$B$135*(1+$B$211)^4.5</f>
        <v>1444.38988314058</v>
      </c>
      <c r="G93" s="99" t="n">
        <f aca="false">'00-三表与联动'!$B$6*$B$135*(1+$B$211)^5.5</f>
        <v>1603.27277028605</v>
      </c>
      <c r="H93" s="49" t="s">
        <v>398</v>
      </c>
      <c r="I93" s="49"/>
      <c r="J93" s="49"/>
      <c r="K93" s="49"/>
      <c r="L93" s="49"/>
      <c r="M93" s="49"/>
      <c r="N93" s="49"/>
    </row>
    <row r="94" customFormat="false" ht="16.5" hidden="false" customHeight="true" outlineLevel="0" collapsed="false">
      <c r="A94" s="30" t="s">
        <v>399</v>
      </c>
      <c r="B94" s="100" t="n">
        <f aca="false">B92/B93</f>
        <v>121.614917951091</v>
      </c>
      <c r="C94" s="100" t="n">
        <f aca="false">C92/C93</f>
        <v>75.0382026332408</v>
      </c>
      <c r="D94" s="100" t="n">
        <f aca="false">D92/D93</f>
        <v>69.937073819014</v>
      </c>
      <c r="E94" s="100" t="n">
        <f aca="false">E92/E93</f>
        <v>74.1365031842428</v>
      </c>
      <c r="F94" s="100" t="n">
        <f aca="false">F92/F93</f>
        <v>72.474357480819</v>
      </c>
      <c r="G94" s="100" t="n">
        <f aca="false">G92/G93</f>
        <v>69.5261324682925</v>
      </c>
      <c r="H94" s="49" t="s">
        <v>400</v>
      </c>
      <c r="I94" s="49"/>
      <c r="J94" s="49"/>
      <c r="K94" s="49"/>
      <c r="L94" s="49"/>
      <c r="M94" s="49"/>
      <c r="N94" s="49"/>
    </row>
    <row r="95" customFormat="false" ht="16.5" hidden="false" customHeight="true" outlineLevel="0" collapsed="false">
      <c r="A95" s="30" t="s">
        <v>401</v>
      </c>
      <c r="B95" s="100" t="n">
        <f aca="false">B32*0.0115/B93</f>
        <v>2.47776073664021</v>
      </c>
      <c r="C95" s="100" t="n">
        <f aca="false">C32*0.0115/C93</f>
        <v>1.78577350388484</v>
      </c>
      <c r="D95" s="100" t="n">
        <f aca="false">D32*0.0115/D93</f>
        <v>1.80186155346939</v>
      </c>
      <c r="E95" s="100" t="n">
        <f aca="false">E32*0.0115/E93</f>
        <v>1.85056051437396</v>
      </c>
      <c r="F95" s="100" t="n">
        <f aca="false">F32*0.0115/F93</f>
        <v>1.86723223071967</v>
      </c>
      <c r="G95" s="100" t="n">
        <f aca="false">G32*0.0115/G93</f>
        <v>1.85041031873121</v>
      </c>
      <c r="H95" s="49" t="s">
        <v>402</v>
      </c>
      <c r="I95" s="49"/>
      <c r="J95" s="49"/>
      <c r="K95" s="49"/>
      <c r="L95" s="49"/>
      <c r="M95" s="49"/>
      <c r="N95" s="49"/>
    </row>
    <row r="96" customFormat="false" ht="16.5" hidden="false" customHeight="true" outlineLevel="0" collapsed="false">
      <c r="A96" s="30" t="s">
        <v>403</v>
      </c>
      <c r="B96" s="100" t="n">
        <f aca="false">'00-三表与联动'!$B$9</f>
        <v>1150</v>
      </c>
      <c r="C96" s="100" t="n">
        <f aca="false">B97</f>
        <v>1030.86284278555</v>
      </c>
      <c r="D96" s="100" t="n">
        <f aca="false">C97</f>
        <v>957.610413656193</v>
      </c>
      <c r="E96" s="100" t="n">
        <f aca="false">D97</f>
        <v>889.475201390648</v>
      </c>
      <c r="F96" s="100" t="n">
        <f aca="false">E97</f>
        <v>817.189258720779</v>
      </c>
      <c r="G96" s="100" t="n">
        <f aca="false">F97</f>
        <v>746.58213347068</v>
      </c>
      <c r="H96" s="48" t="s">
        <v>404</v>
      </c>
      <c r="I96" s="48"/>
      <c r="J96" s="48"/>
      <c r="K96" s="48"/>
      <c r="L96" s="48"/>
      <c r="M96" s="48"/>
      <c r="N96" s="48"/>
    </row>
    <row r="97" customFormat="false" ht="16.5" hidden="false" customHeight="true" outlineLevel="0" collapsed="false">
      <c r="A97" s="35" t="s">
        <v>405</v>
      </c>
      <c r="B97" s="101" t="n">
        <f aca="false">MAX(20,B96-B94+B95)</f>
        <v>1030.86284278555</v>
      </c>
      <c r="C97" s="101" t="n">
        <f aca="false">MAX(20,C96-C94+C95)</f>
        <v>957.610413656193</v>
      </c>
      <c r="D97" s="101" t="n">
        <f aca="false">MAX(20,D96-D94+D95)</f>
        <v>889.475201390648</v>
      </c>
      <c r="E97" s="101" t="n">
        <f aca="false">MAX(20,E96-E94+E95)</f>
        <v>817.189258720779</v>
      </c>
      <c r="F97" s="101" t="n">
        <f aca="false">MAX(20,F96-F94+F95)</f>
        <v>746.58213347068</v>
      </c>
      <c r="G97" s="101" t="n">
        <f aca="false">MAX(20,G96-G94+G95)</f>
        <v>678.906411321119</v>
      </c>
      <c r="H97" s="49" t="s">
        <v>406</v>
      </c>
      <c r="I97" s="49"/>
      <c r="J97" s="49"/>
      <c r="K97" s="49"/>
      <c r="L97" s="49"/>
      <c r="M97" s="49"/>
      <c r="N97" s="49"/>
    </row>
    <row r="98" customFormat="false" ht="16.5" hidden="false" customHeight="true" outlineLevel="0" collapsed="false">
      <c r="A98" s="30" t="s">
        <v>407</v>
      </c>
      <c r="B98" s="31" t="n">
        <f aca="false">('00-三表与联动'!$B$10-'00-三表与联动'!$B$11)+B90-B92</f>
        <v>24433</v>
      </c>
      <c r="C98" s="31" t="n">
        <f aca="false">B98+C90-C92</f>
        <v>24433</v>
      </c>
      <c r="D98" s="31" t="n">
        <f aca="false">C98+D90-D92</f>
        <v>24433</v>
      </c>
      <c r="E98" s="31" t="n">
        <f aca="false">D98+E90-E92</f>
        <v>24433</v>
      </c>
      <c r="F98" s="31" t="n">
        <f aca="false">E98+F90-F92</f>
        <v>24433</v>
      </c>
      <c r="G98" s="31" t="n">
        <f aca="false">F98+G90-G92</f>
        <v>24433</v>
      </c>
      <c r="H98" s="49" t="s">
        <v>408</v>
      </c>
      <c r="I98" s="49"/>
      <c r="J98" s="49"/>
      <c r="K98" s="49"/>
      <c r="L98" s="49"/>
      <c r="M98" s="49"/>
      <c r="N98" s="49"/>
    </row>
    <row r="99" customFormat="false" ht="16.5" hidden="false" customHeight="true" outlineLevel="0" collapsed="false">
      <c r="A99" s="30" t="s">
        <v>310</v>
      </c>
      <c r="B99" s="31" t="n">
        <f aca="false">B39</f>
        <v>134297.280470564</v>
      </c>
      <c r="C99" s="31" t="n">
        <f aca="false">C39</f>
        <v>87367.757821156</v>
      </c>
      <c r="D99" s="31" t="n">
        <f aca="false">D39</f>
        <v>100919.346087585</v>
      </c>
      <c r="E99" s="31" t="n">
        <f aca="false">E39</f>
        <v>118544.955893641</v>
      </c>
      <c r="F99" s="31" t="n">
        <f aca="false">F39</f>
        <v>128853.821084628</v>
      </c>
      <c r="G99" s="31" t="n">
        <f aca="false">G39</f>
        <v>137431.020725216</v>
      </c>
      <c r="H99" s="49" t="s">
        <v>409</v>
      </c>
      <c r="I99" s="49"/>
      <c r="J99" s="49"/>
      <c r="K99" s="49"/>
      <c r="L99" s="49"/>
      <c r="M99" s="49"/>
      <c r="N99" s="49"/>
    </row>
    <row r="100" customFormat="false" ht="16.5" hidden="false" customHeight="true" outlineLevel="0" collapsed="false">
      <c r="A100" s="35" t="s">
        <v>410</v>
      </c>
      <c r="B100" s="102" t="n">
        <f aca="false">B99/B97</f>
        <v>130.27657501717</v>
      </c>
      <c r="C100" s="102" t="n">
        <f aca="false">C99/C97</f>
        <v>91.2351793330887</v>
      </c>
      <c r="D100" s="102" t="n">
        <f aca="false">D99/D97</f>
        <v>113.459426333418</v>
      </c>
      <c r="E100" s="102" t="n">
        <f aca="false">E99/E97</f>
        <v>145.064260975739</v>
      </c>
      <c r="F100" s="102" t="n">
        <f aca="false">F99/F97</f>
        <v>172.591621615184</v>
      </c>
      <c r="G100" s="102" t="n">
        <f aca="false">G99/G97</f>
        <v>202.4299939336</v>
      </c>
      <c r="H100" s="49" t="s">
        <v>411</v>
      </c>
      <c r="I100" s="49"/>
      <c r="J100" s="49"/>
      <c r="K100" s="49"/>
      <c r="L100" s="49"/>
      <c r="M100" s="49"/>
      <c r="N100" s="49"/>
    </row>
    <row r="101" customFormat="false" ht="16.5" hidden="false" customHeight="true" outlineLevel="0" collapsed="false">
      <c r="A101" s="30" t="s">
        <v>412</v>
      </c>
      <c r="B101" s="103" t="n">
        <f aca="false">B98/B97</f>
        <v>23.7015042020317</v>
      </c>
      <c r="C101" s="103" t="n">
        <f aca="false">C98/C97</f>
        <v>25.5145512742639</v>
      </c>
      <c r="D101" s="103" t="n">
        <f aca="false">D98/D97</f>
        <v>27.4690064004036</v>
      </c>
      <c r="E101" s="103" t="n">
        <f aca="false">E98/E97</f>
        <v>29.898826666233</v>
      </c>
      <c r="F101" s="103" t="n">
        <f aca="false">F98/F97</f>
        <v>32.7264729553826</v>
      </c>
      <c r="G101" s="103" t="n">
        <f aca="false">G98/G97</f>
        <v>35.9887601480366</v>
      </c>
      <c r="H101" s="49" t="s">
        <v>413</v>
      </c>
      <c r="I101" s="49"/>
      <c r="J101" s="49"/>
      <c r="K101" s="49"/>
      <c r="L101" s="49"/>
      <c r="M101" s="49"/>
      <c r="N101" s="49"/>
    </row>
    <row r="102" customFormat="false" ht="16.5" hidden="false" customHeight="true" outlineLevel="0" collapsed="false">
      <c r="A102" s="35" t="s">
        <v>414</v>
      </c>
      <c r="B102" s="132" t="n">
        <f aca="false">$B$137</f>
        <v>6</v>
      </c>
      <c r="C102" s="132" t="n">
        <f aca="false">$B$139</f>
        <v>9</v>
      </c>
      <c r="D102" s="132" t="n">
        <f aca="false">$B$139+($B$141-$B$139)*1/4</f>
        <v>9.5</v>
      </c>
      <c r="E102" s="132" t="n">
        <f aca="false">$B$139+($B$141-$B$139)*2/4</f>
        <v>10</v>
      </c>
      <c r="F102" s="132" t="n">
        <f aca="false">$B$139+($B$141-$B$139)*3/4</f>
        <v>10.5</v>
      </c>
      <c r="G102" s="132" t="n">
        <f aca="false">$B$141</f>
        <v>11</v>
      </c>
      <c r="H102" s="48" t="s">
        <v>415</v>
      </c>
      <c r="I102" s="48"/>
      <c r="J102" s="48"/>
      <c r="K102" s="48"/>
      <c r="L102" s="48"/>
      <c r="M102" s="48"/>
      <c r="N102" s="48"/>
    </row>
    <row r="103" customFormat="false" ht="16.5" hidden="false" customHeight="true" outlineLevel="0" collapsed="false">
      <c r="A103" s="35" t="s">
        <v>416</v>
      </c>
      <c r="B103" s="176" t="n">
        <f aca="false">B100*B102+B101</f>
        <v>805.360954305049</v>
      </c>
      <c r="C103" s="176" t="n">
        <f aca="false">C100*C102+C101</f>
        <v>846.631165272062</v>
      </c>
      <c r="D103" s="176" t="n">
        <f aca="false">D100*D102+D101</f>
        <v>1105.33355656788</v>
      </c>
      <c r="E103" s="176" t="n">
        <f aca="false">E100*E102+E101</f>
        <v>1480.54143642362</v>
      </c>
      <c r="F103" s="176" t="n">
        <f aca="false">F100*F102+F101</f>
        <v>1844.93849991481</v>
      </c>
      <c r="G103" s="176" t="n">
        <f aca="false">G100*G102+G101</f>
        <v>2262.71869341763</v>
      </c>
      <c r="H103" s="49" t="s">
        <v>417</v>
      </c>
      <c r="I103" s="49"/>
      <c r="J103" s="49"/>
      <c r="K103" s="49"/>
      <c r="L103" s="49"/>
      <c r="M103" s="49"/>
      <c r="N103" s="49"/>
    </row>
    <row r="104" customFormat="false" ht="16.5" hidden="false" customHeight="true" outlineLevel="0" collapsed="false">
      <c r="A104" s="30" t="s">
        <v>418</v>
      </c>
      <c r="B104" s="106" t="n">
        <f aca="false">1/(1+$B$211)^1</f>
        <v>0.900900900900901</v>
      </c>
      <c r="C104" s="106" t="n">
        <f aca="false">1/(1+$B$211)^2</f>
        <v>0.811622433244055</v>
      </c>
      <c r="D104" s="106" t="n">
        <f aca="false">1/(1+$B$211)^3</f>
        <v>0.73119138130095</v>
      </c>
      <c r="E104" s="106" t="n">
        <f aca="false">1/(1+$B$211)^4</f>
        <v>0.658730974145</v>
      </c>
      <c r="F104" s="106" t="n">
        <f aca="false">1/(1+$B$211)^5</f>
        <v>0.593451328058559</v>
      </c>
      <c r="G104" s="106" t="n">
        <f aca="false">1/(1+$B$211)^6</f>
        <v>0.534640836088791</v>
      </c>
      <c r="H104" s="49" t="s">
        <v>419</v>
      </c>
      <c r="I104" s="49"/>
      <c r="J104" s="49"/>
      <c r="K104" s="49"/>
      <c r="L104" s="49"/>
      <c r="M104" s="49"/>
      <c r="N104" s="49"/>
    </row>
    <row r="105" customFormat="false" ht="16.5" hidden="false" customHeight="true" outlineLevel="0" collapsed="false">
      <c r="A105" s="35" t="s">
        <v>420</v>
      </c>
      <c r="B105" s="176" t="n">
        <f aca="false">B103*B104</f>
        <v>725.550409283828</v>
      </c>
      <c r="C105" s="176" t="n">
        <f aca="false">C103*C104</f>
        <v>687.14484641836</v>
      </c>
      <c r="D105" s="176" t="n">
        <f aca="false">D103*D104</f>
        <v>808.21037002516</v>
      </c>
      <c r="E105" s="176" t="n">
        <f aca="false">E103*E104</f>
        <v>975.278502677368</v>
      </c>
      <c r="F105" s="176" t="n">
        <f aca="false">F103*F104</f>
        <v>1094.88120296081</v>
      </c>
      <c r="G105" s="176" t="n">
        <f aca="false">G103*G104</f>
        <v>1209.74181408254</v>
      </c>
      <c r="H105" s="49" t="s">
        <v>421</v>
      </c>
      <c r="I105" s="49"/>
      <c r="J105" s="49"/>
      <c r="K105" s="49"/>
      <c r="L105" s="49"/>
      <c r="M105" s="49"/>
      <c r="N105" s="49"/>
    </row>
    <row r="107" customFormat="false" ht="19.5" hidden="false" customHeight="true" outlineLevel="0" collapsed="false">
      <c r="A107" s="107" t="s">
        <v>422</v>
      </c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</row>
    <row r="108" customFormat="false" ht="27" hidden="false" customHeight="true" outlineLevel="0" collapsed="false">
      <c r="A108" s="4" t="s">
        <v>423</v>
      </c>
      <c r="B108" s="4" t="s">
        <v>424</v>
      </c>
      <c r="C108" s="4" t="s">
        <v>412</v>
      </c>
      <c r="D108" s="4" t="s">
        <v>425</v>
      </c>
      <c r="E108" s="4" t="s">
        <v>426</v>
      </c>
      <c r="F108" s="4" t="s">
        <v>427</v>
      </c>
      <c r="G108" s="4" t="s">
        <v>420</v>
      </c>
      <c r="H108" s="4" t="s">
        <v>428</v>
      </c>
      <c r="I108" s="4" t="s">
        <v>429</v>
      </c>
      <c r="J108" s="4"/>
      <c r="K108" s="4"/>
      <c r="L108" s="4"/>
      <c r="M108" s="4"/>
      <c r="N108" s="4"/>
    </row>
    <row r="109" customFormat="false" ht="30" hidden="false" customHeight="true" outlineLevel="0" collapsed="false">
      <c r="A109" s="177" t="s">
        <v>430</v>
      </c>
      <c r="B109" s="109" t="n">
        <f aca="false">B100</f>
        <v>130.27657501717</v>
      </c>
      <c r="C109" s="109" t="n">
        <f aca="false">B101</f>
        <v>23.7015042020317</v>
      </c>
      <c r="D109" s="110" t="n">
        <f aca="false">B102</f>
        <v>6</v>
      </c>
      <c r="E109" s="22" t="n">
        <f aca="false">B103</f>
        <v>805.360954305049</v>
      </c>
      <c r="F109" s="111" t="n">
        <v>1</v>
      </c>
      <c r="G109" s="22" t="n">
        <f aca="false">B103/(1+$B$211)^1</f>
        <v>725.550409283828</v>
      </c>
      <c r="H109" s="23" t="n">
        <f aca="false">B103/(1+$B$211)^1/'00-三表与联动'!$B$6-1</f>
        <v>-0.19659124861993</v>
      </c>
      <c r="I109" s="49" t="s">
        <v>431</v>
      </c>
      <c r="J109" s="49"/>
      <c r="K109" s="49"/>
      <c r="L109" s="49"/>
      <c r="M109" s="49"/>
      <c r="N109" s="49"/>
    </row>
    <row r="110" customFormat="false" ht="25.5" hidden="false" customHeight="true" outlineLevel="0" collapsed="false">
      <c r="A110" s="177" t="s">
        <v>432</v>
      </c>
      <c r="B110" s="109" t="n">
        <f aca="false">C100</f>
        <v>91.2351793330887</v>
      </c>
      <c r="C110" s="109" t="n">
        <f aca="false">C101</f>
        <v>25.5145512742639</v>
      </c>
      <c r="D110" s="110" t="n">
        <f aca="false">C102</f>
        <v>9</v>
      </c>
      <c r="E110" s="22" t="n">
        <f aca="false">C103</f>
        <v>846.631165272062</v>
      </c>
      <c r="F110" s="111" t="n">
        <v>2</v>
      </c>
      <c r="G110" s="22" t="n">
        <f aca="false">C103/(1+$B$211)^2</f>
        <v>687.14484641836</v>
      </c>
      <c r="H110" s="23" t="n">
        <f aca="false">C103/(1+$B$211)^2/'00-三表与联动'!$B$6-1</f>
        <v>-0.239118087434962</v>
      </c>
      <c r="I110" s="49" t="s">
        <v>433</v>
      </c>
      <c r="J110" s="49"/>
      <c r="K110" s="49"/>
      <c r="L110" s="49"/>
      <c r="M110" s="49"/>
      <c r="N110" s="49"/>
    </row>
    <row r="111" customFormat="false" ht="25.5" hidden="false" customHeight="true" outlineLevel="0" collapsed="false">
      <c r="A111" s="177" t="s">
        <v>434</v>
      </c>
      <c r="B111" s="109" t="n">
        <f aca="false">G100</f>
        <v>202.4299939336</v>
      </c>
      <c r="C111" s="109" t="n">
        <f aca="false">G101</f>
        <v>35.9887601480366</v>
      </c>
      <c r="D111" s="110" t="n">
        <f aca="false">G102</f>
        <v>11</v>
      </c>
      <c r="E111" s="22" t="n">
        <f aca="false">G103</f>
        <v>2262.71869341763</v>
      </c>
      <c r="F111" s="111" t="n">
        <v>6</v>
      </c>
      <c r="G111" s="22" t="n">
        <f aca="false">G103/(1+$B$211)^6</f>
        <v>1209.74181408254</v>
      </c>
      <c r="H111" s="23" t="n">
        <f aca="false">G103/(1+$B$211)^6/'00-三表与联动'!$B$6-1</f>
        <v>0.339558420625344</v>
      </c>
      <c r="I111" s="49" t="s">
        <v>435</v>
      </c>
      <c r="J111" s="49"/>
      <c r="K111" s="49"/>
      <c r="L111" s="49"/>
      <c r="M111" s="49"/>
      <c r="N111" s="49"/>
    </row>
    <row r="112" customFormat="false" ht="20.25" hidden="false" customHeight="true" outlineLevel="0" collapsed="false">
      <c r="A112" s="42" t="s">
        <v>436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</row>
    <row r="114" customFormat="false" ht="19.5" hidden="false" customHeight="true" outlineLevel="0" collapsed="false">
      <c r="A114" s="107" t="s">
        <v>437</v>
      </c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</row>
    <row r="115" customFormat="false" ht="27" hidden="false" customHeight="true" outlineLevel="0" collapsed="false">
      <c r="A115" s="4" t="s">
        <v>438</v>
      </c>
      <c r="B115" s="4" t="s">
        <v>4</v>
      </c>
      <c r="C115" s="4"/>
      <c r="D115" s="4" t="s">
        <v>232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customFormat="false" ht="18.75" hidden="false" customHeight="true" outlineLevel="0" collapsed="false">
      <c r="A116" s="112" t="s">
        <v>439</v>
      </c>
      <c r="B116" s="113" t="n">
        <f aca="false">B103</f>
        <v>805.360954305049</v>
      </c>
      <c r="C116" s="113"/>
      <c r="D116" s="49" t="s">
        <v>440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49"/>
    </row>
    <row r="117" customFormat="false" ht="25.5" hidden="false" customHeight="true" outlineLevel="0" collapsed="false">
      <c r="A117" s="178" t="s">
        <v>441</v>
      </c>
      <c r="B117" s="179" t="n">
        <f aca="false">G105</f>
        <v>1209.74181408254</v>
      </c>
      <c r="C117" s="179"/>
      <c r="D117" s="48" t="s">
        <v>442</v>
      </c>
      <c r="E117" s="48"/>
      <c r="F117" s="48"/>
      <c r="G117" s="48"/>
      <c r="H117" s="48"/>
      <c r="I117" s="48"/>
      <c r="J117" s="48"/>
      <c r="K117" s="48"/>
      <c r="L117" s="48"/>
      <c r="M117" s="48"/>
      <c r="N117" s="48"/>
    </row>
    <row r="118" customFormat="false" ht="18.75" hidden="false" customHeight="true" outlineLevel="0" collapsed="false">
      <c r="A118" s="112" t="s">
        <v>443</v>
      </c>
      <c r="B118" s="113" t="n">
        <f aca="false">B72</f>
        <v>1081.85680296175</v>
      </c>
      <c r="C118" s="113"/>
      <c r="D118" s="49" t="s">
        <v>444</v>
      </c>
      <c r="E118" s="49"/>
      <c r="F118" s="49"/>
      <c r="G118" s="49"/>
      <c r="H118" s="49"/>
      <c r="I118" s="49"/>
      <c r="J118" s="49"/>
      <c r="K118" s="49"/>
      <c r="L118" s="49"/>
      <c r="M118" s="49"/>
      <c r="N118" s="49"/>
    </row>
    <row r="119" customFormat="false" ht="18.75" hidden="false" customHeight="true" outlineLevel="0" collapsed="false">
      <c r="A119" s="62" t="s">
        <v>445</v>
      </c>
      <c r="B119" s="116" t="n">
        <f aca="false">B117/B118-1</f>
        <v>0.118208815409477</v>
      </c>
      <c r="C119" s="116"/>
      <c r="D119" s="49" t="s">
        <v>446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/>
    </row>
    <row r="120" customFormat="false" ht="25.5" hidden="false" customHeight="true" outlineLevel="0" collapsed="false">
      <c r="A120" s="171" t="s">
        <v>447</v>
      </c>
      <c r="B120" s="180" t="n">
        <f aca="false">B63/G39</f>
        <v>10.6667988474462</v>
      </c>
      <c r="C120" s="180"/>
      <c r="D120" s="49" t="s">
        <v>448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49"/>
    </row>
    <row r="121" customFormat="false" ht="18.75" hidden="false" customHeight="true" outlineLevel="0" collapsed="false">
      <c r="A121" s="62" t="s">
        <v>449</v>
      </c>
      <c r="B121" s="89" t="n">
        <f aca="false">SUM(B92:G92)</f>
        <v>589570.059316856</v>
      </c>
      <c r="C121" s="89"/>
      <c r="D121" s="49" t="s">
        <v>450</v>
      </c>
      <c r="E121" s="49"/>
      <c r="F121" s="49"/>
      <c r="G121" s="49"/>
      <c r="H121" s="49"/>
      <c r="I121" s="49"/>
      <c r="J121" s="49"/>
      <c r="K121" s="49"/>
      <c r="L121" s="49"/>
      <c r="M121" s="49"/>
      <c r="N121" s="49"/>
    </row>
    <row r="122" customFormat="false" ht="18.75" hidden="false" customHeight="true" outlineLevel="0" collapsed="false">
      <c r="A122" s="62" t="s">
        <v>451</v>
      </c>
      <c r="B122" s="91" t="n">
        <f aca="false">SUM(B94:G94)</f>
        <v>482.727187536701</v>
      </c>
      <c r="C122" s="91"/>
      <c r="D122" s="49" t="s">
        <v>452</v>
      </c>
      <c r="E122" s="49"/>
      <c r="F122" s="49"/>
      <c r="G122" s="49"/>
      <c r="H122" s="49"/>
      <c r="I122" s="49"/>
      <c r="J122" s="49"/>
      <c r="K122" s="49"/>
      <c r="L122" s="49"/>
      <c r="M122" s="49"/>
      <c r="N122" s="49"/>
    </row>
    <row r="123" customFormat="false" ht="18.75" hidden="false" customHeight="true" outlineLevel="0" collapsed="false">
      <c r="A123" s="112" t="s">
        <v>453</v>
      </c>
      <c r="B123" s="90" t="n">
        <f aca="false">G97/'00-三表与联动'!$B$9</f>
        <v>0.590353401148799</v>
      </c>
      <c r="C123" s="90"/>
      <c r="D123" s="49" t="s">
        <v>454</v>
      </c>
      <c r="E123" s="49"/>
      <c r="F123" s="49"/>
      <c r="G123" s="49"/>
      <c r="H123" s="49"/>
      <c r="I123" s="49"/>
      <c r="J123" s="49"/>
      <c r="K123" s="49"/>
      <c r="L123" s="49"/>
      <c r="M123" s="49"/>
      <c r="N123" s="49"/>
    </row>
    <row r="124" customFormat="false" ht="18.75" hidden="false" customHeight="true" outlineLevel="0" collapsed="false">
      <c r="A124" s="62" t="s">
        <v>455</v>
      </c>
      <c r="B124" s="113" t="n">
        <f aca="false">((G39/('00-三表与联动'!$B$9+SUM(B95:G95)))*$B$141+(('00-三表与联动'!$B$10-'00-三表与联动'!$B$11)+SUM(B90:G90))/('00-三表与联动'!$B$9+SUM(B95:G95)))/(1+$B$211)^6</f>
        <v>978.37192741966</v>
      </c>
      <c r="C124" s="113"/>
      <c r="D124" s="49" t="s">
        <v>456</v>
      </c>
      <c r="E124" s="49"/>
      <c r="F124" s="49"/>
      <c r="G124" s="49"/>
      <c r="H124" s="49"/>
      <c r="I124" s="49"/>
      <c r="J124" s="49"/>
      <c r="K124" s="49"/>
      <c r="L124" s="49"/>
      <c r="M124" s="49"/>
      <c r="N124" s="49"/>
    </row>
    <row r="125" customFormat="false" ht="25.5" hidden="false" customHeight="true" outlineLevel="0" collapsed="false">
      <c r="A125" s="171" t="s">
        <v>457</v>
      </c>
      <c r="B125" s="181" t="n">
        <f aca="false">B117-B124</f>
        <v>231.369886662882</v>
      </c>
      <c r="C125" s="181"/>
      <c r="D125" s="49" t="s">
        <v>458</v>
      </c>
      <c r="E125" s="49"/>
      <c r="F125" s="49"/>
      <c r="G125" s="49"/>
      <c r="H125" s="49"/>
      <c r="I125" s="49"/>
      <c r="J125" s="49"/>
      <c r="K125" s="49"/>
      <c r="L125" s="49"/>
      <c r="M125" s="49"/>
      <c r="N125" s="49"/>
    </row>
    <row r="126" customFormat="false" ht="28.5" hidden="false" customHeight="true" outlineLevel="0" collapsed="false">
      <c r="A126" s="62" t="s">
        <v>459</v>
      </c>
      <c r="B126" s="119" t="n">
        <f aca="false">SUM(B92:G92)/('00-三表与联动'!$B$6*'00-三表与联动'!$B$8)</f>
        <v>0.578755707960643</v>
      </c>
      <c r="C126" s="119"/>
      <c r="D126" s="49" t="s">
        <v>460</v>
      </c>
      <c r="E126" s="49"/>
      <c r="F126" s="49"/>
      <c r="G126" s="49"/>
      <c r="H126" s="49"/>
      <c r="I126" s="49"/>
      <c r="J126" s="49"/>
      <c r="K126" s="49"/>
      <c r="L126" s="49"/>
      <c r="M126" s="49"/>
      <c r="N126" s="49"/>
    </row>
    <row r="127" customFormat="false" ht="18.75" hidden="false" customHeight="true" outlineLevel="0" collapsed="false">
      <c r="A127" s="62" t="s">
        <v>461</v>
      </c>
      <c r="B127" s="120" t="n">
        <f aca="false">B72/'00-三表与联动'!$B$6</f>
        <v>1.19795015221268</v>
      </c>
      <c r="C127" s="120"/>
      <c r="D127" s="49" t="s">
        <v>462</v>
      </c>
      <c r="E127" s="49"/>
      <c r="F127" s="49"/>
      <c r="G127" s="49"/>
      <c r="H127" s="49"/>
      <c r="I127" s="49"/>
      <c r="J127" s="49"/>
      <c r="K127" s="49"/>
      <c r="L127" s="49"/>
      <c r="M127" s="49"/>
      <c r="N127" s="49"/>
    </row>
    <row r="128" customFormat="false" ht="45.75" hidden="false" customHeight="true" outlineLevel="0" collapsed="false">
      <c r="A128" s="29" t="s">
        <v>463</v>
      </c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</row>
    <row r="130" customFormat="false" ht="24" hidden="false" customHeight="true" outlineLevel="0" collapsed="false">
      <c r="A130" s="121" t="s">
        <v>464</v>
      </c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</row>
    <row r="131" customFormat="false" ht="20.25" hidden="false" customHeight="true" outlineLevel="0" collapsed="false">
      <c r="A131" s="74" t="s">
        <v>465</v>
      </c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</row>
    <row r="132" customFormat="false" ht="27" hidden="false" customHeight="true" outlineLevel="0" collapsed="false">
      <c r="A132" s="4" t="s">
        <v>328</v>
      </c>
      <c r="B132" s="4" t="s">
        <v>466</v>
      </c>
      <c r="C132" s="4" t="s">
        <v>467</v>
      </c>
      <c r="D132" s="4"/>
      <c r="E132" s="4"/>
      <c r="F132" s="4"/>
      <c r="G132" s="4"/>
      <c r="H132" s="4" t="s">
        <v>468</v>
      </c>
      <c r="I132" s="4" t="s">
        <v>469</v>
      </c>
      <c r="J132" s="4" t="s">
        <v>94</v>
      </c>
      <c r="K132" s="4"/>
      <c r="L132" s="4"/>
      <c r="M132" s="4"/>
      <c r="N132" s="4"/>
    </row>
    <row r="133" customFormat="false" ht="30" hidden="false" customHeight="true" outlineLevel="0" collapsed="false">
      <c r="A133" s="68" t="s">
        <v>470</v>
      </c>
      <c r="B133" s="182" t="n">
        <f aca="false">H133/1000</f>
        <v>1</v>
      </c>
      <c r="C133" s="123"/>
      <c r="D133" s="123"/>
      <c r="E133" s="123"/>
      <c r="F133" s="123"/>
      <c r="G133" s="123"/>
      <c r="H133" s="124" t="n">
        <v>1000</v>
      </c>
      <c r="I133" s="125" t="s">
        <v>471</v>
      </c>
      <c r="J133" s="126" t="s">
        <v>472</v>
      </c>
      <c r="K133" s="126"/>
      <c r="L133" s="126"/>
      <c r="M133" s="126"/>
      <c r="N133" s="126"/>
    </row>
    <row r="134" customFormat="false" ht="30" hidden="false" customHeight="true" outlineLevel="0" collapsed="false">
      <c r="A134" s="68"/>
      <c r="B134" s="182"/>
      <c r="C134" s="123"/>
      <c r="D134" s="123"/>
      <c r="E134" s="123"/>
      <c r="F134" s="123"/>
      <c r="G134" s="123"/>
      <c r="H134" s="124"/>
      <c r="I134" s="125"/>
      <c r="J134" s="125"/>
      <c r="K134" s="126"/>
      <c r="L134" s="126"/>
      <c r="M134" s="126"/>
      <c r="N134" s="126"/>
    </row>
    <row r="135" customFormat="false" ht="30" hidden="false" customHeight="true" outlineLevel="0" collapsed="false">
      <c r="A135" s="68" t="s">
        <v>473</v>
      </c>
      <c r="B135" s="183" t="n">
        <f aca="false">H135/100</f>
        <v>1</v>
      </c>
      <c r="C135" s="123"/>
      <c r="D135" s="123"/>
      <c r="E135" s="123"/>
      <c r="F135" s="123"/>
      <c r="G135" s="123"/>
      <c r="H135" s="124" t="n">
        <v>100</v>
      </c>
      <c r="I135" s="125" t="s">
        <v>474</v>
      </c>
      <c r="J135" s="126" t="s">
        <v>475</v>
      </c>
      <c r="K135" s="126"/>
      <c r="L135" s="126"/>
      <c r="M135" s="126"/>
      <c r="N135" s="126"/>
    </row>
    <row r="136" customFormat="false" ht="30" hidden="false" customHeight="true" outlineLevel="0" collapsed="false">
      <c r="A136" s="68"/>
      <c r="B136" s="183"/>
      <c r="C136" s="123"/>
      <c r="D136" s="123"/>
      <c r="E136" s="123"/>
      <c r="F136" s="123"/>
      <c r="G136" s="123"/>
      <c r="H136" s="124"/>
      <c r="I136" s="125"/>
      <c r="J136" s="125"/>
      <c r="K136" s="126"/>
      <c r="L136" s="126"/>
      <c r="M136" s="126"/>
      <c r="N136" s="126"/>
    </row>
    <row r="137" customFormat="false" ht="30" hidden="false" customHeight="true" outlineLevel="0" collapsed="false">
      <c r="A137" s="128" t="s">
        <v>476</v>
      </c>
      <c r="B137" s="184" t="n">
        <f aca="false">H137/10</f>
        <v>6</v>
      </c>
      <c r="C137" s="123"/>
      <c r="D137" s="123"/>
      <c r="E137" s="123"/>
      <c r="F137" s="123"/>
      <c r="G137" s="123"/>
      <c r="H137" s="124" t="n">
        <v>60</v>
      </c>
      <c r="I137" s="125" t="s">
        <v>477</v>
      </c>
      <c r="J137" s="126" t="s">
        <v>478</v>
      </c>
      <c r="K137" s="126"/>
      <c r="L137" s="126"/>
      <c r="M137" s="126"/>
      <c r="N137" s="126"/>
    </row>
    <row r="138" customFormat="false" ht="30" hidden="false" customHeight="true" outlineLevel="0" collapsed="false">
      <c r="A138" s="128"/>
      <c r="B138" s="184"/>
      <c r="C138" s="123"/>
      <c r="D138" s="123"/>
      <c r="E138" s="123"/>
      <c r="F138" s="123"/>
      <c r="G138" s="123"/>
      <c r="H138" s="124"/>
      <c r="I138" s="125"/>
      <c r="J138" s="125"/>
      <c r="K138" s="126"/>
      <c r="L138" s="126"/>
      <c r="M138" s="126"/>
      <c r="N138" s="126"/>
    </row>
    <row r="139" customFormat="false" ht="30" hidden="false" customHeight="true" outlineLevel="0" collapsed="false">
      <c r="A139" s="128" t="s">
        <v>479</v>
      </c>
      <c r="B139" s="184" t="n">
        <f aca="false">H139/10</f>
        <v>9</v>
      </c>
      <c r="C139" s="123"/>
      <c r="D139" s="123"/>
      <c r="E139" s="123"/>
      <c r="F139" s="123"/>
      <c r="G139" s="123"/>
      <c r="H139" s="124" t="n">
        <v>90</v>
      </c>
      <c r="I139" s="125" t="s">
        <v>477</v>
      </c>
      <c r="J139" s="126" t="s">
        <v>480</v>
      </c>
      <c r="K139" s="126"/>
      <c r="L139" s="126"/>
      <c r="M139" s="126"/>
      <c r="N139" s="126"/>
    </row>
    <row r="140" customFormat="false" ht="30" hidden="false" customHeight="true" outlineLevel="0" collapsed="false">
      <c r="A140" s="128"/>
      <c r="B140" s="184"/>
      <c r="C140" s="123"/>
      <c r="D140" s="123"/>
      <c r="E140" s="123"/>
      <c r="F140" s="123"/>
      <c r="G140" s="123"/>
      <c r="H140" s="124"/>
      <c r="I140" s="125"/>
      <c r="J140" s="125"/>
      <c r="K140" s="126"/>
      <c r="L140" s="126"/>
      <c r="M140" s="126"/>
      <c r="N140" s="126"/>
    </row>
    <row r="141" customFormat="false" ht="30" hidden="false" customHeight="true" outlineLevel="0" collapsed="false">
      <c r="A141" s="128" t="s">
        <v>481</v>
      </c>
      <c r="B141" s="184" t="n">
        <f aca="false">H141/10</f>
        <v>11</v>
      </c>
      <c r="C141" s="123"/>
      <c r="D141" s="123"/>
      <c r="E141" s="123"/>
      <c r="F141" s="123"/>
      <c r="G141" s="123"/>
      <c r="H141" s="124" t="n">
        <v>110</v>
      </c>
      <c r="I141" s="125" t="s">
        <v>477</v>
      </c>
      <c r="J141" s="126" t="s">
        <v>482</v>
      </c>
      <c r="K141" s="126"/>
      <c r="L141" s="126"/>
      <c r="M141" s="126"/>
      <c r="N141" s="126"/>
    </row>
    <row r="142" customFormat="false" ht="30" hidden="false" customHeight="true" outlineLevel="0" collapsed="false">
      <c r="A142" s="128"/>
      <c r="B142" s="184"/>
      <c r="C142" s="123"/>
      <c r="D142" s="123"/>
      <c r="E142" s="123"/>
      <c r="F142" s="123"/>
      <c r="G142" s="123"/>
      <c r="H142" s="124"/>
      <c r="I142" s="125"/>
      <c r="J142" s="125"/>
      <c r="K142" s="126"/>
      <c r="L142" s="126"/>
      <c r="M142" s="126"/>
      <c r="N142" s="126"/>
    </row>
    <row r="144" customFormat="false" ht="18.75" hidden="false" customHeight="true" outlineLevel="0" collapsed="false">
      <c r="A144" s="50" t="s">
        <v>483</v>
      </c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</row>
    <row r="145" customFormat="false" ht="27.75" hidden="false" customHeight="true" outlineLevel="0" collapsed="false">
      <c r="A145" s="130" t="s">
        <v>484</v>
      </c>
      <c r="B145" s="131" t="n">
        <v>0</v>
      </c>
      <c r="C145" s="131" t="n">
        <v>0.25</v>
      </c>
      <c r="D145" s="131" t="n">
        <v>0.5</v>
      </c>
      <c r="E145" s="131" t="n">
        <v>0.75</v>
      </c>
      <c r="F145" s="131" t="n">
        <v>1</v>
      </c>
      <c r="G145" s="39"/>
      <c r="H145" s="39"/>
      <c r="I145" s="39"/>
      <c r="J145" s="39"/>
      <c r="K145" s="39"/>
      <c r="L145" s="39"/>
      <c r="M145" s="39"/>
      <c r="N145" s="39"/>
    </row>
    <row r="146" customFormat="false" ht="18.75" hidden="false" customHeight="true" outlineLevel="0" collapsed="false">
      <c r="A146" s="132" t="n">
        <f aca="false">MAX(1,$B$141+-4)</f>
        <v>7</v>
      </c>
      <c r="B146" s="99" t="n">
        <f aca="false">((G39/MAX(20,'00-三表与联动'!$B$9-B$145*SUMPRODUCT(B90:G90,1/B93:G93)+SUM(B95:G95)))*$A$146+(('00-三表与联动'!$B$10-'00-三表与联动'!$B$11)+(1-B$145)*SUM(B90:G90))/MAX(20,'00-三表与联动'!$B$9-B$145*SUMPRODUCT(B90:G90,1/B93:G93)+SUM(B95:G95)))/(1+$B$211)^6</f>
        <v>725.361904647208</v>
      </c>
      <c r="C146" s="99" t="n">
        <f aca="false">((G39/MAX(20,'00-三表与联动'!$B$9-C$145*SUMPRODUCT(B90:G90,1/B93:G93)+SUM(B95:G95)))*$A$146+(('00-三表与联动'!$B$10-'00-三表与联动'!$B$11)+(1-C$145)*SUM(B90:G90))/MAX(20,'00-三表与联动'!$B$9-C$145*SUMPRODUCT(B90:G90,1/B93:G93)+SUM(B95:G95)))/(1+$B$211)^6</f>
        <v>733.75414784816</v>
      </c>
      <c r="D146" s="99" t="n">
        <f aca="false">((G39/MAX(20,'00-三表与联动'!$B$9-D$145*SUMPRODUCT(B90:G90,1/B93:G93)+SUM(B95:G95)))*$A$146+(('00-三表与联动'!$B$10-'00-三表与联动'!$B$11)+(1-D$145)*SUM(B90:G90))/MAX(20,'00-三表与联动'!$B$9-D$145*SUMPRODUCT(B90:G90,1/B93:G93)+SUM(B95:G95)))/(1+$B$211)^6</f>
        <v>744.347464611825</v>
      </c>
      <c r="E146" s="99" t="n">
        <f aca="false">((G39/MAX(20,'00-三表与联动'!$B$9-E$145*SUMPRODUCT(B90:G90,1/B93:G93)+SUM(B95:G95)))*$A$146+(('00-三表与联动'!$B$10-'00-三表与联动'!$B$11)+(1-E$145)*SUM(B90:G90))/MAX(20,'00-三表与联动'!$B$9-E$145*SUMPRODUCT(B90:G90,1/B93:G93)+SUM(B95:G95)))/(1+$B$211)^6</f>
        <v>758.13847861235</v>
      </c>
      <c r="F146" s="99" t="n">
        <f aca="false">((G39/MAX(20,'00-三表与联动'!$B$9-F$145*SUMPRODUCT(B90:G90,1/B93:G93)+SUM(B95:G95)))*$A$146+(('00-三表与联动'!$B$10-'00-三表与联动'!$B$11)+(1-F$145)*SUM(B90:G90))/MAX(20,'00-三表与联动'!$B$9-F$145*SUMPRODUCT(B90:G90,1/B93:G93)+SUM(B95:G95)))/(1+$B$211)^6</f>
        <v>776.832449258106</v>
      </c>
      <c r="G146" s="34"/>
      <c r="H146" s="34"/>
      <c r="I146" s="34"/>
      <c r="J146" s="34"/>
      <c r="K146" s="34"/>
      <c r="L146" s="34"/>
      <c r="M146" s="34"/>
      <c r="N146" s="34"/>
    </row>
    <row r="147" customFormat="false" ht="18.75" hidden="false" customHeight="true" outlineLevel="0" collapsed="false">
      <c r="A147" s="132" t="n">
        <f aca="false">MAX(1,$B$141+-2)</f>
        <v>9</v>
      </c>
      <c r="B147" s="99" t="n">
        <f aca="false">((G39/MAX(20,'00-三表与联动'!$B$9-B$145*SUMPRODUCT(B90:G90,1/B93:G93)+SUM(B95:G95)))*$A$147+(('00-三表与联动'!$B$10-'00-三表与联动'!$B$11)+(1-B$145)*SUM(B90:G90))/MAX(20,'00-三表与联动'!$B$9-B$145*SUMPRODUCT(B90:G90,1/B93:G93)+SUM(B95:G95)))/(1+$B$211)^6</f>
        <v>851.866916033434</v>
      </c>
      <c r="C147" s="99" t="n">
        <f aca="false">((G39/MAX(20,'00-三表与联动'!$B$9-C$145*SUMPRODUCT(B90:G90,1/B93:G93)+SUM(B95:G95)))*$A$147+(('00-三表与联动'!$B$10-'00-三表与联动'!$B$11)+(1-C$145)*SUM(B90:G90))/MAX(20,'00-三表与联动'!$B$9-C$145*SUMPRODUCT(B90:G90,1/B93:G93)+SUM(B95:G95)))/(1+$B$211)^6</f>
        <v>874.925402243905</v>
      </c>
      <c r="D147" s="99" t="n">
        <f aca="false">((G39/MAX(20,'00-三表与联动'!$B$9-D$145*SUMPRODUCT(B90:G90,1/B93:G93)+SUM(B95:G95)))*$A$147+(('00-三表与联动'!$B$10-'00-三表与联动'!$B$11)+(1-D$145)*SUM(B90:G90))/MAX(20,'00-三表与联动'!$B$9-D$145*SUMPRODUCT(B90:G90,1/B93:G93)+SUM(B95:G95)))/(1+$B$211)^6</f>
        <v>904.031547367346</v>
      </c>
      <c r="E147" s="99" t="n">
        <f aca="false">((G39/MAX(20,'00-三表与联动'!$B$9-E$145*SUMPRODUCT(B90:G90,1/B93:G93)+SUM(B95:G95)))*$A$147+(('00-三表与联动'!$B$10-'00-三表与联动'!$B$11)+(1-E$145)*SUM(B90:G90))/MAX(20,'00-三表与联动'!$B$9-E$145*SUMPRODUCT(B90:G90,1/B93:G93)+SUM(B95:G95)))/(1+$B$211)^6</f>
        <v>941.923669717121</v>
      </c>
      <c r="F147" s="99" t="n">
        <f aca="false">((G39/MAX(20,'00-三表与联动'!$B$9-F$145*SUMPRODUCT(B90:G90,1/B93:G93)+SUM(B95:G95)))*$A$147+(('00-三表与联动'!$B$10-'00-三表与联动'!$B$11)+(1-F$145)*SUM(B90:G90))/MAX(20,'00-三表与联动'!$B$9-F$145*SUMPRODUCT(B90:G90,1/B93:G93)+SUM(B95:G95)))/(1+$B$211)^6</f>
        <v>993.287131670324</v>
      </c>
      <c r="G147" s="34"/>
      <c r="H147" s="34"/>
      <c r="I147" s="34"/>
      <c r="J147" s="34"/>
      <c r="K147" s="34"/>
      <c r="L147" s="34"/>
      <c r="M147" s="34"/>
      <c r="N147" s="34"/>
    </row>
    <row r="148" customFormat="false" ht="18.75" hidden="false" customHeight="true" outlineLevel="0" collapsed="false">
      <c r="A148" s="132" t="n">
        <f aca="false">MAX(1,$B$141+0)</f>
        <v>11</v>
      </c>
      <c r="B148" s="99" t="n">
        <f aca="false">((G39/MAX(20,'00-三表与联动'!$B$9-B$145*SUMPRODUCT(B90:G90,1/B93:G93)+SUM(B95:G95)))*$A$148+(('00-三表与联动'!$B$10-'00-三表与联动'!$B$11)+(1-B$145)*SUM(B90:G90))/MAX(20,'00-三表与联动'!$B$9-B$145*SUMPRODUCT(B90:G90,1/B93:G93)+SUM(B95:G95)))/(1+$B$211)^6</f>
        <v>978.37192741966</v>
      </c>
      <c r="C148" s="99" t="n">
        <f aca="false">((G39/MAX(20,'00-三表与联动'!$B$9-C$145*SUMPRODUCT(B90:G90,1/B93:G93)+SUM(B95:G95)))*$A$148+(('00-三表与联动'!$B$10-'00-三表与联动'!$B$11)+(1-C$145)*SUM(B90:G90))/MAX(20,'00-三表与联动'!$B$9-C$145*SUMPRODUCT(B90:G90,1/B93:G93)+SUM(B95:G95)))/(1+$B$211)^6</f>
        <v>1016.09665663965</v>
      </c>
      <c r="D148" s="99" t="n">
        <f aca="false">((G39/MAX(20,'00-三表与联动'!$B$9-D$145*SUMPRODUCT(B90:G90,1/B93:G93)+SUM(B95:G95)))*$A$148+(('00-三表与联动'!$B$10-'00-三表与联动'!$B$11)+(1-D$145)*SUM(B90:G90))/MAX(20,'00-三表与联动'!$B$9-D$145*SUMPRODUCT(B90:G90,1/B93:G93)+SUM(B95:G95)))/(1+$B$211)^6</f>
        <v>1063.71563012287</v>
      </c>
      <c r="E148" s="99" t="n">
        <f aca="false">((G39/MAX(20,'00-三表与联动'!$B$9-E$145*SUMPRODUCT(B90:G90,1/B93:G93)+SUM(B95:G95)))*$A$148+(('00-三表与联动'!$B$10-'00-三表与联动'!$B$11)+(1-E$145)*SUM(B90:G90))/MAX(20,'00-三表与联动'!$B$9-E$145*SUMPRODUCT(B90:G90,1/B93:G93)+SUM(B95:G95)))/(1+$B$211)^6</f>
        <v>1125.70886082189</v>
      </c>
      <c r="F148" s="133" t="n">
        <f aca="false">((G39/MAX(20,'00-三表与联动'!$B$9-F$145*SUMPRODUCT(B90:G90,1/B93:G93)+SUM(B95:G95)))*$A$148+(('00-三表与联动'!$B$10-'00-三表与联动'!$B$11)+(1-F$145)*SUM(B90:G90))/MAX(20,'00-三表与联动'!$B$9-F$145*SUMPRODUCT(B90:G90,1/B93:G93)+SUM(B95:G95)))/(1+$B$211)^6</f>
        <v>1209.74181408254</v>
      </c>
      <c r="G148" s="34"/>
      <c r="H148" s="34"/>
      <c r="I148" s="34"/>
      <c r="J148" s="34"/>
      <c r="K148" s="34"/>
      <c r="L148" s="34"/>
      <c r="M148" s="34"/>
      <c r="N148" s="34"/>
    </row>
    <row r="149" customFormat="false" ht="18.75" hidden="false" customHeight="true" outlineLevel="0" collapsed="false">
      <c r="A149" s="132" t="n">
        <f aca="false">MAX(1,$B$141+2)</f>
        <v>13</v>
      </c>
      <c r="B149" s="99" t="n">
        <f aca="false">((G39/MAX(20,'00-三表与联动'!$B$9-B$145*SUMPRODUCT(B90:G90,1/B93:G93)+SUM(B95:G95)))*$A$149+(('00-三表与联动'!$B$10-'00-三表与联动'!$B$11)+(1-B$145)*SUM(B90:G90))/MAX(20,'00-三表与联动'!$B$9-B$145*SUMPRODUCT(B90:G90,1/B93:G93)+SUM(B95:G95)))/(1+$B$211)^6</f>
        <v>1104.87693880589</v>
      </c>
      <c r="C149" s="99" t="n">
        <f aca="false">((G39/MAX(20,'00-三表与联动'!$B$9-C$145*SUMPRODUCT(B90:G90,1/B93:G93)+SUM(B95:G95)))*$A$149+(('00-三表与联动'!$B$10-'00-三表与联动'!$B$11)+(1-C$145)*SUM(B90:G90))/MAX(20,'00-三表与联动'!$B$9-C$145*SUMPRODUCT(B90:G90,1/B93:G93)+SUM(B95:G95)))/(1+$B$211)^6</f>
        <v>1157.2679110354</v>
      </c>
      <c r="D149" s="99" t="n">
        <f aca="false">((G39/MAX(20,'00-三表与联动'!$B$9-D$145*SUMPRODUCT(B90:G90,1/B93:G93)+SUM(B95:G95)))*$A$149+(('00-三表与联动'!$B$10-'00-三表与联动'!$B$11)+(1-D$145)*SUM(B90:G90))/MAX(20,'00-三表与联动'!$B$9-D$145*SUMPRODUCT(B90:G90,1/B93:G93)+SUM(B95:G95)))/(1+$B$211)^6</f>
        <v>1223.39971287839</v>
      </c>
      <c r="E149" s="99" t="n">
        <f aca="false">((G39/MAX(20,'00-三表与联动'!$B$9-E$145*SUMPRODUCT(B90:G90,1/B93:G93)+SUM(B95:G95)))*$A$149+(('00-三表与联动'!$B$10-'00-三表与联动'!$B$11)+(1-E$145)*SUM(B90:G90))/MAX(20,'00-三表与联动'!$B$9-E$145*SUMPRODUCT(B90:G90,1/B93:G93)+SUM(B95:G95)))/(1+$B$211)^6</f>
        <v>1309.49405192666</v>
      </c>
      <c r="F149" s="99" t="n">
        <f aca="false">((G39/MAX(20,'00-三表与联动'!$B$9-F$145*SUMPRODUCT(B90:G90,1/B93:G93)+SUM(B95:G95)))*$A$149+(('00-三表与联动'!$B$10-'00-三表与联动'!$B$11)+(1-F$145)*SUM(B90:G90))/MAX(20,'00-三表与联动'!$B$9-F$145*SUMPRODUCT(B90:G90,1/B93:G93)+SUM(B95:G95)))/(1+$B$211)^6</f>
        <v>1426.19649649476</v>
      </c>
      <c r="G149" s="34"/>
      <c r="H149" s="34"/>
      <c r="I149" s="34"/>
      <c r="J149" s="34"/>
      <c r="K149" s="34"/>
      <c r="L149" s="34"/>
      <c r="M149" s="34"/>
      <c r="N149" s="34"/>
    </row>
    <row r="150" customFormat="false" ht="18.75" hidden="false" customHeight="true" outlineLevel="0" collapsed="false">
      <c r="A150" s="132" t="n">
        <f aca="false">MAX(1,$B$141+4)</f>
        <v>15</v>
      </c>
      <c r="B150" s="99" t="n">
        <f aca="false">((G39/MAX(20,'00-三表与联动'!$B$9-B$145*SUMPRODUCT(B90:G90,1/B93:G93)+SUM(B95:G95)))*$A$150+(('00-三表与联动'!$B$10-'00-三表与联动'!$B$11)+(1-B$145)*SUM(B90:G90))/MAX(20,'00-三表与联动'!$B$9-B$145*SUMPRODUCT(B90:G90,1/B93:G93)+SUM(B95:G95)))/(1+$B$211)^6</f>
        <v>1231.38195019211</v>
      </c>
      <c r="C150" s="99" t="n">
        <f aca="false">((G39/MAX(20,'00-三表与联动'!$B$9-C$145*SUMPRODUCT(B90:G90,1/B93:G93)+SUM(B95:G95)))*$A$150+(('00-三表与联动'!$B$10-'00-三表与联动'!$B$11)+(1-C$145)*SUM(B90:G90))/MAX(20,'00-三表与联动'!$B$9-C$145*SUMPRODUCT(B90:G90,1/B93:G93)+SUM(B95:G95)))/(1+$B$211)^6</f>
        <v>1298.43916543114</v>
      </c>
      <c r="D150" s="99" t="n">
        <f aca="false">((G39/MAX(20,'00-三表与联动'!$B$9-D$145*SUMPRODUCT(B90:G90,1/B93:G93)+SUM(B95:G95)))*$A$150+(('00-三表与联动'!$B$10-'00-三表与联动'!$B$11)+(1-D$145)*SUM(B90:G90))/MAX(20,'00-三表与联动'!$B$9-D$145*SUMPRODUCT(B90:G90,1/B93:G93)+SUM(B95:G95)))/(1+$B$211)^6</f>
        <v>1383.08379563391</v>
      </c>
      <c r="E150" s="99" t="n">
        <f aca="false">((G39/MAX(20,'00-三表与联动'!$B$9-E$145*SUMPRODUCT(B90:G90,1/B93:G93)+SUM(B95:G95)))*$A$150+(('00-三表与联动'!$B$10-'00-三表与联动'!$B$11)+(1-E$145)*SUM(B90:G90))/MAX(20,'00-三表与联动'!$B$9-E$145*SUMPRODUCT(B90:G90,1/B93:G93)+SUM(B95:G95)))/(1+$B$211)^6</f>
        <v>1493.27924303143</v>
      </c>
      <c r="F150" s="99" t="n">
        <f aca="false">((G39/MAX(20,'00-三表与联动'!$B$9-F$145*SUMPRODUCT(B90:G90,1/B93:G93)+SUM(B95:G95)))*$A$150+(('00-三表与联动'!$B$10-'00-三表与联动'!$B$11)+(1-F$145)*SUM(B90:G90))/MAX(20,'00-三表与联动'!$B$9-F$145*SUMPRODUCT(B90:G90,1/B93:G93)+SUM(B95:G95)))/(1+$B$211)^6</f>
        <v>1642.65117890698</v>
      </c>
      <c r="G150" s="34"/>
      <c r="H150" s="34"/>
      <c r="I150" s="34"/>
      <c r="J150" s="34"/>
      <c r="K150" s="34"/>
      <c r="L150" s="34"/>
      <c r="M150" s="34"/>
      <c r="N150" s="34"/>
    </row>
    <row r="151" customFormat="false" ht="33" hidden="false" customHeight="true" outlineLevel="0" collapsed="false">
      <c r="A151" s="42" t="s">
        <v>485</v>
      </c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</row>
    <row r="153" customFormat="false" ht="18.75" hidden="false" customHeight="true" outlineLevel="0" collapsed="false">
      <c r="A153" s="50" t="s">
        <v>486</v>
      </c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</row>
    <row r="154" customFormat="false" ht="39.75" hidden="false" customHeight="true" outlineLevel="0" collapsed="false">
      <c r="A154" s="14" t="s">
        <v>487</v>
      </c>
      <c r="B154" s="14" t="s">
        <v>488</v>
      </c>
      <c r="C154" s="14" t="s">
        <v>489</v>
      </c>
      <c r="D154" s="14" t="s">
        <v>490</v>
      </c>
      <c r="E154" s="14" t="s">
        <v>491</v>
      </c>
      <c r="F154" s="14" t="s">
        <v>492</v>
      </c>
      <c r="G154" s="4" t="s">
        <v>493</v>
      </c>
      <c r="H154" s="4"/>
      <c r="I154" s="4"/>
      <c r="J154" s="4"/>
      <c r="K154" s="4"/>
      <c r="L154" s="4"/>
      <c r="M154" s="4"/>
      <c r="N154" s="4"/>
    </row>
    <row r="155" customFormat="false" ht="18.75" hidden="false" customHeight="true" outlineLevel="0" collapsed="false">
      <c r="A155" s="134" t="n">
        <v>6</v>
      </c>
      <c r="B155" s="135" t="n">
        <f aca="false">B100*$A$155+B101</f>
        <v>805.360954305049</v>
      </c>
      <c r="C155" s="135" t="n">
        <f aca="false">(C100*$A$155+C101)/(1+$B$211)^2</f>
        <v>464.999291675023</v>
      </c>
      <c r="D155" s="135" t="n">
        <f aca="false">(G100*$A$155+G101)/(1+$B$211)^6</f>
        <v>668.605108051998</v>
      </c>
      <c r="E155" s="136" t="n">
        <f aca="false">B155/'00-三表与联动'!$B$6-1</f>
        <v>-0.108216285968122</v>
      </c>
      <c r="F155" s="136" t="n">
        <f aca="false">D155/'00-三表与联动'!$B$6-1</f>
        <v>-0.259647313056287</v>
      </c>
      <c r="G155" s="34"/>
      <c r="H155" s="34"/>
      <c r="I155" s="34"/>
      <c r="J155" s="34"/>
      <c r="K155" s="34"/>
      <c r="L155" s="34"/>
      <c r="M155" s="34"/>
      <c r="N155" s="34"/>
    </row>
    <row r="156" customFormat="false" ht="18.75" hidden="false" customHeight="true" outlineLevel="0" collapsed="false">
      <c r="A156" s="134" t="n">
        <v>9</v>
      </c>
      <c r="B156" s="135" t="n">
        <f aca="false">B100*$A$156+B101</f>
        <v>1196.19067935656</v>
      </c>
      <c r="C156" s="135" t="n">
        <f aca="false">(C100*$A$156+C101)/(1+$B$211)^2</f>
        <v>687.14484641836</v>
      </c>
      <c r="D156" s="135" t="n">
        <f aca="false">(G100*$A$156+G101)/(1+$B$211)^6</f>
        <v>993.287131670324</v>
      </c>
      <c r="E156" s="136" t="n">
        <f aca="false">B156/'00-三表与联动'!$B$6-1</f>
        <v>0.324553122453529</v>
      </c>
      <c r="F156" s="136" t="n">
        <f aca="false">D156/'00-三表与联动'!$B$6-1</f>
        <v>0.0998761271526913</v>
      </c>
      <c r="G156" s="34"/>
      <c r="H156" s="34"/>
      <c r="I156" s="34"/>
      <c r="J156" s="34"/>
      <c r="K156" s="34"/>
      <c r="L156" s="34"/>
      <c r="M156" s="34"/>
      <c r="N156" s="34"/>
    </row>
    <row r="157" customFormat="false" ht="18.75" hidden="false" customHeight="true" outlineLevel="0" collapsed="false">
      <c r="A157" s="134" t="n">
        <v>12</v>
      </c>
      <c r="B157" s="135" t="n">
        <f aca="false">B100*$A$157+B101</f>
        <v>1587.02040440807</v>
      </c>
      <c r="C157" s="135" t="n">
        <f aca="false">(C100*$A$157+C101)/(1+$B$211)^2</f>
        <v>909.290401161698</v>
      </c>
      <c r="D157" s="135" t="n">
        <f aca="false">(G100*$A$157+G101)/(1+$B$211)^6</f>
        <v>1317.96915528865</v>
      </c>
      <c r="E157" s="136" t="n">
        <f aca="false">B157/'00-三表与联动'!$B$6-1</f>
        <v>0.75732253087518</v>
      </c>
      <c r="F157" s="136" t="n">
        <f aca="false">D157/'00-三表与联动'!$B$6-1</f>
        <v>0.45939956736167</v>
      </c>
      <c r="G157" s="34"/>
      <c r="H157" s="34"/>
      <c r="I157" s="34"/>
      <c r="J157" s="34"/>
      <c r="K157" s="34"/>
      <c r="L157" s="34"/>
      <c r="M157" s="34"/>
      <c r="N157" s="34"/>
    </row>
    <row r="158" customFormat="false" ht="18.75" hidden="false" customHeight="true" outlineLevel="0" collapsed="false">
      <c r="A158" s="134" t="n">
        <v>15</v>
      </c>
      <c r="B158" s="135" t="n">
        <f aca="false">B100*$A$158+B101</f>
        <v>1977.85012945957</v>
      </c>
      <c r="C158" s="135" t="n">
        <f aca="false">(C100*$A$158+C101)/(1+$B$211)^2</f>
        <v>1131.43595590504</v>
      </c>
      <c r="D158" s="135" t="n">
        <f aca="false">(G100*$A$158+G101)/(1+$B$211)^6</f>
        <v>1642.65117890698</v>
      </c>
      <c r="E158" s="136" t="n">
        <f aca="false">B158/'00-三表与联动'!$B$6-1</f>
        <v>1.19009193929683</v>
      </c>
      <c r="F158" s="136" t="n">
        <f aca="false">D158/'00-三表与联动'!$B$6-1</f>
        <v>0.818923007570648</v>
      </c>
      <c r="G158" s="34"/>
      <c r="H158" s="34"/>
      <c r="I158" s="34"/>
      <c r="J158" s="34"/>
      <c r="K158" s="34"/>
      <c r="L158" s="34"/>
      <c r="M158" s="34"/>
      <c r="N158" s="34"/>
    </row>
    <row r="159" customFormat="false" ht="18.75" hidden="false" customHeight="true" outlineLevel="0" collapsed="false">
      <c r="A159" s="134" t="n">
        <v>18</v>
      </c>
      <c r="B159" s="135" t="n">
        <f aca="false">B100*$A$159+B101</f>
        <v>2368.67985451108</v>
      </c>
      <c r="C159" s="135" t="n">
        <f aca="false">(C100*$A$159+C101)/(1+$B$211)^2</f>
        <v>1353.58151064837</v>
      </c>
      <c r="D159" s="135" t="n">
        <f aca="false">(G100*$A$159+G101)/(1+$B$211)^6</f>
        <v>1967.3332025253</v>
      </c>
      <c r="E159" s="136" t="n">
        <f aca="false">B159/'00-三表与联动'!$B$6-1</f>
        <v>1.62286134771848</v>
      </c>
      <c r="F159" s="136" t="n">
        <f aca="false">D159/'00-三表与联动'!$B$6-1</f>
        <v>1.17844644777963</v>
      </c>
      <c r="G159" s="34"/>
      <c r="H159" s="34"/>
      <c r="I159" s="34"/>
      <c r="J159" s="34"/>
      <c r="K159" s="34"/>
      <c r="L159" s="34"/>
      <c r="M159" s="34"/>
      <c r="N159" s="34"/>
    </row>
    <row r="160" customFormat="false" ht="18.75" hidden="false" customHeight="true" outlineLevel="0" collapsed="false">
      <c r="A160" s="134" t="n">
        <v>21</v>
      </c>
      <c r="B160" s="135" t="n">
        <f aca="false">B100*$A$160+B101</f>
        <v>2759.50957956259</v>
      </c>
      <c r="C160" s="135" t="n">
        <f aca="false">(C100*$A$160+C101)/(1+$B$211)^2</f>
        <v>1575.72706539171</v>
      </c>
      <c r="D160" s="135" t="n">
        <f aca="false">(G100*$A$160+G101)/(1+$B$211)^6</f>
        <v>2292.01522614363</v>
      </c>
      <c r="E160" s="136" t="n">
        <f aca="false">B160/'00-三表与联动'!$B$6-1</f>
        <v>2.05563075614013</v>
      </c>
      <c r="F160" s="136" t="n">
        <f aca="false">D160/'00-三表与联动'!$B$6-1</f>
        <v>1.53796988798861</v>
      </c>
      <c r="G160" s="34"/>
      <c r="H160" s="34"/>
      <c r="I160" s="34"/>
      <c r="J160" s="34"/>
      <c r="K160" s="34"/>
      <c r="L160" s="34"/>
      <c r="M160" s="34"/>
      <c r="N160" s="34"/>
    </row>
    <row r="161" customFormat="false" ht="33" hidden="false" customHeight="true" outlineLevel="0" collapsed="false">
      <c r="A161" s="42" t="s">
        <v>494</v>
      </c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</row>
    <row r="164" customFormat="false" ht="24" hidden="false" customHeight="true" outlineLevel="0" collapsed="false">
      <c r="A164" s="13" t="s">
        <v>495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</row>
    <row r="165" customFormat="false" ht="33" hidden="false" customHeight="true" outlineLevel="0" collapsed="false">
      <c r="A165" s="43" t="s">
        <v>496</v>
      </c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</row>
    <row r="166" customFormat="false" ht="18.75" hidden="false" customHeight="true" outlineLevel="0" collapsed="false">
      <c r="A166" s="50" t="s">
        <v>497</v>
      </c>
      <c r="B166" s="50"/>
      <c r="C166" s="50"/>
      <c r="D166" s="50"/>
      <c r="E166" s="50"/>
      <c r="F166" s="50"/>
      <c r="G166" s="50"/>
      <c r="H166" s="50" t="s">
        <v>498</v>
      </c>
      <c r="I166" s="50"/>
      <c r="J166" s="50"/>
      <c r="K166" s="50"/>
      <c r="L166" s="50"/>
      <c r="M166" s="50"/>
      <c r="N166" s="50"/>
    </row>
    <row r="167" customFormat="false" ht="27.75" hidden="false" customHeight="true" outlineLevel="0" collapsed="false">
      <c r="A167" s="130" t="s">
        <v>499</v>
      </c>
      <c r="B167" s="137" t="n">
        <f aca="false">$B$213+-0.01</f>
        <v>0.02</v>
      </c>
      <c r="C167" s="137" t="n">
        <f aca="false">$B$213+-0.005</f>
        <v>0.025</v>
      </c>
      <c r="D167" s="137" t="n">
        <f aca="false">$B$213+0</f>
        <v>0.03</v>
      </c>
      <c r="E167" s="137" t="n">
        <f aca="false">$B$213+0.005</f>
        <v>0.035</v>
      </c>
      <c r="F167" s="137" t="n">
        <f aca="false">$B$213+0.01</f>
        <v>0.04</v>
      </c>
      <c r="G167" s="39"/>
      <c r="H167" s="130" t="s">
        <v>500</v>
      </c>
      <c r="I167" s="137" t="n">
        <f aca="false">MAX(0.05,MIN(0.92,$B$195+-0.1))</f>
        <v>0.58</v>
      </c>
      <c r="J167" s="137" t="n">
        <f aca="false">MAX(0.05,MIN(0.92,$B$195+-0.05))</f>
        <v>0.63</v>
      </c>
      <c r="K167" s="137" t="n">
        <f aca="false">MAX(0.05,MIN(0.92,$B$195+0))</f>
        <v>0.68</v>
      </c>
      <c r="L167" s="137" t="n">
        <f aca="false">MAX(0.05,MIN(0.92,$B$195+0.05))</f>
        <v>0.73</v>
      </c>
      <c r="M167" s="137" t="n">
        <f aca="false">MAX(0.05,MIN(0.92,$B$195+0.1))</f>
        <v>0.78</v>
      </c>
      <c r="N167" s="39"/>
    </row>
    <row r="168" customFormat="false" ht="18.75" hidden="false" customHeight="true" outlineLevel="0" collapsed="false">
      <c r="A168" s="138" t="n">
        <f aca="false">$B$211+-0.02</f>
        <v>0.09</v>
      </c>
      <c r="B168" s="103" t="n">
        <f aca="false">IF($A$168&lt;=B$167,"n/a",($B$62*(1+$B$211)^3.5/(1+$A$168)^3.5+$G$45*(1+B$167)/($A$168-B$167)/(1+$A$168)^6)+('00-三表与联动'!$B$10-'00-三表与联动'!$B$11))/'00-三表与联动'!$B$9</f>
        <v>1267.40995401373</v>
      </c>
      <c r="C168" s="103" t="n">
        <f aca="false">IF($A$168&lt;=C$167,"n/a",($B$62*(1+$B$211)^3.5/(1+$A$168)^3.5+$G$45*(1+C$167)/($A$168-C$167)/(1+$A$168)^6)+('00-三表与联动'!$B$10-'00-三表与联动'!$B$11))/'00-三表与联动'!$B$9</f>
        <v>1336.63826976265</v>
      </c>
      <c r="D168" s="103" t="n">
        <f aca="false">IF($A$168&lt;=D$167,"n/a",($B$62*(1+$B$211)^3.5/(1+$A$168)^3.5+$G$45*(1+D$167)/($A$168-D$167)/(1+$A$168)^6)+('00-三表与联动'!$B$10-'00-三表与联动'!$B$11))/'00-三表与联动'!$B$9</f>
        <v>1417.4046381364</v>
      </c>
      <c r="E168" s="103" t="n">
        <f aca="false">IF($A$168&lt;=E$167,"n/a",($B$62*(1+$B$211)^3.5/(1+$A$168)^3.5+$G$45*(1+E$167)/($A$168-E$167)/(1+$A$168)^6)+('00-三表与联动'!$B$10-'00-三表与联动'!$B$11))/'00-三表与联动'!$B$9</f>
        <v>1512.85580075991</v>
      </c>
      <c r="F168" s="103" t="n">
        <f aca="false">IF($A$168&lt;=F$167,"n/a",($B$62*(1+$B$211)^3.5/(1+$A$168)^3.5+$G$45*(1+F$167)/($A$168-F$167)/(1+$A$168)^6)+('00-三表与联动'!$B$10-'00-三表与联动'!$B$11))/'00-三表与联动'!$B$9</f>
        <v>1627.39719590812</v>
      </c>
      <c r="G168" s="39"/>
      <c r="H168" s="138" t="n">
        <f aca="false">$B$211+-0.02</f>
        <v>0.09</v>
      </c>
      <c r="I168" s="103" t="n">
        <f aca="false">IF($H$168&lt;=$B$213,"n/a",($B$62*(1+$B$211)^3.5/(1+$H$168)^3.5+(($G$32*I$167-$G$32*$B$199)*(1-$B$201)+$G$40+($G$41+$G$42)+$G$44)*(1+$B$213)/($H$168-$B$213)/(1+$H$168)^6)+('00-三表与联动'!$B$10-'00-三表与联动'!$B$11))/'00-三表与联动'!$B$9</f>
        <v>1225.67323979273</v>
      </c>
      <c r="J168" s="103" t="n">
        <f aca="false">IF($H$168&lt;=$B$213,"n/a",($B$62*(1+$B$211)^3.5/(1+$H$168)^3.5+(($G$32*J$167-$G$32*$B$199)*(1-$B$201)+$G$40+($G$41+$G$42)+$G$44)*(1+$B$213)/($H$168-$B$213)/(1+$H$168)^6)+('00-三表与联动'!$B$10-'00-三表与联动'!$B$11))/'00-三表与联动'!$B$9</f>
        <v>1321.53893896456</v>
      </c>
      <c r="K168" s="103" t="n">
        <f aca="false">IF($H$168&lt;=$B$213,"n/a",($B$62*(1+$B$211)^3.5/(1+$H$168)^3.5+(($G$32*K$167-$G$32*$B$199)*(1-$B$201)+$G$40+($G$41+$G$42)+$G$44)*(1+$B$213)/($H$168-$B$213)/(1+$H$168)^6)+('00-三表与联动'!$B$10-'00-三表与联动'!$B$11))/'00-三表与联动'!$B$9</f>
        <v>1417.4046381364</v>
      </c>
      <c r="L168" s="103" t="n">
        <f aca="false">IF($H$168&lt;=$B$213,"n/a",($B$62*(1+$B$211)^3.5/(1+$H$168)^3.5+(($G$32*L$167-$G$32*$B$199)*(1-$B$201)+$G$40+($G$41+$G$42)+$G$44)*(1+$B$213)/($H$168-$B$213)/(1+$H$168)^6)+('00-三表与联动'!$B$10-'00-三表与联动'!$B$11))/'00-三表与联动'!$B$9</f>
        <v>1513.27033730823</v>
      </c>
      <c r="M168" s="103" t="n">
        <f aca="false">IF($H$168&lt;=$B$213,"n/a",($B$62*(1+$B$211)^3.5/(1+$H$168)^3.5+(($G$32*M$167-$G$32*$B$199)*(1-$B$201)+$G$40+($G$41+$G$42)+$G$44)*(1+$B$213)/($H$168-$B$213)/(1+$H$168)^6)+('00-三表与联动'!$B$10-'00-三表与联动'!$B$11))/'00-三表与联动'!$B$9</f>
        <v>1609.13603648007</v>
      </c>
      <c r="N168" s="39"/>
    </row>
    <row r="169" customFormat="false" ht="18.75" hidden="false" customHeight="true" outlineLevel="0" collapsed="false">
      <c r="A169" s="138" t="n">
        <f aca="false">$B$211+-0.01</f>
        <v>0.1</v>
      </c>
      <c r="B169" s="103" t="n">
        <f aca="false">IF($A$169&lt;=B$167,"n/a",($B$62*(1+$B$211)^3.5/(1+$A$169)^3.5+$G$45*(1+B$167)/($A$169-B$167)/(1+$A$169)^6)+('00-三表与联动'!$B$10-'00-三表与联动'!$B$11))/'00-三表与联动'!$B$9</f>
        <v>1110.13751988916</v>
      </c>
      <c r="C169" s="103" t="n">
        <f aca="false">IF($A$169&lt;=C$167,"n/a",($B$62*(1+$B$211)^3.5/(1+$A$169)^3.5+$G$45*(1+C$167)/($A$169-C$167)/(1+$A$169)^6)+('00-三表与联动'!$B$10-'00-三表与联动'!$B$11))/'00-三表与联动'!$B$9</f>
        <v>1160.2923745219</v>
      </c>
      <c r="D169" s="103" t="n">
        <f aca="false">IF($A$169&lt;=D$167,"n/a",($B$62*(1+$B$211)^3.5/(1+$A$169)^3.5+$G$45*(1+D$167)/($A$169-D$167)/(1+$A$169)^6)+('00-三表与联动'!$B$10-'00-三表与联动'!$B$11))/'00-三表与联动'!$B$9</f>
        <v>1217.61220838789</v>
      </c>
      <c r="E169" s="103" t="n">
        <f aca="false">IF($A$169&lt;=E$167,"n/a",($B$62*(1+$B$211)^3.5/(1+$A$169)^3.5+$G$45*(1+E$167)/($A$169-E$167)/(1+$A$169)^6)+('00-三表与联动'!$B$10-'00-三表与联动'!$B$11))/'00-三表与联动'!$B$9</f>
        <v>1283.75047823327</v>
      </c>
      <c r="F169" s="103" t="n">
        <f aca="false">IF($A$169&lt;=F$167,"n/a",($B$62*(1+$B$211)^3.5/(1+$A$169)^3.5+$G$45*(1+F$167)/($A$169-F$167)/(1+$A$169)^6)+('00-三表与联动'!$B$10-'00-三表与联动'!$B$11))/'00-三表与联动'!$B$9</f>
        <v>1360.91179305287</v>
      </c>
      <c r="G169" s="39"/>
      <c r="H169" s="138" t="n">
        <f aca="false">$B$211+-0.01</f>
        <v>0.1</v>
      </c>
      <c r="I169" s="103" t="n">
        <f aca="false">IF($H$169&lt;=$B$213,"n/a",($B$62*(1+$B$211)^3.5/(1+$H$169)^3.5+(($G$32*I$167-$G$32*$B$199)*(1-$B$201)+$G$40+($G$41+$G$42)+$G$44)*(1+$B$213)/($H$169-$B$213)/(1+$H$169)^6)+('00-三表与联动'!$B$10-'00-三表与联动'!$B$11))/'00-三表与联动'!$B$9</f>
        <v>1062.03379908969</v>
      </c>
      <c r="J169" s="103" t="n">
        <f aca="false">IF($H$169&lt;=$B$213,"n/a",($B$62*(1+$B$211)^3.5/(1+$H$169)^3.5+(($G$32*J$167-$G$32*$B$199)*(1-$B$201)+$G$40+($G$41+$G$42)+$G$44)*(1+$B$213)/($H$169-$B$213)/(1+$H$169)^6)+('00-三表与联动'!$B$10-'00-三表与联动'!$B$11))/'00-三表与联动'!$B$9</f>
        <v>1139.82300373879</v>
      </c>
      <c r="K169" s="103" t="n">
        <f aca="false">IF($H$169&lt;=$B$213,"n/a",($B$62*(1+$B$211)^3.5/(1+$H$169)^3.5+(($G$32*K$167-$G$32*$B$199)*(1-$B$201)+$G$40+($G$41+$G$42)+$G$44)*(1+$B$213)/($H$169-$B$213)/(1+$H$169)^6)+('00-三表与联动'!$B$10-'00-三表与联动'!$B$11))/'00-三表与联动'!$B$9</f>
        <v>1217.61220838789</v>
      </c>
      <c r="L169" s="103" t="n">
        <f aca="false">IF($H$169&lt;=$B$213,"n/a",($B$62*(1+$B$211)^3.5/(1+$H$169)^3.5+(($G$32*L$167-$G$32*$B$199)*(1-$B$201)+$G$40+($G$41+$G$42)+$G$44)*(1+$B$213)/($H$169-$B$213)/(1+$H$169)^6)+('00-三表与联动'!$B$10-'00-三表与联动'!$B$11))/'00-三表与联动'!$B$9</f>
        <v>1295.401413037</v>
      </c>
      <c r="M169" s="103" t="n">
        <f aca="false">IF($H$169&lt;=$B$213,"n/a",($B$62*(1+$B$211)^3.5/(1+$H$169)^3.5+(($G$32*M$167-$G$32*$B$199)*(1-$B$201)+$G$40+($G$41+$G$42)+$G$44)*(1+$B$213)/($H$169-$B$213)/(1+$H$169)^6)+('00-三表与联动'!$B$10-'00-三表与联动'!$B$11))/'00-三表与联动'!$B$9</f>
        <v>1373.1906176861</v>
      </c>
      <c r="N169" s="39"/>
    </row>
    <row r="170" customFormat="false" ht="18.75" hidden="false" customHeight="true" outlineLevel="0" collapsed="false">
      <c r="A170" s="138" t="n">
        <f aca="false">$B$211+0</f>
        <v>0.11</v>
      </c>
      <c r="B170" s="103" t="n">
        <f aca="false">IF($A$170&lt;=B$167,"n/a",($B$62*(1+$B$211)^3.5/(1+$A$170)^3.5+$G$45*(1+B$167)/($A$170-B$167)/(1+$A$170)^6)+('00-三表与联动'!$B$10-'00-三表与联动'!$B$11))/'00-三表与联动'!$B$9</f>
        <v>987.65322864939</v>
      </c>
      <c r="C170" s="103" t="n">
        <f aca="false">IF($A$170&lt;=C$167,"n/a",($B$62*(1+$B$211)^3.5/(1+$A$170)^3.5+$G$45*(1+C$167)/($A$170-C$167)/(1+$A$170)^6)+('00-三表与联动'!$B$10-'00-三表与联动'!$B$11))/'00-三表与联动'!$B$9</f>
        <v>1025.25006682407</v>
      </c>
      <c r="D170" s="139" t="n">
        <f aca="false">IF($A$170&lt;=D$167,"n/a",($B$62*(1+$B$211)^3.5/(1+$A$170)^3.5+$G$45*(1+D$167)/($A$170-D$167)/(1+$A$170)^6)+('00-三表与联动'!$B$10-'00-三表与联动'!$B$11))/'00-三表与联动'!$B$9</f>
        <v>1067.54650977058</v>
      </c>
      <c r="E170" s="103" t="n">
        <f aca="false">IF($A$170&lt;=E$167,"n/a",($B$62*(1+$B$211)^3.5/(1+$A$170)^3.5+$G$45*(1+E$167)/($A$170-E$167)/(1+$A$170)^6)+('00-三表与联动'!$B$10-'00-三表与联动'!$B$11))/'00-三表与联动'!$B$9</f>
        <v>1115.48247844329</v>
      </c>
      <c r="F170" s="103" t="n">
        <f aca="false">IF($A$170&lt;=F$167,"n/a",($B$62*(1+$B$211)^3.5/(1+$A$170)^3.5+$G$45*(1+F$167)/($A$170-F$167)/(1+$A$170)^6)+('00-三表与联动'!$B$10-'00-三表与联动'!$B$11))/'00-三表与联动'!$B$9</f>
        <v>1170.26644264068</v>
      </c>
      <c r="G170" s="39"/>
      <c r="H170" s="138" t="n">
        <f aca="false">$B$211+0</f>
        <v>0.11</v>
      </c>
      <c r="I170" s="103" t="n">
        <f aca="false">IF($H$170&lt;=$B$213,"n/a",($B$62*(1+$B$211)^3.5/(1+$H$170)^3.5+(($G$32*I$167-$G$32*$B$199)*(1-$B$201)+$G$40+($G$41+$G$42)+$G$44)*(1+$B$213)/($H$170-$B$213)/(1+$H$170)^6)+('00-三表与联动'!$B$10-'00-三表与联动'!$B$11))/'00-三表与联动'!$B$9</f>
        <v>938.610086675621</v>
      </c>
      <c r="J170" s="103" t="n">
        <f aca="false">IF($H$170&lt;=$B$213,"n/a",($B$62*(1+$B$211)^3.5/(1+$H$170)^3.5+(($G$32*J$167-$G$32*$B$199)*(1-$B$201)+$G$40+($G$41+$G$42)+$G$44)*(1+$B$213)/($H$170-$B$213)/(1+$H$170)^6)+('00-三表与联动'!$B$10-'00-三表与联动'!$B$11))/'00-三表与联动'!$B$9</f>
        <v>1003.0782982231</v>
      </c>
      <c r="K170" s="139" t="n">
        <f aca="false">IF($H$170&lt;=$B$213,"n/a",($B$62*(1+$B$211)^3.5/(1+$H$170)^3.5+(($G$32*K$167-$G$32*$B$199)*(1-$B$201)+$G$40+($G$41+$G$42)+$G$44)*(1+$B$213)/($H$170-$B$213)/(1+$H$170)^6)+('00-三表与联动'!$B$10-'00-三表与联动'!$B$11))/'00-三表与联动'!$B$9</f>
        <v>1067.54650977058</v>
      </c>
      <c r="L170" s="103" t="n">
        <f aca="false">IF($H$170&lt;=$B$213,"n/a",($B$62*(1+$B$211)^3.5/(1+$H$170)^3.5+(($G$32*L$167-$G$32*$B$199)*(1-$B$201)+$G$40+($G$41+$G$42)+$G$44)*(1+$B$213)/($H$170-$B$213)/(1+$H$170)^6)+('00-三表与联动'!$B$10-'00-三表与联动'!$B$11))/'00-三表与联动'!$B$9</f>
        <v>1132.01472131806</v>
      </c>
      <c r="M170" s="103" t="n">
        <f aca="false">IF($H$170&lt;=$B$213,"n/a",($B$62*(1+$B$211)^3.5/(1+$H$170)^3.5+(($G$32*M$167-$G$32*$B$199)*(1-$B$201)+$G$40+($G$41+$G$42)+$G$44)*(1+$B$213)/($H$170-$B$213)/(1+$H$170)^6)+('00-三表与联动'!$B$10-'00-三表与联动'!$B$11))/'00-三表与联动'!$B$9</f>
        <v>1196.48293286554</v>
      </c>
      <c r="N170" s="39"/>
    </row>
    <row r="171" customFormat="false" ht="18.75" hidden="false" customHeight="true" outlineLevel="0" collapsed="false">
      <c r="A171" s="138" t="n">
        <f aca="false">$B$211+0.01</f>
        <v>0.12</v>
      </c>
      <c r="B171" s="103" t="n">
        <f aca="false">IF($A$171&lt;=B$167,"n/a",($B$62*(1+$B$211)^3.5/(1+$A$171)^3.5+$G$45*(1+B$167)/($A$171-B$167)/(1+$A$171)^6)+('00-三表与联动'!$B$10-'00-三表与联动'!$B$11))/'00-三表与联动'!$B$9</f>
        <v>889.51335663352</v>
      </c>
      <c r="C171" s="103" t="n">
        <f aca="false">IF($A$171&lt;=C$167,"n/a",($B$62*(1+$B$211)^3.5/(1+$A$171)^3.5+$G$45*(1+C$167)/($A$171-C$167)/(1+$A$171)^6)+('00-三表与联动'!$B$10-'00-三表与联动'!$B$11))/'00-三表与联动'!$B$9</f>
        <v>918.461047993768</v>
      </c>
      <c r="D171" s="103" t="n">
        <f aca="false">IF($A$171&lt;=D$167,"n/a",($B$62*(1+$B$211)^3.5/(1+$A$171)^3.5+$G$45*(1+D$167)/($A$171-D$167)/(1+$A$171)^6)+('00-三表与联动'!$B$10-'00-三表与联动'!$B$11))/'00-三表与联动'!$B$9</f>
        <v>950.625149505155</v>
      </c>
      <c r="E171" s="103" t="n">
        <f aca="false">IF($A$171&lt;=E$167,"n/a",($B$62*(1+$B$211)^3.5/(1+$A$171)^3.5+$G$45*(1+E$167)/($A$171-E$167)/(1+$A$171)^6)+('00-三表与联动'!$B$10-'00-三表与联动'!$B$11))/'00-三表与联动'!$B$9</f>
        <v>986.573262959058</v>
      </c>
      <c r="F171" s="103" t="n">
        <f aca="false">IF($A$171&lt;=F$167,"n/a",($B$62*(1+$B$211)^3.5/(1+$A$171)^3.5+$G$45*(1+F$167)/($A$171-F$167)/(1+$A$171)^6)+('00-三表与联动'!$B$10-'00-三表与联动'!$B$11))/'00-三表与联动'!$B$9</f>
        <v>1027.0148905947</v>
      </c>
      <c r="G171" s="39"/>
      <c r="H171" s="138" t="n">
        <f aca="false">$B$211+0.01</f>
        <v>0.12</v>
      </c>
      <c r="I171" s="103" t="n">
        <f aca="false">IF($H$171&lt;=$B$213,"n/a",($B$62*(1+$B$211)^3.5/(1+$H$171)^3.5+(($G$32*I$167-$G$32*$B$199)*(1-$B$201)+$G$40+($G$41+$G$42)+$G$44)*(1+$B$213)/($H$171-$B$213)/(1+$H$171)^6)+('00-三表与联动'!$B$10-'00-三表与联动'!$B$11))/'00-三表与联动'!$B$9</f>
        <v>842.019396203023</v>
      </c>
      <c r="J171" s="103" t="n">
        <f aca="false">IF($H$171&lt;=$B$213,"n/a",($B$62*(1+$B$211)^3.5/(1+$H$171)^3.5+(($G$32*J$167-$G$32*$B$199)*(1-$B$201)+$G$40+($G$41+$G$42)+$G$44)*(1+$B$213)/($H$171-$B$213)/(1+$H$171)^6)+('00-三表与联动'!$B$10-'00-三表与联动'!$B$11))/'00-三表与联动'!$B$9</f>
        <v>896.322272854089</v>
      </c>
      <c r="K171" s="103" t="n">
        <f aca="false">IF($H$171&lt;=$B$213,"n/a",($B$62*(1+$B$211)^3.5/(1+$H$171)^3.5+(($G$32*K$167-$G$32*$B$199)*(1-$B$201)+$G$40+($G$41+$G$42)+$G$44)*(1+$B$213)/($H$171-$B$213)/(1+$H$171)^6)+('00-三表与联动'!$B$10-'00-三表与联动'!$B$11))/'00-三表与联动'!$B$9</f>
        <v>950.625149505155</v>
      </c>
      <c r="L171" s="103" t="n">
        <f aca="false">IF($H$171&lt;=$B$213,"n/a",($B$62*(1+$B$211)^3.5/(1+$H$171)^3.5+(($G$32*L$167-$G$32*$B$199)*(1-$B$201)+$G$40+($G$41+$G$42)+$G$44)*(1+$B$213)/($H$171-$B$213)/(1+$H$171)^6)+('00-三表与联动'!$B$10-'00-三表与联动'!$B$11))/'00-三表与联动'!$B$9</f>
        <v>1004.92802615622</v>
      </c>
      <c r="M171" s="103" t="n">
        <f aca="false">IF($H$171&lt;=$B$213,"n/a",($B$62*(1+$B$211)^3.5/(1+$H$171)^3.5+(($G$32*M$167-$G$32*$B$199)*(1-$B$201)+$G$40+($G$41+$G$42)+$G$44)*(1+$B$213)/($H$171-$B$213)/(1+$H$171)^6)+('00-三表与联动'!$B$10-'00-三表与联动'!$B$11))/'00-三表与联动'!$B$9</f>
        <v>1059.23090280729</v>
      </c>
      <c r="N171" s="39"/>
    </row>
    <row r="172" customFormat="false" ht="18.75" hidden="false" customHeight="true" outlineLevel="0" collapsed="false">
      <c r="A172" s="138" t="n">
        <f aca="false">$B$211+0.02</f>
        <v>0.13</v>
      </c>
      <c r="B172" s="103" t="n">
        <f aca="false">IF($A$172&lt;=B$167,"n/a",($B$62*(1+$B$211)^3.5/(1+$A$172)^3.5+$G$45*(1+B$167)/($A$172-B$167)/(1+$A$172)^6)+('00-三表与联动'!$B$10-'00-三表与联动'!$B$11))/'00-三表与联动'!$B$9</f>
        <v>809.073895949743</v>
      </c>
      <c r="C172" s="103" t="n">
        <f aca="false">IF($A$172&lt;=C$167,"n/a",($B$62*(1+$B$211)^3.5/(1+$A$172)^3.5+$G$45*(1+C$167)/($A$172-C$167)/(1+$A$172)^6)+('00-三表与联动'!$B$10-'00-三表与联动'!$B$11))/'00-三表与联动'!$B$9</f>
        <v>831.848637147173</v>
      </c>
      <c r="D172" s="103" t="n">
        <f aca="false">IF($A$172&lt;=D$167,"n/a",($B$62*(1+$B$211)^3.5/(1+$A$172)^3.5+$G$45*(1+D$167)/($A$172-D$167)/(1+$A$172)^6)+('00-三表与联动'!$B$10-'00-三表与联动'!$B$11))/'00-三表与联动'!$B$9</f>
        <v>856.900852464346</v>
      </c>
      <c r="E172" s="103" t="n">
        <f aca="false">IF($A$172&lt;=E$167,"n/a",($B$62*(1+$B$211)^3.5/(1+$A$172)^3.5+$G$45*(1+E$167)/($A$172-E$167)/(1+$A$172)^6)+('00-三表与联动'!$B$10-'00-三表与联动'!$B$11))/'00-三表与联动'!$B$9</f>
        <v>884.590143078063</v>
      </c>
      <c r="F172" s="103" t="n">
        <f aca="false">IF($A$172&lt;=F$167,"n/a",($B$62*(1+$B$211)^3.5/(1+$A$172)^3.5+$G$45*(1+F$167)/($A$172-F$167)/(1+$A$172)^6)+('00-三表与联动'!$B$10-'00-三表与联动'!$B$11))/'00-三表与联动'!$B$9</f>
        <v>915.356021537749</v>
      </c>
      <c r="G172" s="39"/>
      <c r="H172" s="138" t="n">
        <f aca="false">$B$211+0.02</f>
        <v>0.13</v>
      </c>
      <c r="I172" s="103" t="n">
        <f aca="false">IF($H$172&lt;=$B$213,"n/a",($B$62*(1+$B$211)^3.5/(1+$H$172)^3.5+(($G$32*I$167-$G$32*$B$199)*(1-$B$201)+$G$40+($G$41+$G$42)+$G$44)*(1+$B$213)/($H$172-$B$213)/(1+$H$172)^6)+('00-三表与联动'!$B$10-'00-三表与联动'!$B$11))/'00-三表与联动'!$B$9</f>
        <v>764.232206610018</v>
      </c>
      <c r="J172" s="103" t="n">
        <f aca="false">IF($H$172&lt;=$B$213,"n/a",($B$62*(1+$B$211)^3.5/(1+$H$172)^3.5+(($G$32*J$167-$G$32*$B$199)*(1-$B$201)+$G$40+($G$41+$G$42)+$G$44)*(1+$B$213)/($H$172-$B$213)/(1+$H$172)^6)+('00-三表与联动'!$B$10-'00-三表与联动'!$B$11))/'00-三表与联动'!$B$9</f>
        <v>810.566529537182</v>
      </c>
      <c r="K172" s="103" t="n">
        <f aca="false">IF($H$172&lt;=$B$213,"n/a",($B$62*(1+$B$211)^3.5/(1+$H$172)^3.5+(($G$32*K$167-$G$32*$B$199)*(1-$B$201)+$G$40+($G$41+$G$42)+$G$44)*(1+$B$213)/($H$172-$B$213)/(1+$H$172)^6)+('00-三表与联动'!$B$10-'00-三表与联动'!$B$11))/'00-三表与联动'!$B$9</f>
        <v>856.900852464346</v>
      </c>
      <c r="L172" s="103" t="n">
        <f aca="false">IF($H$172&lt;=$B$213,"n/a",($B$62*(1+$B$211)^3.5/(1+$H$172)^3.5+(($G$32*L$167-$G$32*$B$199)*(1-$B$201)+$G$40+($G$41+$G$42)+$G$44)*(1+$B$213)/($H$172-$B$213)/(1+$H$172)^6)+('00-三表与联动'!$B$10-'00-三表与联动'!$B$11))/'00-三表与联动'!$B$9</f>
        <v>903.23517539151</v>
      </c>
      <c r="M172" s="103" t="n">
        <f aca="false">IF($H$172&lt;=$B$213,"n/a",($B$62*(1+$B$211)^3.5/(1+$H$172)^3.5+(($G$32*M$167-$G$32*$B$199)*(1-$B$201)+$G$40+($G$41+$G$42)+$G$44)*(1+$B$213)/($H$172-$B$213)/(1+$H$172)^6)+('00-三表与联动'!$B$10-'00-三表与联动'!$B$11))/'00-三表与联动'!$B$9</f>
        <v>949.569498318674</v>
      </c>
      <c r="N172" s="39"/>
    </row>
    <row r="173" customFormat="false" ht="24" hidden="false" customHeight="true" outlineLevel="0" collapsed="false">
      <c r="A173" s="13" t="s">
        <v>501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 customFormat="false" ht="33" hidden="false" customHeight="true" outlineLevel="0" collapsed="false">
      <c r="A174" s="140" t="s">
        <v>502</v>
      </c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</row>
    <row r="175" customFormat="false" ht="27" hidden="false" customHeight="true" outlineLevel="0" collapsed="false">
      <c r="A175" s="4" t="s">
        <v>503</v>
      </c>
      <c r="B175" s="4" t="s">
        <v>504</v>
      </c>
      <c r="C175" s="4" t="s">
        <v>505</v>
      </c>
      <c r="D175" s="4"/>
      <c r="E175" s="4" t="s">
        <v>506</v>
      </c>
      <c r="F175" s="4"/>
      <c r="G175" s="4"/>
      <c r="H175" s="4"/>
      <c r="I175" s="4"/>
      <c r="J175" s="4" t="s">
        <v>507</v>
      </c>
      <c r="K175" s="4"/>
      <c r="L175" s="4"/>
      <c r="M175" s="4"/>
      <c r="N175" s="4"/>
    </row>
    <row r="176" customFormat="false" ht="43.5" hidden="false" customHeight="true" outlineLevel="0" collapsed="false">
      <c r="A176" s="128" t="s">
        <v>508</v>
      </c>
      <c r="B176" s="185" t="s">
        <v>615</v>
      </c>
      <c r="C176" s="48" t="s">
        <v>616</v>
      </c>
      <c r="D176" s="48"/>
      <c r="E176" s="144" t="s">
        <v>617</v>
      </c>
      <c r="F176" s="144"/>
      <c r="G176" s="144"/>
      <c r="H176" s="144"/>
      <c r="I176" s="144"/>
      <c r="J176" s="143" t="s">
        <v>618</v>
      </c>
      <c r="K176" s="143"/>
      <c r="L176" s="143"/>
      <c r="M176" s="143"/>
      <c r="N176" s="143"/>
    </row>
    <row r="177" customFormat="false" ht="43.5" hidden="false" customHeight="true" outlineLevel="0" collapsed="false">
      <c r="A177" s="68" t="s">
        <v>619</v>
      </c>
      <c r="B177" s="185" t="s">
        <v>620</v>
      </c>
      <c r="C177" s="48" t="s">
        <v>621</v>
      </c>
      <c r="D177" s="48"/>
      <c r="E177" s="144" t="s">
        <v>622</v>
      </c>
      <c r="F177" s="144"/>
      <c r="G177" s="144"/>
      <c r="H177" s="144"/>
      <c r="I177" s="144"/>
      <c r="J177" s="143" t="s">
        <v>623</v>
      </c>
      <c r="K177" s="143"/>
      <c r="L177" s="143"/>
      <c r="M177" s="143"/>
      <c r="N177" s="143"/>
    </row>
    <row r="178" customFormat="false" ht="43.5" hidden="false" customHeight="true" outlineLevel="0" collapsed="false">
      <c r="A178" s="68" t="s">
        <v>624</v>
      </c>
      <c r="B178" s="186" t="s">
        <v>625</v>
      </c>
      <c r="C178" s="48" t="s">
        <v>626</v>
      </c>
      <c r="D178" s="48"/>
      <c r="E178" s="144" t="s">
        <v>627</v>
      </c>
      <c r="F178" s="144"/>
      <c r="G178" s="144"/>
      <c r="H178" s="144"/>
      <c r="I178" s="144"/>
      <c r="J178" s="145" t="s">
        <v>628</v>
      </c>
      <c r="K178" s="145"/>
      <c r="L178" s="145"/>
      <c r="M178" s="145"/>
      <c r="N178" s="145"/>
    </row>
    <row r="179" customFormat="false" ht="39.75" hidden="false" customHeight="true" outlineLevel="0" collapsed="false">
      <c r="A179" s="68" t="s">
        <v>629</v>
      </c>
      <c r="B179" s="186" t="s">
        <v>630</v>
      </c>
      <c r="C179" s="48" t="s">
        <v>631</v>
      </c>
      <c r="D179" s="48"/>
      <c r="E179" s="142" t="s">
        <v>632</v>
      </c>
      <c r="F179" s="142"/>
      <c r="G179" s="142"/>
      <c r="H179" s="142"/>
      <c r="I179" s="142"/>
      <c r="J179" s="143" t="s">
        <v>633</v>
      </c>
      <c r="K179" s="143"/>
      <c r="L179" s="143"/>
      <c r="M179" s="143"/>
      <c r="N179" s="143"/>
    </row>
    <row r="180" customFormat="false" ht="39.75" hidden="false" customHeight="true" outlineLevel="0" collapsed="false">
      <c r="A180" s="128" t="s">
        <v>634</v>
      </c>
      <c r="B180" s="186" t="s">
        <v>635</v>
      </c>
      <c r="C180" s="49" t="s">
        <v>530</v>
      </c>
      <c r="D180" s="49"/>
      <c r="E180" s="142" t="s">
        <v>636</v>
      </c>
      <c r="F180" s="142"/>
      <c r="G180" s="142"/>
      <c r="H180" s="142"/>
      <c r="I180" s="142"/>
      <c r="J180" s="145" t="s">
        <v>637</v>
      </c>
      <c r="K180" s="145"/>
      <c r="L180" s="145"/>
      <c r="M180" s="145"/>
      <c r="N180" s="145"/>
    </row>
    <row r="181" customFormat="false" ht="33" hidden="false" customHeight="true" outlineLevel="0" collapsed="false">
      <c r="A181" s="43" t="s">
        <v>533</v>
      </c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</row>
    <row r="183" customFormat="false" ht="33" hidden="false" customHeight="true" outlineLevel="0" collapsed="false">
      <c r="A183" s="43" t="s">
        <v>534</v>
      </c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</row>
    <row r="186" customFormat="false" ht="24" hidden="false" customHeight="true" outlineLevel="0" collapsed="false">
      <c r="A186" s="13" t="s">
        <v>638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 customFormat="false" ht="33" hidden="false" customHeight="true" outlineLevel="0" collapsed="false">
      <c r="A187" s="74" t="s">
        <v>536</v>
      </c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</row>
    <row r="188" customFormat="false" ht="27" hidden="false" customHeight="true" outlineLevel="0" collapsed="false">
      <c r="A188" s="4" t="s">
        <v>328</v>
      </c>
      <c r="B188" s="4" t="s">
        <v>466</v>
      </c>
      <c r="C188" s="4" t="s">
        <v>467</v>
      </c>
      <c r="D188" s="4"/>
      <c r="E188" s="4"/>
      <c r="F188" s="4"/>
      <c r="G188" s="4"/>
      <c r="H188" s="4" t="s">
        <v>468</v>
      </c>
      <c r="I188" s="4" t="s">
        <v>469</v>
      </c>
      <c r="J188" s="4" t="s">
        <v>94</v>
      </c>
      <c r="K188" s="4"/>
      <c r="L188" s="4"/>
      <c r="M188" s="4"/>
      <c r="N188" s="4"/>
    </row>
    <row r="189" customFormat="false" ht="30" hidden="false" customHeight="true" outlineLevel="0" collapsed="false">
      <c r="A189" s="128" t="s">
        <v>537</v>
      </c>
      <c r="B189" s="187" t="n">
        <f aca="false">H189*500</f>
        <v>53000</v>
      </c>
      <c r="C189" s="123"/>
      <c r="D189" s="123"/>
      <c r="E189" s="123"/>
      <c r="F189" s="123"/>
      <c r="G189" s="123"/>
      <c r="H189" s="124" t="n">
        <v>106</v>
      </c>
      <c r="I189" s="125" t="s">
        <v>538</v>
      </c>
      <c r="J189" s="148" t="s">
        <v>539</v>
      </c>
      <c r="K189" s="148"/>
      <c r="L189" s="148"/>
      <c r="M189" s="148"/>
      <c r="N189" s="148"/>
    </row>
    <row r="190" customFormat="false" ht="30" hidden="false" customHeight="true" outlineLevel="0" collapsed="false">
      <c r="A190" s="128"/>
      <c r="B190" s="187"/>
      <c r="C190" s="123"/>
      <c r="D190" s="123"/>
      <c r="E190" s="123"/>
      <c r="F190" s="123"/>
      <c r="G190" s="123"/>
      <c r="H190" s="124"/>
      <c r="I190" s="125"/>
      <c r="J190" s="125"/>
      <c r="K190" s="148"/>
      <c r="L190" s="148"/>
      <c r="M190" s="148"/>
      <c r="N190" s="148"/>
    </row>
    <row r="191" customFormat="false" ht="30" hidden="false" customHeight="true" outlineLevel="0" collapsed="false">
      <c r="A191" s="128" t="s">
        <v>540</v>
      </c>
      <c r="B191" s="188" t="n">
        <f aca="false">(H191-100)/1000</f>
        <v>0</v>
      </c>
      <c r="C191" s="123"/>
      <c r="D191" s="123"/>
      <c r="E191" s="123"/>
      <c r="F191" s="123"/>
      <c r="G191" s="123"/>
      <c r="H191" s="124" t="n">
        <v>100</v>
      </c>
      <c r="I191" s="125" t="s">
        <v>541</v>
      </c>
      <c r="J191" s="126" t="s">
        <v>542</v>
      </c>
      <c r="K191" s="126"/>
      <c r="L191" s="126"/>
      <c r="M191" s="126"/>
      <c r="N191" s="126"/>
    </row>
    <row r="192" customFormat="false" ht="30" hidden="false" customHeight="true" outlineLevel="0" collapsed="false">
      <c r="A192" s="128"/>
      <c r="B192" s="188"/>
      <c r="C192" s="123"/>
      <c r="D192" s="123"/>
      <c r="E192" s="123"/>
      <c r="F192" s="123"/>
      <c r="G192" s="123"/>
      <c r="H192" s="124"/>
      <c r="I192" s="125"/>
      <c r="J192" s="125"/>
      <c r="K192" s="126"/>
      <c r="L192" s="126"/>
      <c r="M192" s="126"/>
      <c r="N192" s="126"/>
    </row>
    <row r="193" customFormat="false" ht="30" hidden="false" customHeight="true" outlineLevel="0" collapsed="false">
      <c r="A193" s="68" t="s">
        <v>543</v>
      </c>
      <c r="B193" s="188" t="n">
        <f aca="false">(H193-150)/1000</f>
        <v>0</v>
      </c>
      <c r="C193" s="123"/>
      <c r="D193" s="123"/>
      <c r="E193" s="123"/>
      <c r="F193" s="123"/>
      <c r="G193" s="123"/>
      <c r="H193" s="124" t="n">
        <v>150</v>
      </c>
      <c r="I193" s="125" t="s">
        <v>544</v>
      </c>
      <c r="J193" s="126" t="s">
        <v>545</v>
      </c>
      <c r="K193" s="126"/>
      <c r="L193" s="126"/>
      <c r="M193" s="126"/>
      <c r="N193" s="126"/>
    </row>
    <row r="194" customFormat="false" ht="30" hidden="false" customHeight="true" outlineLevel="0" collapsed="false">
      <c r="A194" s="68"/>
      <c r="B194" s="188"/>
      <c r="C194" s="123"/>
      <c r="D194" s="123"/>
      <c r="E194" s="123"/>
      <c r="F194" s="123"/>
      <c r="G194" s="123"/>
      <c r="H194" s="124"/>
      <c r="I194" s="125"/>
      <c r="J194" s="125"/>
      <c r="K194" s="126"/>
      <c r="L194" s="126"/>
      <c r="M194" s="126"/>
      <c r="N194" s="126"/>
    </row>
    <row r="195" customFormat="false" ht="30" hidden="false" customHeight="true" outlineLevel="0" collapsed="false">
      <c r="A195" s="68" t="s">
        <v>546</v>
      </c>
      <c r="B195" s="182" t="n">
        <f aca="false">H195/1000</f>
        <v>0.68</v>
      </c>
      <c r="C195" s="123"/>
      <c r="D195" s="123"/>
      <c r="E195" s="123"/>
      <c r="F195" s="123"/>
      <c r="G195" s="123"/>
      <c r="H195" s="124" t="n">
        <v>680</v>
      </c>
      <c r="I195" s="125" t="s">
        <v>547</v>
      </c>
      <c r="J195" s="126" t="s">
        <v>548</v>
      </c>
      <c r="K195" s="126"/>
      <c r="L195" s="126"/>
      <c r="M195" s="126"/>
      <c r="N195" s="126"/>
    </row>
    <row r="196" customFormat="false" ht="30" hidden="false" customHeight="true" outlineLevel="0" collapsed="false">
      <c r="A196" s="68"/>
      <c r="B196" s="182"/>
      <c r="C196" s="123"/>
      <c r="D196" s="123"/>
      <c r="E196" s="123"/>
      <c r="F196" s="123"/>
      <c r="G196" s="123"/>
      <c r="H196" s="124"/>
      <c r="I196" s="125"/>
      <c r="J196" s="125"/>
      <c r="K196" s="126"/>
      <c r="L196" s="126"/>
      <c r="M196" s="126"/>
      <c r="N196" s="126"/>
    </row>
    <row r="197" customFormat="false" ht="30" hidden="false" customHeight="true" outlineLevel="0" collapsed="false">
      <c r="A197" s="128" t="s">
        <v>549</v>
      </c>
      <c r="B197" s="188" t="n">
        <f aca="false">(H197-100)/1000</f>
        <v>0</v>
      </c>
      <c r="C197" s="123"/>
      <c r="D197" s="123"/>
      <c r="E197" s="123"/>
      <c r="F197" s="123"/>
      <c r="G197" s="123"/>
      <c r="H197" s="124" t="n">
        <v>100</v>
      </c>
      <c r="I197" s="125" t="s">
        <v>550</v>
      </c>
      <c r="J197" s="126" t="s">
        <v>551</v>
      </c>
      <c r="K197" s="126"/>
      <c r="L197" s="126"/>
      <c r="M197" s="126"/>
      <c r="N197" s="126"/>
    </row>
    <row r="198" customFormat="false" ht="30" hidden="false" customHeight="true" outlineLevel="0" collapsed="false">
      <c r="A198" s="128"/>
      <c r="B198" s="188"/>
      <c r="C198" s="123"/>
      <c r="D198" s="123"/>
      <c r="E198" s="123"/>
      <c r="F198" s="123"/>
      <c r="G198" s="123"/>
      <c r="H198" s="124"/>
      <c r="I198" s="125"/>
      <c r="J198" s="125"/>
      <c r="K198" s="126"/>
      <c r="L198" s="126"/>
      <c r="M198" s="126"/>
      <c r="N198" s="126"/>
    </row>
    <row r="199" customFormat="false" ht="30" hidden="false" customHeight="true" outlineLevel="0" collapsed="false">
      <c r="A199" s="68" t="s">
        <v>552</v>
      </c>
      <c r="B199" s="182" t="n">
        <f aca="false">H199/1000</f>
        <v>0.042</v>
      </c>
      <c r="C199" s="123"/>
      <c r="D199" s="123"/>
      <c r="E199" s="123"/>
      <c r="F199" s="123"/>
      <c r="G199" s="123"/>
      <c r="H199" s="124" t="n">
        <v>42</v>
      </c>
      <c r="I199" s="125" t="s">
        <v>553</v>
      </c>
      <c r="J199" s="148" t="s">
        <v>554</v>
      </c>
      <c r="K199" s="148"/>
      <c r="L199" s="148"/>
      <c r="M199" s="148"/>
      <c r="N199" s="148"/>
    </row>
    <row r="200" customFormat="false" ht="30" hidden="false" customHeight="true" outlineLevel="0" collapsed="false">
      <c r="A200" s="68"/>
      <c r="B200" s="182"/>
      <c r="C200" s="123"/>
      <c r="D200" s="123"/>
      <c r="E200" s="123"/>
      <c r="F200" s="123"/>
      <c r="G200" s="123"/>
      <c r="H200" s="124"/>
      <c r="I200" s="125"/>
      <c r="J200" s="125"/>
      <c r="K200" s="148"/>
      <c r="L200" s="148"/>
      <c r="M200" s="148"/>
      <c r="N200" s="148"/>
    </row>
    <row r="201" customFormat="false" ht="30" hidden="false" customHeight="true" outlineLevel="0" collapsed="false">
      <c r="A201" s="68" t="s">
        <v>555</v>
      </c>
      <c r="B201" s="182" t="n">
        <f aca="false">H201/1000</f>
        <v>0.165</v>
      </c>
      <c r="C201" s="123"/>
      <c r="D201" s="123"/>
      <c r="E201" s="123"/>
      <c r="F201" s="123"/>
      <c r="G201" s="123"/>
      <c r="H201" s="124" t="n">
        <v>165</v>
      </c>
      <c r="I201" s="125" t="s">
        <v>556</v>
      </c>
      <c r="J201" s="148" t="s">
        <v>557</v>
      </c>
      <c r="K201" s="148"/>
      <c r="L201" s="148"/>
      <c r="M201" s="148"/>
      <c r="N201" s="148"/>
    </row>
    <row r="202" customFormat="false" ht="30" hidden="false" customHeight="true" outlineLevel="0" collapsed="false">
      <c r="A202" s="68"/>
      <c r="B202" s="182"/>
      <c r="C202" s="123"/>
      <c r="D202" s="123"/>
      <c r="E202" s="123"/>
      <c r="F202" s="123"/>
      <c r="G202" s="123"/>
      <c r="H202" s="124"/>
      <c r="I202" s="125"/>
      <c r="J202" s="125"/>
      <c r="K202" s="148"/>
      <c r="L202" s="148"/>
      <c r="M202" s="148"/>
      <c r="N202" s="148"/>
    </row>
    <row r="203" customFormat="false" ht="30" hidden="false" customHeight="true" outlineLevel="0" collapsed="false">
      <c r="A203" s="68" t="s">
        <v>558</v>
      </c>
      <c r="B203" s="182" t="n">
        <f aca="false">H203/1000</f>
        <v>0.18</v>
      </c>
      <c r="C203" s="123"/>
      <c r="D203" s="123"/>
      <c r="E203" s="123"/>
      <c r="F203" s="123"/>
      <c r="G203" s="123"/>
      <c r="H203" s="124" t="n">
        <v>180</v>
      </c>
      <c r="I203" s="125" t="s">
        <v>559</v>
      </c>
      <c r="J203" s="148" t="s">
        <v>560</v>
      </c>
      <c r="K203" s="148"/>
      <c r="L203" s="148"/>
      <c r="M203" s="148"/>
      <c r="N203" s="148"/>
    </row>
    <row r="204" customFormat="false" ht="30" hidden="false" customHeight="true" outlineLevel="0" collapsed="false">
      <c r="A204" s="68"/>
      <c r="B204" s="182"/>
      <c r="C204" s="123"/>
      <c r="D204" s="123"/>
      <c r="E204" s="123"/>
      <c r="F204" s="123"/>
      <c r="G204" s="123"/>
      <c r="H204" s="124"/>
      <c r="I204" s="125"/>
      <c r="J204" s="125"/>
      <c r="K204" s="148"/>
      <c r="L204" s="148"/>
      <c r="M204" s="148"/>
      <c r="N204" s="148"/>
    </row>
    <row r="205" customFormat="false" ht="30" hidden="false" customHeight="true" outlineLevel="0" collapsed="false">
      <c r="A205" s="68" t="s">
        <v>561</v>
      </c>
      <c r="B205" s="182" t="n">
        <f aca="false">H205/1000</f>
        <v>0.1</v>
      </c>
      <c r="C205" s="123"/>
      <c r="D205" s="123"/>
      <c r="E205" s="123"/>
      <c r="F205" s="123"/>
      <c r="G205" s="123"/>
      <c r="H205" s="124" t="n">
        <v>100</v>
      </c>
      <c r="I205" s="125" t="s">
        <v>562</v>
      </c>
      <c r="J205" s="148" t="s">
        <v>563</v>
      </c>
      <c r="K205" s="148"/>
      <c r="L205" s="148"/>
      <c r="M205" s="148"/>
      <c r="N205" s="148"/>
    </row>
    <row r="206" customFormat="false" ht="30" hidden="false" customHeight="true" outlineLevel="0" collapsed="false">
      <c r="A206" s="68"/>
      <c r="B206" s="182"/>
      <c r="C206" s="123"/>
      <c r="D206" s="123"/>
      <c r="E206" s="123"/>
      <c r="F206" s="123"/>
      <c r="G206" s="123"/>
      <c r="H206" s="124"/>
      <c r="I206" s="125"/>
      <c r="J206" s="125"/>
      <c r="K206" s="148"/>
      <c r="L206" s="148"/>
      <c r="M206" s="148"/>
      <c r="N206" s="148"/>
    </row>
    <row r="207" customFormat="false" ht="30" hidden="false" customHeight="true" outlineLevel="0" collapsed="false">
      <c r="A207" s="68" t="s">
        <v>564</v>
      </c>
      <c r="B207" s="182" t="n">
        <f aca="false">H207/1000</f>
        <v>0.075</v>
      </c>
      <c r="C207" s="123"/>
      <c r="D207" s="123"/>
      <c r="E207" s="123"/>
      <c r="F207" s="123"/>
      <c r="G207" s="123"/>
      <c r="H207" s="124" t="n">
        <v>75</v>
      </c>
      <c r="I207" s="125" t="s">
        <v>565</v>
      </c>
      <c r="J207" s="148" t="s">
        <v>566</v>
      </c>
      <c r="K207" s="148"/>
      <c r="L207" s="148"/>
      <c r="M207" s="148"/>
      <c r="N207" s="148"/>
    </row>
    <row r="208" customFormat="false" ht="30" hidden="false" customHeight="true" outlineLevel="0" collapsed="false">
      <c r="A208" s="68"/>
      <c r="B208" s="182"/>
      <c r="C208" s="123"/>
      <c r="D208" s="123"/>
      <c r="E208" s="123"/>
      <c r="F208" s="123"/>
      <c r="G208" s="123"/>
      <c r="H208" s="124"/>
      <c r="I208" s="125"/>
      <c r="J208" s="125"/>
      <c r="K208" s="148"/>
      <c r="L208" s="148"/>
      <c r="M208" s="148"/>
      <c r="N208" s="148"/>
    </row>
    <row r="209" customFormat="false" ht="30" hidden="false" customHeight="true" outlineLevel="0" collapsed="false">
      <c r="A209" s="68" t="s">
        <v>567</v>
      </c>
      <c r="B209" s="182" t="n">
        <f aca="false">H209/1000</f>
        <v>0.15</v>
      </c>
      <c r="C209" s="123"/>
      <c r="D209" s="123"/>
      <c r="E209" s="123"/>
      <c r="F209" s="123"/>
      <c r="G209" s="123"/>
      <c r="H209" s="124" t="n">
        <v>150</v>
      </c>
      <c r="I209" s="125" t="s">
        <v>568</v>
      </c>
      <c r="J209" s="126" t="s">
        <v>569</v>
      </c>
      <c r="K209" s="126"/>
      <c r="L209" s="126"/>
      <c r="M209" s="126"/>
      <c r="N209" s="126"/>
    </row>
    <row r="210" customFormat="false" ht="30" hidden="false" customHeight="true" outlineLevel="0" collapsed="false">
      <c r="A210" s="68"/>
      <c r="B210" s="182"/>
      <c r="C210" s="123"/>
      <c r="D210" s="123"/>
      <c r="E210" s="123"/>
      <c r="F210" s="123"/>
      <c r="G210" s="123"/>
      <c r="H210" s="124"/>
      <c r="I210" s="125"/>
      <c r="J210" s="125"/>
      <c r="K210" s="126"/>
      <c r="L210" s="126"/>
      <c r="M210" s="126"/>
      <c r="N210" s="126"/>
    </row>
    <row r="211" customFormat="false" ht="30" hidden="false" customHeight="true" outlineLevel="0" collapsed="false">
      <c r="A211" s="68" t="s">
        <v>570</v>
      </c>
      <c r="B211" s="182" t="n">
        <f aca="false">H211/1000</f>
        <v>0.11</v>
      </c>
      <c r="C211" s="123"/>
      <c r="D211" s="123"/>
      <c r="E211" s="123"/>
      <c r="F211" s="123"/>
      <c r="G211" s="123"/>
      <c r="H211" s="124" t="n">
        <v>110</v>
      </c>
      <c r="I211" s="125" t="s">
        <v>571</v>
      </c>
      <c r="J211" s="148" t="s">
        <v>572</v>
      </c>
      <c r="K211" s="148"/>
      <c r="L211" s="148"/>
      <c r="M211" s="148"/>
      <c r="N211" s="148"/>
    </row>
    <row r="212" customFormat="false" ht="30" hidden="false" customHeight="true" outlineLevel="0" collapsed="false">
      <c r="A212" s="68"/>
      <c r="B212" s="182"/>
      <c r="C212" s="123"/>
      <c r="D212" s="123"/>
      <c r="E212" s="123"/>
      <c r="F212" s="123"/>
      <c r="G212" s="123"/>
      <c r="H212" s="124"/>
      <c r="I212" s="125"/>
      <c r="J212" s="125"/>
      <c r="K212" s="148"/>
      <c r="L212" s="148"/>
      <c r="M212" s="148"/>
      <c r="N212" s="148"/>
    </row>
    <row r="213" customFormat="false" ht="30" hidden="false" customHeight="true" outlineLevel="0" collapsed="false">
      <c r="A213" s="68" t="s">
        <v>573</v>
      </c>
      <c r="B213" s="182" t="n">
        <f aca="false">H213/1000</f>
        <v>0.03</v>
      </c>
      <c r="C213" s="123"/>
      <c r="D213" s="123"/>
      <c r="E213" s="123"/>
      <c r="F213" s="123"/>
      <c r="G213" s="123"/>
      <c r="H213" s="124" t="n">
        <v>30</v>
      </c>
      <c r="I213" s="125" t="s">
        <v>574</v>
      </c>
      <c r="J213" s="126" t="s">
        <v>575</v>
      </c>
      <c r="K213" s="126"/>
      <c r="L213" s="126"/>
      <c r="M213" s="126"/>
      <c r="N213" s="126"/>
    </row>
    <row r="214" customFormat="false" ht="30" hidden="false" customHeight="true" outlineLevel="0" collapsed="false">
      <c r="A214" s="68"/>
      <c r="B214" s="182"/>
      <c r="C214" s="123"/>
      <c r="D214" s="123"/>
      <c r="E214" s="123"/>
      <c r="F214" s="123"/>
      <c r="G214" s="123"/>
      <c r="H214" s="124"/>
      <c r="I214" s="125"/>
      <c r="J214" s="125"/>
      <c r="K214" s="126"/>
      <c r="L214" s="126"/>
      <c r="M214" s="126"/>
      <c r="N214" s="126"/>
    </row>
    <row r="215" customFormat="false" ht="24" hidden="false" customHeight="true" outlineLevel="0" collapsed="false">
      <c r="A215" s="13" t="s">
        <v>576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 customFormat="false" ht="27" hidden="false" customHeight="true" outlineLevel="0" collapsed="false">
      <c r="A216" s="4" t="s">
        <v>28</v>
      </c>
      <c r="B216" s="4" t="s">
        <v>29</v>
      </c>
      <c r="C216" s="4" t="s">
        <v>577</v>
      </c>
      <c r="D216" s="4" t="s">
        <v>578</v>
      </c>
      <c r="E216" s="14" t="s">
        <v>31</v>
      </c>
      <c r="F216" s="14" t="s">
        <v>32</v>
      </c>
      <c r="G216" s="14" t="s">
        <v>579</v>
      </c>
      <c r="H216" s="14" t="s">
        <v>580</v>
      </c>
      <c r="I216" s="14" t="s">
        <v>581</v>
      </c>
      <c r="J216" s="14" t="s">
        <v>33</v>
      </c>
      <c r="K216" s="14" t="s">
        <v>582</v>
      </c>
      <c r="L216" s="4" t="s">
        <v>583</v>
      </c>
      <c r="M216" s="4"/>
      <c r="N216" s="4"/>
    </row>
    <row r="217" customFormat="false" ht="30" hidden="false" customHeight="true" outlineLevel="0" collapsed="false">
      <c r="A217" s="189" t="n">
        <f aca="false">B72</f>
        <v>1081.85680296175</v>
      </c>
      <c r="B217" s="190" t="n">
        <f aca="false">B74</f>
        <v>0.19795015221268</v>
      </c>
      <c r="C217" s="191" t="n">
        <f aca="false">B65</f>
        <v>0.642579925095869</v>
      </c>
      <c r="D217" s="192" t="n">
        <f aca="false">B66</f>
        <v>1219702.32340601</v>
      </c>
      <c r="E217" s="192" t="n">
        <f aca="false">F13</f>
        <v>205000.088743726</v>
      </c>
      <c r="F217" s="193" t="n">
        <f aca="false">F16/F13</f>
        <v>0.826560960033906</v>
      </c>
      <c r="G217" s="192" t="n">
        <f aca="false">F18</f>
        <v>160835.066431813</v>
      </c>
      <c r="H217" s="194" t="n">
        <f aca="false">F18*(1-$B$201)/'00-三表与联动'!$B$9</f>
        <v>116.780243887447</v>
      </c>
      <c r="I217" s="192" t="n">
        <f aca="false">G32</f>
        <v>257974.998076354</v>
      </c>
      <c r="J217" s="193" t="n">
        <f aca="false">G34</f>
        <v>0.68</v>
      </c>
      <c r="K217" s="193" t="n">
        <f aca="false">G45/G32</f>
        <v>0.432093636363636</v>
      </c>
      <c r="L217" s="195" t="n">
        <f aca="false">B63/(G37+G40)</f>
        <v>7.96987903225807</v>
      </c>
      <c r="M217" s="39"/>
      <c r="N217" s="39"/>
    </row>
    <row r="219" customFormat="false" ht="24" hidden="false" customHeight="true" outlineLevel="0" collapsed="false">
      <c r="A219" s="121" t="s">
        <v>584</v>
      </c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</row>
    <row r="220" customFormat="false" ht="33" hidden="false" customHeight="true" outlineLevel="0" collapsed="false">
      <c r="A220" s="43" t="s">
        <v>585</v>
      </c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</row>
    <row r="221" customFormat="false" ht="27" hidden="false" customHeight="true" outlineLevel="0" collapsed="false">
      <c r="A221" s="4" t="s">
        <v>586</v>
      </c>
      <c r="B221" s="4" t="s">
        <v>587</v>
      </c>
      <c r="C221" s="4"/>
      <c r="D221" s="4" t="s">
        <v>29</v>
      </c>
      <c r="E221" s="4" t="s">
        <v>94</v>
      </c>
      <c r="F221" s="4"/>
      <c r="G221" s="4"/>
      <c r="H221" s="4"/>
      <c r="I221" s="4"/>
      <c r="J221" s="4"/>
      <c r="K221" s="4"/>
      <c r="L221" s="4"/>
      <c r="M221" s="4"/>
      <c r="N221" s="4"/>
    </row>
    <row r="222" customFormat="false" ht="21.75" hidden="false" customHeight="true" outlineLevel="0" collapsed="false">
      <c r="A222" s="158" t="s">
        <v>588</v>
      </c>
      <c r="B222" s="196" t="n">
        <f aca="false">B72</f>
        <v>1081.85680296175</v>
      </c>
      <c r="C222" s="196"/>
      <c r="D222" s="160" t="n">
        <f aca="false">B222/'00-三表与联动'!$B$6-1</f>
        <v>0.19795015221268</v>
      </c>
      <c r="E222" s="49" t="s">
        <v>589</v>
      </c>
      <c r="F222" s="49"/>
      <c r="G222" s="49"/>
      <c r="H222" s="49"/>
      <c r="I222" s="49"/>
      <c r="J222" s="49"/>
      <c r="K222" s="49"/>
      <c r="L222" s="49"/>
      <c r="M222" s="49"/>
      <c r="N222" s="49"/>
    </row>
    <row r="223" customFormat="false" ht="21.75" hidden="false" customHeight="true" outlineLevel="0" collapsed="false">
      <c r="A223" s="158" t="s">
        <v>590</v>
      </c>
      <c r="B223" s="196" t="n">
        <f aca="false">G105</f>
        <v>1209.74181408254</v>
      </c>
      <c r="C223" s="196"/>
      <c r="D223" s="160" t="n">
        <f aca="false">B223/'00-三表与联动'!$B$6-1</f>
        <v>0.339558420625343</v>
      </c>
      <c r="E223" s="49" t="s">
        <v>591</v>
      </c>
      <c r="F223" s="49"/>
      <c r="G223" s="49"/>
      <c r="H223" s="49"/>
      <c r="I223" s="49"/>
      <c r="J223" s="49"/>
      <c r="K223" s="49"/>
      <c r="L223" s="49"/>
      <c r="M223" s="49"/>
      <c r="N223" s="49"/>
    </row>
    <row r="224" customFormat="false" ht="21.75" hidden="false" customHeight="true" outlineLevel="0" collapsed="false">
      <c r="A224" s="158" t="s">
        <v>592</v>
      </c>
      <c r="B224" s="196" t="n">
        <f aca="false">B103</f>
        <v>805.360954305049</v>
      </c>
      <c r="C224" s="196"/>
      <c r="D224" s="160" t="n">
        <f aca="false">B224/'00-三表与联动'!$B$6-1</f>
        <v>-0.108216285968122</v>
      </c>
      <c r="E224" s="48" t="s">
        <v>593</v>
      </c>
      <c r="F224" s="48"/>
      <c r="G224" s="48"/>
      <c r="H224" s="48"/>
      <c r="I224" s="48"/>
      <c r="J224" s="48"/>
      <c r="K224" s="48"/>
      <c r="L224" s="48"/>
      <c r="M224" s="48"/>
      <c r="N224" s="48"/>
    </row>
    <row r="225" customFormat="false" ht="21.75" hidden="false" customHeight="true" outlineLevel="0" collapsed="false">
      <c r="A225" s="5" t="s">
        <v>594</v>
      </c>
      <c r="B225" s="196" t="n">
        <f aca="false">'00-三表与联动'!$B$6</f>
        <v>903.09</v>
      </c>
      <c r="C225" s="196"/>
      <c r="D225" s="160" t="n">
        <f aca="false">B225/'00-三表与联动'!$B$6-1</f>
        <v>0</v>
      </c>
      <c r="E225" s="48" t="s">
        <v>595</v>
      </c>
      <c r="F225" s="48"/>
      <c r="G225" s="48"/>
      <c r="H225" s="48"/>
      <c r="I225" s="48"/>
      <c r="J225" s="48"/>
      <c r="K225" s="48"/>
      <c r="L225" s="48"/>
      <c r="M225" s="48"/>
      <c r="N225" s="48"/>
    </row>
    <row r="226" customFormat="false" ht="21.75" hidden="false" customHeight="true" outlineLevel="0" collapsed="false">
      <c r="A226" s="5" t="s">
        <v>45</v>
      </c>
      <c r="B226" s="196" t="n">
        <f aca="false">2126</f>
        <v>2126</v>
      </c>
      <c r="C226" s="196"/>
      <c r="D226" s="160" t="n">
        <f aca="false">B226/'00-三表与联动'!$B$6-1</f>
        <v>1.35413967600128</v>
      </c>
      <c r="E226" s="48" t="s">
        <v>596</v>
      </c>
      <c r="F226" s="48"/>
      <c r="G226" s="48"/>
      <c r="H226" s="48"/>
      <c r="I226" s="48"/>
      <c r="J226" s="48"/>
      <c r="K226" s="48"/>
      <c r="L226" s="48"/>
      <c r="M226" s="48"/>
      <c r="N226" s="48"/>
    </row>
    <row r="228" customFormat="false" ht="24" hidden="false" customHeight="true" outlineLevel="0" collapsed="false">
      <c r="A228" s="161" t="s">
        <v>597</v>
      </c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</row>
    <row r="229" customFormat="false" ht="27" hidden="false" customHeight="true" outlineLevel="0" collapsed="false">
      <c r="A229" s="4" t="s">
        <v>197</v>
      </c>
      <c r="B229" s="14" t="s">
        <v>598</v>
      </c>
      <c r="C229" s="14" t="s">
        <v>297</v>
      </c>
      <c r="D229" s="14" t="s">
        <v>298</v>
      </c>
      <c r="E229" s="14" t="s">
        <v>299</v>
      </c>
      <c r="F229" s="14" t="s">
        <v>300</v>
      </c>
      <c r="G229" s="14" t="s">
        <v>301</v>
      </c>
      <c r="H229" s="14" t="s">
        <v>302</v>
      </c>
      <c r="I229" s="4"/>
      <c r="J229" s="4"/>
      <c r="K229" s="4"/>
      <c r="L229" s="4"/>
      <c r="M229" s="4"/>
      <c r="N229" s="4"/>
    </row>
    <row r="230" customFormat="false" ht="16.5" hidden="false" customHeight="true" outlineLevel="0" collapsed="false">
      <c r="A230" s="5" t="s">
        <v>265</v>
      </c>
      <c r="B230" s="162" t="n">
        <f aca="false">'00-三表与联动'!F27</f>
        <v>128959</v>
      </c>
      <c r="C230" s="31" t="n">
        <f aca="false">B32</f>
        <v>205000.088743726</v>
      </c>
      <c r="D230" s="31" t="n">
        <f aca="false">C32</f>
        <v>164000.070994981</v>
      </c>
      <c r="E230" s="31" t="n">
        <f aca="false">D32</f>
        <v>183680.079514378</v>
      </c>
      <c r="F230" s="31" t="n">
        <f aca="false">E32</f>
        <v>209395.290646391</v>
      </c>
      <c r="G230" s="31" t="n">
        <f aca="false">F32</f>
        <v>234522.725523958</v>
      </c>
      <c r="H230" s="31" t="n">
        <f aca="false">G32</f>
        <v>257974.998076354</v>
      </c>
      <c r="I230" s="39"/>
      <c r="J230" s="39"/>
      <c r="K230" s="39"/>
      <c r="L230" s="39"/>
      <c r="M230" s="39"/>
      <c r="N230" s="39"/>
    </row>
    <row r="231" customFormat="false" ht="16.5" hidden="false" customHeight="true" outlineLevel="0" collapsed="false">
      <c r="A231" s="5" t="s">
        <v>271</v>
      </c>
      <c r="B231" s="162" t="n">
        <f aca="false">'00-三表与联动'!F29</f>
        <v>103457</v>
      </c>
      <c r="C231" s="31" t="n">
        <f aca="false">B35</f>
        <v>169445.07015905</v>
      </c>
      <c r="D231" s="31" t="n">
        <f aca="false">C35</f>
        <v>111520.048276587</v>
      </c>
      <c r="E231" s="31" t="n">
        <f aca="false">D35</f>
        <v>128576.055660065</v>
      </c>
      <c r="F231" s="31" t="n">
        <f aca="false">E35</f>
        <v>150764.609265402</v>
      </c>
      <c r="G231" s="31" t="n">
        <f aca="false">F35</f>
        <v>164165.907866771</v>
      </c>
      <c r="H231" s="31" t="n">
        <f aca="false">G35</f>
        <v>175422.998691921</v>
      </c>
      <c r="I231" s="39"/>
      <c r="J231" s="39"/>
      <c r="K231" s="39"/>
      <c r="L231" s="39"/>
      <c r="M231" s="39"/>
      <c r="N231" s="39"/>
    </row>
    <row r="232" customFormat="false" ht="16.5" hidden="false" customHeight="true" outlineLevel="0" collapsed="false">
      <c r="A232" s="5" t="s">
        <v>599</v>
      </c>
      <c r="B232" s="162" t="n">
        <f aca="false">'00-三表与联动'!F34</f>
        <v>96729</v>
      </c>
      <c r="C232" s="31" t="n">
        <f aca="false">B37</f>
        <v>160835.066431813</v>
      </c>
      <c r="D232" s="31" t="n">
        <f aca="false">C37</f>
        <v>104632.045294798</v>
      </c>
      <c r="E232" s="31" t="n">
        <f aca="false">D37</f>
        <v>120861.492320461</v>
      </c>
      <c r="F232" s="31" t="n">
        <f aca="false">E37</f>
        <v>141970.007058253</v>
      </c>
      <c r="G232" s="31" t="n">
        <f aca="false">F37</f>
        <v>154315.953394764</v>
      </c>
      <c r="H232" s="31" t="n">
        <f aca="false">G37</f>
        <v>164588.048772714</v>
      </c>
      <c r="I232" s="39"/>
      <c r="J232" s="39"/>
      <c r="K232" s="39"/>
      <c r="L232" s="39"/>
      <c r="M232" s="39"/>
      <c r="N232" s="39"/>
    </row>
    <row r="233" customFormat="false" ht="16.5" hidden="false" customHeight="true" outlineLevel="0" collapsed="false">
      <c r="A233" s="5" t="s">
        <v>600</v>
      </c>
      <c r="B233" s="162" t="n">
        <f aca="false">'00-三表与联动'!F41</f>
        <v>82608</v>
      </c>
      <c r="C233" s="31" t="n">
        <f aca="false">B39</f>
        <v>134297.280470564</v>
      </c>
      <c r="D233" s="31" t="n">
        <f aca="false">C39</f>
        <v>87367.757821156</v>
      </c>
      <c r="E233" s="31" t="n">
        <f aca="false">D39</f>
        <v>100919.346087585</v>
      </c>
      <c r="F233" s="31" t="n">
        <f aca="false">E39</f>
        <v>118544.955893641</v>
      </c>
      <c r="G233" s="31" t="n">
        <f aca="false">F39</f>
        <v>128853.821084628</v>
      </c>
      <c r="H233" s="31" t="n">
        <f aca="false">G39</f>
        <v>137431.020725216</v>
      </c>
      <c r="I233" s="39"/>
      <c r="J233" s="39"/>
      <c r="K233" s="39"/>
      <c r="L233" s="39"/>
      <c r="M233" s="39"/>
      <c r="N233" s="39"/>
    </row>
    <row r="234" customFormat="false" ht="16.5" hidden="false" customHeight="true" outlineLevel="0" collapsed="false">
      <c r="A234" s="5" t="s">
        <v>601</v>
      </c>
      <c r="B234" s="162" t="n">
        <f aca="false">'00-三表与联动'!F139</f>
        <v>29103</v>
      </c>
      <c r="C234" s="31" t="n">
        <f aca="false">B45</f>
        <v>115712.259438301</v>
      </c>
      <c r="D234" s="31" t="n">
        <f aca="false">C45</f>
        <v>79249.7543069044</v>
      </c>
      <c r="E234" s="31" t="n">
        <f aca="false">D45</f>
        <v>81987.1778919243</v>
      </c>
      <c r="F234" s="31" t="n">
        <f aca="false">E45</f>
        <v>96470.2839376035</v>
      </c>
      <c r="G234" s="31" t="n">
        <f aca="false">F45</f>
        <v>104681.228732409</v>
      </c>
      <c r="H234" s="31" t="n">
        <f aca="false">G45</f>
        <v>111469.355009714</v>
      </c>
      <c r="I234" s="39"/>
      <c r="J234" s="39"/>
      <c r="K234" s="39"/>
      <c r="L234" s="39"/>
      <c r="M234" s="39"/>
      <c r="N234" s="39"/>
    </row>
    <row r="235" customFormat="false" ht="16.5" hidden="false" customHeight="true" outlineLevel="0" collapsed="false">
      <c r="A235" s="5" t="s">
        <v>269</v>
      </c>
      <c r="B235" s="163" t="n">
        <f aca="false">'00-三表与联动'!F29/'00-三表与联动'!F27</f>
        <v>0.802247225862483</v>
      </c>
      <c r="C235" s="46" t="n">
        <f aca="false">B34</f>
        <v>0.826560960033906</v>
      </c>
      <c r="D235" s="46" t="n">
        <f aca="false">C34</f>
        <v>0.68</v>
      </c>
      <c r="E235" s="46" t="n">
        <f aca="false">D34</f>
        <v>0.7</v>
      </c>
      <c r="F235" s="46" t="n">
        <f aca="false">E34</f>
        <v>0.72</v>
      </c>
      <c r="G235" s="46" t="n">
        <f aca="false">F34</f>
        <v>0.7</v>
      </c>
      <c r="H235" s="46" t="n">
        <f aca="false">G34</f>
        <v>0.68</v>
      </c>
      <c r="I235" s="39"/>
      <c r="J235" s="39"/>
      <c r="K235" s="39"/>
      <c r="L235" s="39"/>
      <c r="M235" s="39"/>
      <c r="N235" s="39"/>
    </row>
    <row r="236" customFormat="false" ht="16.5" hidden="false" customHeight="true" outlineLevel="0" collapsed="false">
      <c r="A236" s="5" t="s">
        <v>602</v>
      </c>
      <c r="B236" s="163" t="n">
        <f aca="false">'00-三表与联动'!F34/'00-三表与联动'!F27</f>
        <v>0.75007560542498</v>
      </c>
      <c r="C236" s="46" t="n">
        <f aca="false">B38</f>
        <v>0.784560960033906</v>
      </c>
      <c r="D236" s="46" t="n">
        <f aca="false">C38</f>
        <v>0.638</v>
      </c>
      <c r="E236" s="46" t="n">
        <f aca="false">D38</f>
        <v>0.658</v>
      </c>
      <c r="F236" s="46" t="n">
        <f aca="false">E38</f>
        <v>0.678</v>
      </c>
      <c r="G236" s="46" t="n">
        <f aca="false">F38</f>
        <v>0.658</v>
      </c>
      <c r="H236" s="46" t="n">
        <f aca="false">G38</f>
        <v>0.638</v>
      </c>
      <c r="I236" s="39"/>
      <c r="J236" s="39"/>
      <c r="K236" s="39"/>
      <c r="L236" s="39"/>
      <c r="M236" s="39"/>
      <c r="N236" s="39"/>
    </row>
    <row r="237" customFormat="false" ht="16.5" hidden="false" customHeight="true" outlineLevel="0" collapsed="false">
      <c r="A237" s="158" t="s">
        <v>603</v>
      </c>
      <c r="B237" s="163" t="n">
        <f aca="false">'00-三表与联动'!F139/'00-三表与联动'!F27</f>
        <v>0.225676377763475</v>
      </c>
      <c r="C237" s="46" t="n">
        <f aca="false">B46</f>
        <v>0.564449801692307</v>
      </c>
      <c r="D237" s="46" t="n">
        <f aca="false">C46</f>
        <v>0.48323</v>
      </c>
      <c r="E237" s="46" t="n">
        <f aca="false">D46</f>
        <v>0.446358571428571</v>
      </c>
      <c r="F237" s="46" t="n">
        <f aca="false">E46</f>
        <v>0.460708947368421</v>
      </c>
      <c r="G237" s="46" t="n">
        <f aca="false">F46</f>
        <v>0.446358571428571</v>
      </c>
      <c r="H237" s="46" t="n">
        <f aca="false">G46</f>
        <v>0.432093636363636</v>
      </c>
      <c r="I237" s="39"/>
      <c r="J237" s="39"/>
      <c r="K237" s="39"/>
      <c r="L237" s="39"/>
      <c r="M237" s="39"/>
      <c r="N237" s="39"/>
    </row>
    <row r="238" customFormat="false" ht="16.5" hidden="false" customHeight="true" outlineLevel="0" collapsed="false">
      <c r="A238" s="5" t="s">
        <v>604</v>
      </c>
      <c r="B238" s="164" t="n">
        <f aca="false">'00-三表与联动'!F46</f>
        <v>72.21</v>
      </c>
      <c r="C238" s="103" t="n">
        <f aca="false">B37*(1-$B$201)/'00-三表与联动'!$B$9</f>
        <v>116.780243887447</v>
      </c>
      <c r="D238" s="103" t="n">
        <f aca="false">C37*(1-$B$201)/'00-三表与联动'!$B$9</f>
        <v>75.9719633227443</v>
      </c>
      <c r="E238" s="103" t="n">
        <f aca="false">D37*(1-$B$201)/'00-三表与联动'!$B$9</f>
        <v>87.755953119639</v>
      </c>
      <c r="F238" s="103" t="n">
        <f aca="false">E37*(1-$B$201)/'00-三表与联动'!$B$9</f>
        <v>103.082570342297</v>
      </c>
      <c r="G238" s="103" t="n">
        <f aca="false">F37*(1-$B$201)/'00-三表与联动'!$B$9</f>
        <v>112.046800943155</v>
      </c>
      <c r="H238" s="103" t="n">
        <f aca="false">G37*(1-$B$201)/'00-三表与联动'!$B$9</f>
        <v>119.505235413231</v>
      </c>
      <c r="I238" s="39"/>
      <c r="J238" s="39"/>
      <c r="K238" s="39"/>
      <c r="L238" s="39"/>
      <c r="M238" s="39"/>
      <c r="N238" s="39"/>
    </row>
    <row r="239" customFormat="false" ht="16.5" hidden="false" customHeight="true" outlineLevel="0" collapsed="false">
      <c r="A239" s="5" t="s">
        <v>605</v>
      </c>
      <c r="B239" s="163" t="n">
        <f aca="false">'00-三表与联动'!F27/7355-1</f>
        <v>16.5335146159075</v>
      </c>
      <c r="C239" s="46" t="n">
        <f aca="false">B33</f>
        <v>0.589653213375768</v>
      </c>
      <c r="D239" s="46" t="n">
        <f aca="false">C33</f>
        <v>-0.2</v>
      </c>
      <c r="E239" s="46" t="n">
        <f aca="false">D33</f>
        <v>0.12</v>
      </c>
      <c r="F239" s="46" t="n">
        <f aca="false">E33</f>
        <v>0.14</v>
      </c>
      <c r="G239" s="46" t="n">
        <f aca="false">F33</f>
        <v>0.12</v>
      </c>
      <c r="H239" s="46" t="n">
        <f aca="false">G33</f>
        <v>0.1</v>
      </c>
      <c r="I239" s="39"/>
      <c r="J239" s="39"/>
      <c r="K239" s="39"/>
      <c r="L239" s="39"/>
      <c r="M239" s="39"/>
      <c r="N239" s="39"/>
    </row>
    <row r="240" customFormat="false" ht="16.5" hidden="false" customHeight="true" outlineLevel="0" collapsed="false">
      <c r="A240" s="5" t="s">
        <v>405</v>
      </c>
      <c r="B240" s="165" t="n">
        <f aca="false">'00-三表与联动'!$B$9</f>
        <v>1150</v>
      </c>
      <c r="C240" s="100" t="n">
        <f aca="false">B97</f>
        <v>1030.86284278555</v>
      </c>
      <c r="D240" s="100" t="n">
        <f aca="false">C97</f>
        <v>957.610413656193</v>
      </c>
      <c r="E240" s="100" t="n">
        <f aca="false">D97</f>
        <v>889.475201390648</v>
      </c>
      <c r="F240" s="100" t="n">
        <f aca="false">E97</f>
        <v>817.189258720779</v>
      </c>
      <c r="G240" s="100" t="n">
        <f aca="false">F97</f>
        <v>746.58213347068</v>
      </c>
      <c r="H240" s="100" t="n">
        <f aca="false">G97</f>
        <v>678.906411321119</v>
      </c>
      <c r="I240" s="39"/>
      <c r="J240" s="39"/>
      <c r="K240" s="39"/>
      <c r="L240" s="39"/>
      <c r="M240" s="39"/>
      <c r="N240" s="39"/>
    </row>
    <row r="241" customFormat="false" ht="16.5" hidden="false" customHeight="true" outlineLevel="0" collapsed="false">
      <c r="A241" s="5" t="s">
        <v>606</v>
      </c>
      <c r="B241" s="164" t="n">
        <f aca="false">'00-三表与联动'!F46</f>
        <v>72.21</v>
      </c>
      <c r="C241" s="103" t="n">
        <f aca="false">B100</f>
        <v>130.27657501717</v>
      </c>
      <c r="D241" s="103" t="n">
        <f aca="false">C100</f>
        <v>91.2351793330887</v>
      </c>
      <c r="E241" s="103" t="n">
        <f aca="false">D100</f>
        <v>113.459426333418</v>
      </c>
      <c r="F241" s="103" t="n">
        <f aca="false">E100</f>
        <v>145.064260975739</v>
      </c>
      <c r="G241" s="103" t="n">
        <f aca="false">F100</f>
        <v>172.591621615184</v>
      </c>
      <c r="H241" s="103" t="n">
        <f aca="false">G100</f>
        <v>202.4299939336</v>
      </c>
      <c r="I241" s="39"/>
      <c r="J241" s="39"/>
      <c r="K241" s="39"/>
      <c r="L241" s="39"/>
      <c r="M241" s="39"/>
      <c r="N241" s="39"/>
    </row>
    <row r="242" customFormat="false" ht="20.25" hidden="false" customHeight="true" outlineLevel="0" collapsed="false">
      <c r="A242" s="166" t="s">
        <v>607</v>
      </c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</row>
    <row r="485" customFormat="false" ht="58.5" hidden="false" customHeight="true" outlineLevel="0" collapsed="false">
      <c r="A485" s="43" t="s">
        <v>608</v>
      </c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</row>
  </sheetData>
  <mergeCells count="320">
    <mergeCell ref="A1:N1"/>
    <mergeCell ref="A2:N2"/>
    <mergeCell ref="A4:N4"/>
    <mergeCell ref="A5:N5"/>
    <mergeCell ref="A6:N6"/>
    <mergeCell ref="A7:N7"/>
    <mergeCell ref="A8:N8"/>
    <mergeCell ref="A9:N9"/>
    <mergeCell ref="A11:N11"/>
    <mergeCell ref="G13:N13"/>
    <mergeCell ref="G14:N14"/>
    <mergeCell ref="G15:N15"/>
    <mergeCell ref="G16:N16"/>
    <mergeCell ref="G17:N17"/>
    <mergeCell ref="G18:N18"/>
    <mergeCell ref="G19:N19"/>
    <mergeCell ref="G20:N20"/>
    <mergeCell ref="G21:N21"/>
    <mergeCell ref="G22:N22"/>
    <mergeCell ref="G23:N23"/>
    <mergeCell ref="G24:N24"/>
    <mergeCell ref="G25:N25"/>
    <mergeCell ref="G26:N26"/>
    <mergeCell ref="G27:N27"/>
    <mergeCell ref="A28:N28"/>
    <mergeCell ref="A30:N30"/>
    <mergeCell ref="I32:N32"/>
    <mergeCell ref="I33:N33"/>
    <mergeCell ref="I34:N34"/>
    <mergeCell ref="I35:N35"/>
    <mergeCell ref="I36:N36"/>
    <mergeCell ref="I37:N37"/>
    <mergeCell ref="I38:N38"/>
    <mergeCell ref="I39:N39"/>
    <mergeCell ref="I40:N40"/>
    <mergeCell ref="I41:N41"/>
    <mergeCell ref="I42:N42"/>
    <mergeCell ref="I43:N43"/>
    <mergeCell ref="I44:N44"/>
    <mergeCell ref="I45:N45"/>
    <mergeCell ref="I46:N46"/>
    <mergeCell ref="I47:N47"/>
    <mergeCell ref="I48:N48"/>
    <mergeCell ref="I49:N49"/>
    <mergeCell ref="A51:N51"/>
    <mergeCell ref="B53:C53"/>
    <mergeCell ref="D53:N53"/>
    <mergeCell ref="B54:C54"/>
    <mergeCell ref="D54:N54"/>
    <mergeCell ref="B55:C55"/>
    <mergeCell ref="D55:N55"/>
    <mergeCell ref="B56:C56"/>
    <mergeCell ref="D56:N56"/>
    <mergeCell ref="B57:C57"/>
    <mergeCell ref="D57:N57"/>
    <mergeCell ref="B58:C58"/>
    <mergeCell ref="D58:N58"/>
    <mergeCell ref="A60:N60"/>
    <mergeCell ref="B62:C62"/>
    <mergeCell ref="D62:N62"/>
    <mergeCell ref="B63:C63"/>
    <mergeCell ref="D63:N63"/>
    <mergeCell ref="B64:C64"/>
    <mergeCell ref="D64:N64"/>
    <mergeCell ref="B65:C65"/>
    <mergeCell ref="D65:N65"/>
    <mergeCell ref="B66:C66"/>
    <mergeCell ref="D66:N66"/>
    <mergeCell ref="B67:C67"/>
    <mergeCell ref="D67:N67"/>
    <mergeCell ref="B68:C68"/>
    <mergeCell ref="D68:N68"/>
    <mergeCell ref="B69:C69"/>
    <mergeCell ref="D69:N69"/>
    <mergeCell ref="B70:C70"/>
    <mergeCell ref="D70:N70"/>
    <mergeCell ref="B71:C71"/>
    <mergeCell ref="D71:N71"/>
    <mergeCell ref="B72:C72"/>
    <mergeCell ref="D72:N72"/>
    <mergeCell ref="B73:C73"/>
    <mergeCell ref="D73:N73"/>
    <mergeCell ref="B74:C74"/>
    <mergeCell ref="D74:N74"/>
    <mergeCell ref="A75:N75"/>
    <mergeCell ref="A77:N77"/>
    <mergeCell ref="B79:C79"/>
    <mergeCell ref="D79:E79"/>
    <mergeCell ref="F79:N79"/>
    <mergeCell ref="B80:C80"/>
    <mergeCell ref="D80:E80"/>
    <mergeCell ref="F80:N80"/>
    <mergeCell ref="B81:C81"/>
    <mergeCell ref="D81:E81"/>
    <mergeCell ref="F81:N81"/>
    <mergeCell ref="B82:C82"/>
    <mergeCell ref="D82:E82"/>
    <mergeCell ref="F82:N82"/>
    <mergeCell ref="B83:C83"/>
    <mergeCell ref="D83:E83"/>
    <mergeCell ref="F83:N83"/>
    <mergeCell ref="A85:N85"/>
    <mergeCell ref="A86:N86"/>
    <mergeCell ref="A87:N87"/>
    <mergeCell ref="A88:N88"/>
    <mergeCell ref="H90:N90"/>
    <mergeCell ref="H91:N91"/>
    <mergeCell ref="H92:N92"/>
    <mergeCell ref="H93:N93"/>
    <mergeCell ref="H94:N94"/>
    <mergeCell ref="H95:N95"/>
    <mergeCell ref="H96:N96"/>
    <mergeCell ref="H97:N97"/>
    <mergeCell ref="H98:N98"/>
    <mergeCell ref="H99:N99"/>
    <mergeCell ref="H100:N100"/>
    <mergeCell ref="H101:N101"/>
    <mergeCell ref="H102:N102"/>
    <mergeCell ref="H103:N103"/>
    <mergeCell ref="H104:N104"/>
    <mergeCell ref="H105:N105"/>
    <mergeCell ref="A107:N107"/>
    <mergeCell ref="I109:N109"/>
    <mergeCell ref="I110:N110"/>
    <mergeCell ref="I111:N111"/>
    <mergeCell ref="A112:N112"/>
    <mergeCell ref="A114:N114"/>
    <mergeCell ref="B116:C116"/>
    <mergeCell ref="D116:N116"/>
    <mergeCell ref="B117:C117"/>
    <mergeCell ref="D117:N117"/>
    <mergeCell ref="B118:C118"/>
    <mergeCell ref="D118:N118"/>
    <mergeCell ref="B119:C119"/>
    <mergeCell ref="D119:N119"/>
    <mergeCell ref="B120:C120"/>
    <mergeCell ref="D120:N120"/>
    <mergeCell ref="B121:C121"/>
    <mergeCell ref="D121:N121"/>
    <mergeCell ref="B122:C122"/>
    <mergeCell ref="D122:N122"/>
    <mergeCell ref="B123:C123"/>
    <mergeCell ref="D123:N123"/>
    <mergeCell ref="B124:C124"/>
    <mergeCell ref="D124:N124"/>
    <mergeCell ref="B125:C125"/>
    <mergeCell ref="D125:N125"/>
    <mergeCell ref="B126:C126"/>
    <mergeCell ref="D126:N126"/>
    <mergeCell ref="B127:C127"/>
    <mergeCell ref="D127:N127"/>
    <mergeCell ref="A128:N128"/>
    <mergeCell ref="A130:N130"/>
    <mergeCell ref="A131:N131"/>
    <mergeCell ref="C132:G132"/>
    <mergeCell ref="A133:A134"/>
    <mergeCell ref="B133:B134"/>
    <mergeCell ref="C133:G134"/>
    <mergeCell ref="H133:H134"/>
    <mergeCell ref="I133:I134"/>
    <mergeCell ref="J133:N134"/>
    <mergeCell ref="A135:A136"/>
    <mergeCell ref="B135:B136"/>
    <mergeCell ref="C135:G136"/>
    <mergeCell ref="H135:H136"/>
    <mergeCell ref="I135:I136"/>
    <mergeCell ref="J135:N136"/>
    <mergeCell ref="A137:A138"/>
    <mergeCell ref="B137:B138"/>
    <mergeCell ref="C137:G138"/>
    <mergeCell ref="H137:H138"/>
    <mergeCell ref="I137:I138"/>
    <mergeCell ref="J137:N138"/>
    <mergeCell ref="A139:A140"/>
    <mergeCell ref="B139:B140"/>
    <mergeCell ref="C139:G140"/>
    <mergeCell ref="H139:H140"/>
    <mergeCell ref="I139:I140"/>
    <mergeCell ref="J139:N140"/>
    <mergeCell ref="A141:A142"/>
    <mergeCell ref="B141:B142"/>
    <mergeCell ref="C141:G142"/>
    <mergeCell ref="H141:H142"/>
    <mergeCell ref="I141:I142"/>
    <mergeCell ref="J141:N142"/>
    <mergeCell ref="A144:N144"/>
    <mergeCell ref="G146:N146"/>
    <mergeCell ref="G147:N147"/>
    <mergeCell ref="G148:N148"/>
    <mergeCell ref="G149:N149"/>
    <mergeCell ref="G150:N150"/>
    <mergeCell ref="A151:N151"/>
    <mergeCell ref="A153:N153"/>
    <mergeCell ref="G155:N155"/>
    <mergeCell ref="G156:N156"/>
    <mergeCell ref="G157:N157"/>
    <mergeCell ref="G158:N158"/>
    <mergeCell ref="G159:N159"/>
    <mergeCell ref="G160:N160"/>
    <mergeCell ref="A161:N161"/>
    <mergeCell ref="A164:N164"/>
    <mergeCell ref="A165:N165"/>
    <mergeCell ref="A166:G166"/>
    <mergeCell ref="H166:N166"/>
    <mergeCell ref="A173:N173"/>
    <mergeCell ref="A174:N174"/>
    <mergeCell ref="C176:D176"/>
    <mergeCell ref="E176:I176"/>
    <mergeCell ref="J176:N176"/>
    <mergeCell ref="C177:D177"/>
    <mergeCell ref="E177:I177"/>
    <mergeCell ref="J177:N177"/>
    <mergeCell ref="C178:D178"/>
    <mergeCell ref="E178:I178"/>
    <mergeCell ref="J178:N178"/>
    <mergeCell ref="C179:D179"/>
    <mergeCell ref="E179:I179"/>
    <mergeCell ref="J179:N179"/>
    <mergeCell ref="C180:D180"/>
    <mergeCell ref="E180:I180"/>
    <mergeCell ref="J180:N180"/>
    <mergeCell ref="A181:N181"/>
    <mergeCell ref="A183:N183"/>
    <mergeCell ref="A186:N186"/>
    <mergeCell ref="A187:N187"/>
    <mergeCell ref="C188:G188"/>
    <mergeCell ref="A189:A190"/>
    <mergeCell ref="B189:B190"/>
    <mergeCell ref="C189:G190"/>
    <mergeCell ref="H189:H190"/>
    <mergeCell ref="I189:I190"/>
    <mergeCell ref="J189:N190"/>
    <mergeCell ref="A191:A192"/>
    <mergeCell ref="B191:B192"/>
    <mergeCell ref="C191:G192"/>
    <mergeCell ref="H191:H192"/>
    <mergeCell ref="I191:I192"/>
    <mergeCell ref="J191:N192"/>
    <mergeCell ref="A193:A194"/>
    <mergeCell ref="B193:B194"/>
    <mergeCell ref="C193:G194"/>
    <mergeCell ref="H193:H194"/>
    <mergeCell ref="I193:I194"/>
    <mergeCell ref="J193:N194"/>
    <mergeCell ref="A195:A196"/>
    <mergeCell ref="B195:B196"/>
    <mergeCell ref="C195:G196"/>
    <mergeCell ref="H195:H196"/>
    <mergeCell ref="I195:I196"/>
    <mergeCell ref="J195:N196"/>
    <mergeCell ref="A197:A198"/>
    <mergeCell ref="B197:B198"/>
    <mergeCell ref="C197:G198"/>
    <mergeCell ref="H197:H198"/>
    <mergeCell ref="I197:I198"/>
    <mergeCell ref="J197:N198"/>
    <mergeCell ref="A199:A200"/>
    <mergeCell ref="B199:B200"/>
    <mergeCell ref="C199:G200"/>
    <mergeCell ref="H199:H200"/>
    <mergeCell ref="I199:I200"/>
    <mergeCell ref="J199:N200"/>
    <mergeCell ref="A201:A202"/>
    <mergeCell ref="B201:B202"/>
    <mergeCell ref="C201:G202"/>
    <mergeCell ref="H201:H202"/>
    <mergeCell ref="I201:I202"/>
    <mergeCell ref="J201:N202"/>
    <mergeCell ref="A203:A204"/>
    <mergeCell ref="B203:B204"/>
    <mergeCell ref="C203:G204"/>
    <mergeCell ref="H203:H204"/>
    <mergeCell ref="I203:I204"/>
    <mergeCell ref="J203:N204"/>
    <mergeCell ref="A205:A206"/>
    <mergeCell ref="B205:B206"/>
    <mergeCell ref="C205:G206"/>
    <mergeCell ref="H205:H206"/>
    <mergeCell ref="I205:I206"/>
    <mergeCell ref="J205:N206"/>
    <mergeCell ref="A207:A208"/>
    <mergeCell ref="B207:B208"/>
    <mergeCell ref="C207:G208"/>
    <mergeCell ref="H207:H208"/>
    <mergeCell ref="I207:I208"/>
    <mergeCell ref="J207:N208"/>
    <mergeCell ref="A209:A210"/>
    <mergeCell ref="B209:B210"/>
    <mergeCell ref="C209:G210"/>
    <mergeCell ref="H209:H210"/>
    <mergeCell ref="I209:I210"/>
    <mergeCell ref="J209:N210"/>
    <mergeCell ref="A211:A212"/>
    <mergeCell ref="B211:B212"/>
    <mergeCell ref="C211:G212"/>
    <mergeCell ref="H211:H212"/>
    <mergeCell ref="I211:I212"/>
    <mergeCell ref="J211:N212"/>
    <mergeCell ref="A213:A214"/>
    <mergeCell ref="B213:B214"/>
    <mergeCell ref="C213:G214"/>
    <mergeCell ref="H213:H214"/>
    <mergeCell ref="I213:I214"/>
    <mergeCell ref="J213:N214"/>
    <mergeCell ref="A215:N215"/>
    <mergeCell ref="A219:N219"/>
    <mergeCell ref="A220:N220"/>
    <mergeCell ref="B222:C222"/>
    <mergeCell ref="E222:N222"/>
    <mergeCell ref="B223:C223"/>
    <mergeCell ref="E223:N223"/>
    <mergeCell ref="B224:C224"/>
    <mergeCell ref="E224:N224"/>
    <mergeCell ref="B225:C225"/>
    <mergeCell ref="E225:N225"/>
    <mergeCell ref="B226:C226"/>
    <mergeCell ref="E226:N226"/>
    <mergeCell ref="A228:N228"/>
    <mergeCell ref="A242:N242"/>
    <mergeCell ref="A485:N485"/>
  </mergeCells>
  <conditionalFormatting sqref="B74">
    <cfRule type="expression" priority="2" aboveAverage="0" equalAverage="0" bottom="0" percent="0" rank="0" text="" dxfId="2">
      <formula>$B$74&gt;0</formula>
    </cfRule>
    <cfRule type="expression" priority="3" aboveAverage="0" equalAverage="0" bottom="0" percent="0" rank="0" text="" dxfId="3">
      <formula>$B$74&lt;=0</formula>
    </cfRule>
  </conditionalFormatting>
  <conditionalFormatting sqref="I109">
    <cfRule type="expression" priority="4" aboveAverage="0" equalAverage="0" bottom="0" percent="0" rank="0" text="" dxfId="0">
      <formula>$I$109&gt;0</formula>
    </cfRule>
    <cfRule type="expression" priority="5" aboveAverage="0" equalAverage="0" bottom="0" percent="0" rank="0" text="" dxfId="1">
      <formula>$I$109&lt;=0</formula>
    </cfRule>
  </conditionalFormatting>
  <conditionalFormatting sqref="I110">
    <cfRule type="expression" priority="6" aboveAverage="0" equalAverage="0" bottom="0" percent="0" rank="0" text="" dxfId="0">
      <formula>$I$110&gt;0</formula>
    </cfRule>
    <cfRule type="expression" priority="7" aboveAverage="0" equalAverage="0" bottom="0" percent="0" rank="0" text="" dxfId="1">
      <formula>$I$110&lt;=0</formula>
    </cfRule>
  </conditionalFormatting>
  <conditionalFormatting sqref="I111">
    <cfRule type="expression" priority="8" aboveAverage="0" equalAverage="0" bottom="0" percent="0" rank="0" text="" dxfId="0">
      <formula>$I$111&gt;0</formula>
    </cfRule>
    <cfRule type="expression" priority="9" aboveAverage="0" equalAverage="0" bottom="0" percent="0" rank="0" text="" dxfId="1">
      <formula>$I$111&lt;=0</formula>
    </cfRule>
  </conditionalFormatting>
  <conditionalFormatting sqref="B125">
    <cfRule type="expression" priority="10" aboveAverage="0" equalAverage="0" bottom="0" percent="0" rank="0" text="" dxfId="2">
      <formula>$B$125&gt;0</formula>
    </cfRule>
    <cfRule type="expression" priority="11" aboveAverage="0" equalAverage="0" bottom="0" percent="0" rank="0" text="" dxfId="3">
      <formula>$B$125&lt;=0</formula>
    </cfRule>
  </conditionalFormatting>
  <conditionalFormatting sqref="B146:F150">
    <cfRule type="expression" priority="12" aboveAverage="0" equalAverage="0" bottom="0" percent="0" rank="0" text="" dxfId="4">
      <formula>AND(ISNUMBER(B146),B146&gt;'00-三表与联动'!$B$6)</formula>
    </cfRule>
    <cfRule type="expression" priority="13" aboveAverage="0" equalAverage="0" bottom="0" percent="0" rank="0" text="" dxfId="5">
      <formula>AND(ISNUMBER(B146),B146&lt;='00-三表与联动'!$B$6)</formula>
    </cfRule>
  </conditionalFormatting>
  <conditionalFormatting sqref="B155:D160">
    <cfRule type="expression" priority="14" aboveAverage="0" equalAverage="0" bottom="0" percent="0" rank="0" text="" dxfId="0">
      <formula>AND(ISNUMBER(B155),B155&gt;'00-三表与联动'!$B$6)</formula>
    </cfRule>
    <cfRule type="expression" priority="15" aboveAverage="0" equalAverage="0" bottom="0" percent="0" rank="0" text="" dxfId="1">
      <formula>AND(ISNUMBER(B155),B155&lt;='00-三表与联动'!$B$6)</formula>
    </cfRule>
  </conditionalFormatting>
  <conditionalFormatting sqref="B168:F172">
    <cfRule type="expression" priority="16" aboveAverage="0" equalAverage="0" bottom="0" percent="0" rank="0" text="" dxfId="4">
      <formula>AND(ISNUMBER(B168),B168&gt;'00-三表与联动'!$B$6)</formula>
    </cfRule>
    <cfRule type="expression" priority="17" aboveAverage="0" equalAverage="0" bottom="0" percent="0" rank="0" text="" dxfId="5">
      <formula>AND(ISNUMBER(B168),B168&lt;='00-三表与联动'!$B$6)</formula>
    </cfRule>
  </conditionalFormatting>
  <conditionalFormatting sqref="I168:M172">
    <cfRule type="expression" priority="18" aboveAverage="0" equalAverage="0" bottom="0" percent="0" rank="0" text="" dxfId="4">
      <formula>AND(ISNUMBER(B168),B168&gt;'00-三表与联动'!$B$6)</formula>
    </cfRule>
    <cfRule type="expression" priority="19" aboveAverage="0" equalAverage="0" bottom="0" percent="0" rank="0" text="" dxfId="5">
      <formula>AND(ISNUMBER(B168),B168&lt;='00-三表与联动'!$B$6)</formula>
    </cfRule>
  </conditionalFormatting>
  <conditionalFormatting sqref="B217">
    <cfRule type="expression" priority="20" aboveAverage="0" equalAverage="0" bottom="0" percent="0" rank="0" text="" dxfId="6">
      <formula>$B$217&gt;0</formula>
    </cfRule>
    <cfRule type="expression" priority="21" aboveAverage="0" equalAverage="0" bottom="0" percent="0" rank="0" text="" dxfId="7">
      <formula>$B$217&lt;=0</formula>
    </cfRule>
  </conditionalFormatting>
  <conditionalFormatting sqref="D222">
    <cfRule type="expression" priority="22" aboveAverage="0" equalAverage="0" bottom="0" percent="0" rank="0" text="" dxfId="0">
      <formula>$D$222&gt;0</formula>
    </cfRule>
    <cfRule type="expression" priority="23" aboveAverage="0" equalAverage="0" bottom="0" percent="0" rank="0" text="" dxfId="1">
      <formula>$D$222&lt;=0</formula>
    </cfRule>
  </conditionalFormatting>
  <conditionalFormatting sqref="D223">
    <cfRule type="expression" priority="24" aboveAverage="0" equalAverage="0" bottom="0" percent="0" rank="0" text="" dxfId="0">
      <formula>$D$223&gt;0</formula>
    </cfRule>
    <cfRule type="expression" priority="25" aboveAverage="0" equalAverage="0" bottom="0" percent="0" rank="0" text="" dxfId="1">
      <formula>$D$223&lt;=0</formula>
    </cfRule>
  </conditionalFormatting>
  <conditionalFormatting sqref="D224">
    <cfRule type="expression" priority="26" aboveAverage="0" equalAverage="0" bottom="0" percent="0" rank="0" text="" dxfId="0">
      <formula>$D$224&gt;0</formula>
    </cfRule>
    <cfRule type="expression" priority="27" aboveAverage="0" equalAverage="0" bottom="0" percent="0" rank="0" text="" dxfId="1">
      <formula>$D$224&lt;=0</formula>
    </cfRule>
  </conditionalFormatting>
  <conditionalFormatting sqref="D225">
    <cfRule type="expression" priority="28" aboveAverage="0" equalAverage="0" bottom="0" percent="0" rank="0" text="" dxfId="0">
      <formula>$D$225&gt;0</formula>
    </cfRule>
    <cfRule type="expression" priority="29" aboveAverage="0" equalAverage="0" bottom="0" percent="0" rank="0" text="" dxfId="1">
      <formula>$D$225&lt;=0</formula>
    </cfRule>
  </conditionalFormatting>
  <conditionalFormatting sqref="D226">
    <cfRule type="expression" priority="30" aboveAverage="0" equalAverage="0" bottom="0" percent="0" rank="0" text="" dxfId="0">
      <formula>$D$226&gt;0</formula>
    </cfRule>
    <cfRule type="expression" priority="31" aboveAverage="0" equalAverage="0" bottom="0" percent="0" rank="0" text="" dxfId="1">
      <formula>$D$226&lt;=0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xmlns:r="http://schemas.openxmlformats.org/officeDocument/2006/relationships" r:id="rId2"/>
  <mc:AlternateContent xmlns:mc="http://schemas.openxmlformats.org/markup-compatibility/2006">
    <mc:Choice xmlns:x14="http://schemas.microsoft.com/office/spreadsheetml/2009/9/main" xmlns:xdr="http://schemas.openxmlformats.org/drawingml/2006/spreadsheetDrawing" xmlns:r="http://schemas.openxmlformats.org/officeDocument/2006/relationships" Requires="x14">
      <controls>
        <mc:AlternateContent xmlns:mc="http://schemas.openxmlformats.org/markup-compatibility/2006">
          <mc:Choice Requires="x14">
            <control shapeId="1043" r:id="rId3" name="Scroll Bar 19">
              <controlPr defaultSize="0" autoLine="0" autoPict="0" altText="" linkedCell="'02-DCF-基准'!$H$133" print="0">
                <anchor moveWithCells="1" sizeWithCells="0">
                  <from>
                    <xdr:col>2</xdr:col>
                    <xdr:colOff>19050</xdr:colOff>
                    <xdr:row>132</xdr:row>
                    <xdr:rowOff>25400</xdr:rowOff>
                  </from>
                  <to>
                    <xdr:col>7</xdr:col>
                    <xdr:colOff>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4" name="Scroll Bar 20">
              <controlPr defaultSize="0" autoLine="0" autoPict="0" altText="" linkedCell="'02-DCF-基准'!$H$135" print="0">
                <anchor moveWithCells="1" sizeWithCells="0">
                  <from>
                    <xdr:col>2</xdr:col>
                    <xdr:colOff>19050</xdr:colOff>
                    <xdr:row>134</xdr:row>
                    <xdr:rowOff>25400</xdr:rowOff>
                  </from>
                  <to>
                    <xdr:col>7</xdr:col>
                    <xdr:colOff>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5" name="Scroll Bar 21">
              <controlPr defaultSize="0" autoLine="0" autoPict="0" altText="" linkedCell="'02-DCF-基准'!$H$137" print="0">
                <anchor moveWithCells="1" sizeWithCells="0">
                  <from>
                    <xdr:col>2</xdr:col>
                    <xdr:colOff>19050</xdr:colOff>
                    <xdr:row>136</xdr:row>
                    <xdr:rowOff>25400</xdr:rowOff>
                  </from>
                  <to>
                    <xdr:col>7</xdr:col>
                    <xdr:colOff>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6" name="Scroll Bar 22">
              <controlPr defaultSize="0" autoLine="0" autoPict="0" altText="" linkedCell="'02-DCF-基准'!$H$139" print="0">
                <anchor moveWithCells="1" sizeWithCells="0">
                  <from>
                    <xdr:col>2</xdr:col>
                    <xdr:colOff>19050</xdr:colOff>
                    <xdr:row>138</xdr:row>
                    <xdr:rowOff>25400</xdr:rowOff>
                  </from>
                  <to>
                    <xdr:col>7</xdr:col>
                    <xdr:colOff>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7" name="Scroll Bar 23">
              <controlPr defaultSize="0" autoLine="0" autoPict="0" altText="" linkedCell="'02-DCF-基准'!$H$141" print="0">
                <anchor moveWithCells="1" sizeWithCells="0">
                  <from>
                    <xdr:col>2</xdr:col>
                    <xdr:colOff>19050</xdr:colOff>
                    <xdr:row>140</xdr:row>
                    <xdr:rowOff>25400</xdr:rowOff>
                  </from>
                  <to>
                    <xdr:col>7</xdr:col>
                    <xdr:colOff>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8" name="Scroll Bar 24">
              <controlPr defaultSize="0" autoLine="0" autoPict="0" altText="" linkedCell="'02-DCF-基准'!$H$189" print="0">
                <anchor moveWithCells="1" sizeWithCells="0">
                  <from>
                    <xdr:col>2</xdr:col>
                    <xdr:colOff>19050</xdr:colOff>
                    <xdr:row>188</xdr:row>
                    <xdr:rowOff>25400</xdr:rowOff>
                  </from>
                  <to>
                    <xdr:col>7</xdr:col>
                    <xdr:colOff>0</xdr:colOff>
                    <xdr:row>190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9" name="Scroll Bar 25">
              <controlPr defaultSize="0" autoLine="0" autoPict="0" altText="" linkedCell="'02-DCF-基准'!$H$191" print="0">
                <anchor moveWithCells="1" sizeWithCells="0">
                  <from>
                    <xdr:col>2</xdr:col>
                    <xdr:colOff>19050</xdr:colOff>
                    <xdr:row>190</xdr:row>
                    <xdr:rowOff>25400</xdr:rowOff>
                  </from>
                  <to>
                    <xdr:col>7</xdr:col>
                    <xdr:colOff>0</xdr:colOff>
                    <xdr:row>192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0" name="Scroll Bar 26">
              <controlPr defaultSize="0" autoLine="0" autoPict="0" altText="" linkedCell="'02-DCF-基准'!$H$193" print="0">
                <anchor moveWithCells="1" sizeWithCells="0">
                  <from>
                    <xdr:col>2</xdr:col>
                    <xdr:colOff>19050</xdr:colOff>
                    <xdr:row>192</xdr:row>
                    <xdr:rowOff>25400</xdr:rowOff>
                  </from>
                  <to>
                    <xdr:col>7</xdr:col>
                    <xdr:colOff>0</xdr:colOff>
                    <xdr:row>194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1" name="Scroll Bar 27">
              <controlPr defaultSize="0" autoLine="0" autoPict="0" altText="" linkedCell="'02-DCF-基准'!$H$195" print="0">
                <anchor moveWithCells="1" sizeWithCells="0">
                  <from>
                    <xdr:col>2</xdr:col>
                    <xdr:colOff>19050</xdr:colOff>
                    <xdr:row>194</xdr:row>
                    <xdr:rowOff>25400</xdr:rowOff>
                  </from>
                  <to>
                    <xdr:col>7</xdr:col>
                    <xdr:colOff>0</xdr:colOff>
                    <xdr:row>196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2" name="Scroll Bar 28">
              <controlPr defaultSize="0" autoLine="0" autoPict="0" altText="" linkedCell="'02-DCF-基准'!$H$197" print="0">
                <anchor moveWithCells="1" sizeWithCells="0">
                  <from>
                    <xdr:col>2</xdr:col>
                    <xdr:colOff>19050</xdr:colOff>
                    <xdr:row>196</xdr:row>
                    <xdr:rowOff>25400</xdr:rowOff>
                  </from>
                  <to>
                    <xdr:col>7</xdr:col>
                    <xdr:colOff>0</xdr:colOff>
                    <xdr:row>198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3" name="Scroll Bar 29">
              <controlPr defaultSize="0" autoLine="0" autoPict="0" altText="" linkedCell="'02-DCF-基准'!$H$199" print="0">
                <anchor moveWithCells="1" sizeWithCells="0">
                  <from>
                    <xdr:col>2</xdr:col>
                    <xdr:colOff>19050</xdr:colOff>
                    <xdr:row>198</xdr:row>
                    <xdr:rowOff>25400</xdr:rowOff>
                  </from>
                  <to>
                    <xdr:col>7</xdr:col>
                    <xdr:colOff>0</xdr:colOff>
                    <xdr:row>200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4" name="Scroll Bar 30">
              <controlPr defaultSize="0" autoLine="0" autoPict="0" altText="" linkedCell="'02-DCF-基准'!$H$201" print="0">
                <anchor moveWithCells="1" sizeWithCells="0">
                  <from>
                    <xdr:col>2</xdr:col>
                    <xdr:colOff>19050</xdr:colOff>
                    <xdr:row>200</xdr:row>
                    <xdr:rowOff>25400</xdr:rowOff>
                  </from>
                  <to>
                    <xdr:col>7</xdr:col>
                    <xdr:colOff>0</xdr:colOff>
                    <xdr:row>202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5" name="Scroll Bar 31">
              <controlPr defaultSize="0" autoLine="0" autoPict="0" altText="" linkedCell="'02-DCF-基准'!$H$203" print="0">
                <anchor moveWithCells="1" sizeWithCells="0">
                  <from>
                    <xdr:col>2</xdr:col>
                    <xdr:colOff>19050</xdr:colOff>
                    <xdr:row>202</xdr:row>
                    <xdr:rowOff>25400</xdr:rowOff>
                  </from>
                  <to>
                    <xdr:col>7</xdr:col>
                    <xdr:colOff>0</xdr:colOff>
                    <xdr:row>204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6" name="Scroll Bar 32">
              <controlPr defaultSize="0" autoLine="0" autoPict="0" altText="" linkedCell="'02-DCF-基准'!$H$205" print="0">
                <anchor moveWithCells="1" sizeWithCells="0">
                  <from>
                    <xdr:col>2</xdr:col>
                    <xdr:colOff>19050</xdr:colOff>
                    <xdr:row>204</xdr:row>
                    <xdr:rowOff>25400</xdr:rowOff>
                  </from>
                  <to>
                    <xdr:col>7</xdr:col>
                    <xdr:colOff>0</xdr:colOff>
                    <xdr:row>206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7" name="Scroll Bar 33">
              <controlPr defaultSize="0" autoLine="0" autoPict="0" altText="" linkedCell="'02-DCF-基准'!$H$207" print="0">
                <anchor moveWithCells="1" sizeWithCells="0">
                  <from>
                    <xdr:col>2</xdr:col>
                    <xdr:colOff>19050</xdr:colOff>
                    <xdr:row>206</xdr:row>
                    <xdr:rowOff>25400</xdr:rowOff>
                  </from>
                  <to>
                    <xdr:col>7</xdr:col>
                    <xdr:colOff>0</xdr:colOff>
                    <xdr:row>208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8" name="Scroll Bar 34">
              <controlPr defaultSize="0" autoLine="0" autoPict="0" altText="" linkedCell="'02-DCF-基准'!$H$209" print="0">
                <anchor moveWithCells="1" sizeWithCells="0">
                  <from>
                    <xdr:col>2</xdr:col>
                    <xdr:colOff>19050</xdr:colOff>
                    <xdr:row>208</xdr:row>
                    <xdr:rowOff>25400</xdr:rowOff>
                  </from>
                  <to>
                    <xdr:col>7</xdr:col>
                    <xdr:colOff>0</xdr:colOff>
                    <xdr:row>210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9" name="Scroll Bar 35">
              <controlPr defaultSize="0" autoLine="0" autoPict="0" altText="" linkedCell="'02-DCF-基准'!$H$211" print="0">
                <anchor moveWithCells="1" sizeWithCells="0">
                  <from>
                    <xdr:col>2</xdr:col>
                    <xdr:colOff>19050</xdr:colOff>
                    <xdr:row>210</xdr:row>
                    <xdr:rowOff>25400</xdr:rowOff>
                  </from>
                  <to>
                    <xdr:col>7</xdr:col>
                    <xdr:colOff>0</xdr:colOff>
                    <xdr:row>212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0" name="Scroll Bar 36">
              <controlPr defaultSize="0" autoLine="0" autoPict="0" altText="" linkedCell="'02-DCF-基准'!$H$213" print="0">
                <anchor moveWithCells="1" sizeWithCells="0">
                  <from>
                    <xdr:col>2</xdr:col>
                    <xdr:colOff>19050</xdr:colOff>
                    <xdr:row>212</xdr:row>
                    <xdr:rowOff>25400</xdr:rowOff>
                  </from>
                  <to>
                    <xdr:col>7</xdr:col>
                    <xdr:colOff>0</xdr:colOff>
                    <xdr:row>214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min="1" max="1" width="29.71" customWidth="1"/>
    <col min="2" max="2" width="11.71" customWidth="1"/>
    <col min="3" max="3" width="11.71" customWidth="1"/>
    <col min="4" max="4" width="11.71" customWidth="1"/>
    <col min="5" max="5" width="11.71" customWidth="1"/>
    <col min="6" max="6" width="12.71" customWidth="1"/>
    <col min="7" max="7" width="11.71" customWidth="1"/>
    <col min="8" max="8" width="13.71" customWidth="1"/>
    <col min="9" max="9" width="14.71" customWidth="1"/>
    <col min="10" max="10" width="12.71" customWidth="1"/>
    <col min="11" max="11" width="12.71" customWidth="1"/>
    <col min="12" max="12" width="12.71" customWidth="1"/>
    <col min="13" max="13" width="13.71" customWidth="1"/>
    <col min="14" max="14" width="14.71" customWidth="1"/>
  </cols>
  <sheetData>
    <row r="1" customFormat="false" ht="37.5" hidden="false" customHeight="true" outlineLevel="0" collapsed="false">
      <c r="A1" s="1" t="s">
        <v>639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72" t="s">
        <v>251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customFormat="false" ht="24" hidden="false" customHeight="true" outlineLevel="0" collapsed="false">
      <c r="A4" s="197" t="s">
        <v>252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</row>
    <row r="5" customFormat="false" ht="33" hidden="false" customHeight="true" outlineLevel="0" collapsed="false">
      <c r="A5" s="74" t="s">
        <v>640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</row>
    <row r="6" customFormat="false" ht="18.75" hidden="false" customHeight="true" outlineLevel="0" collapsed="false">
      <c r="A6" s="75" t="s">
        <v>641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</row>
    <row r="7" customFormat="false" ht="18.75" hidden="false" customHeight="true" outlineLevel="0" collapsed="false">
      <c r="A7" s="75" t="s">
        <v>642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</row>
    <row r="8" customFormat="false" ht="18.75" hidden="false" customHeight="true" outlineLevel="0" collapsed="false">
      <c r="A8" s="75" t="s">
        <v>643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</row>
    <row r="9" customFormat="false" ht="18.75" hidden="false" customHeight="true" outlineLevel="0" collapsed="false">
      <c r="A9" s="75" t="s">
        <v>644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</row>
    <row r="11" customFormat="false" ht="24" hidden="false" customHeight="true" outlineLevel="0" collapsed="false">
      <c r="A11" s="197" t="s">
        <v>258</v>
      </c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</row>
    <row r="12" customFormat="false" ht="27" hidden="false" customHeight="true" outlineLevel="0" collapsed="false">
      <c r="A12" s="4" t="s">
        <v>49</v>
      </c>
      <c r="B12" s="14" t="s">
        <v>259</v>
      </c>
      <c r="C12" s="14" t="s">
        <v>260</v>
      </c>
      <c r="D12" s="14" t="s">
        <v>261</v>
      </c>
      <c r="E12" s="14" t="s">
        <v>262</v>
      </c>
      <c r="F12" s="14" t="s">
        <v>263</v>
      </c>
      <c r="G12" s="4" t="s">
        <v>264</v>
      </c>
      <c r="H12" s="4"/>
      <c r="I12" s="4"/>
      <c r="J12" s="4"/>
      <c r="K12" s="4"/>
      <c r="L12" s="4"/>
      <c r="M12" s="4"/>
      <c r="N12" s="4"/>
    </row>
    <row r="13" customFormat="false" ht="16.5" hidden="false" customHeight="true" outlineLevel="0" collapsed="false">
      <c r="A13" s="35" t="s">
        <v>265</v>
      </c>
      <c r="B13" s="36" t="n">
        <f aca="false">$B$189</f>
        <v>55000</v>
      </c>
      <c r="C13" s="36" t="n">
        <f aca="false">B13*(1+0.072727+$B$191)</f>
        <v>58999.985</v>
      </c>
      <c r="D13" s="36" t="n">
        <f aca="false">C13*(1+0.067797+$B$191)</f>
        <v>63000.006983045</v>
      </c>
      <c r="E13" s="36" t="n">
        <f aca="false">D13*(1+0.047619+$B$191)</f>
        <v>66000.0043155706</v>
      </c>
      <c r="F13" s="198" t="n">
        <f aca="false">SUM(B13:E13)</f>
        <v>242999.996298616</v>
      </c>
      <c r="G13" s="48" t="s">
        <v>266</v>
      </c>
      <c r="H13" s="48"/>
      <c r="I13" s="48"/>
      <c r="J13" s="48"/>
      <c r="K13" s="48"/>
      <c r="L13" s="48"/>
      <c r="M13" s="48"/>
      <c r="N13" s="48"/>
    </row>
    <row r="14" customFormat="false" ht="16.5" hidden="false" customHeight="true" outlineLevel="0" collapsed="false">
      <c r="A14" s="30" t="s">
        <v>267</v>
      </c>
      <c r="B14" s="77" t="n">
        <f aca="false">B13/'00-三表与联动'!E27-1</f>
        <v>0.1</v>
      </c>
      <c r="C14" s="77" t="n">
        <f aca="false">C13/B13-1</f>
        <v>0.072727</v>
      </c>
      <c r="D14" s="77" t="n">
        <f aca="false">D13/C13-1</f>
        <v>0.0677970000000001</v>
      </c>
      <c r="E14" s="77" t="n">
        <f aca="false">E13/D13-1</f>
        <v>0.0476190000000001</v>
      </c>
      <c r="F14" s="199" t="n">
        <f aca="false">F13/'00-三表与联动'!F27-1</f>
        <v>0.884319793877245</v>
      </c>
      <c r="G14" s="48" t="s">
        <v>268</v>
      </c>
      <c r="H14" s="48"/>
      <c r="I14" s="48"/>
      <c r="J14" s="48"/>
      <c r="K14" s="48"/>
      <c r="L14" s="48"/>
      <c r="M14" s="48"/>
      <c r="N14" s="48"/>
    </row>
    <row r="15" customFormat="false" ht="16.5" hidden="false" customHeight="true" outlineLevel="0" collapsed="false">
      <c r="A15" s="30" t="s">
        <v>269</v>
      </c>
      <c r="B15" s="77" t="n">
        <f aca="false">MAX(0.05,MIN(0.92,0.865+$B$193))</f>
        <v>0.865</v>
      </c>
      <c r="C15" s="77" t="n">
        <f aca="false">MAX(0.05,MIN(0.92,0.87+$B$193))</f>
        <v>0.87</v>
      </c>
      <c r="D15" s="77" t="n">
        <f aca="false">MAX(0.05,MIN(0.92,0.87+$B$193))</f>
        <v>0.87</v>
      </c>
      <c r="E15" s="77" t="n">
        <f aca="false">MAX(0.05,MIN(0.92,0.86+$B$193))</f>
        <v>0.86</v>
      </c>
      <c r="F15" s="199" t="n">
        <f aca="false">F16/F13</f>
        <v>0.866152263138281</v>
      </c>
      <c r="G15" s="49" t="s">
        <v>270</v>
      </c>
      <c r="H15" s="49"/>
      <c r="I15" s="49"/>
      <c r="J15" s="49"/>
      <c r="K15" s="49"/>
      <c r="L15" s="49"/>
      <c r="M15" s="49"/>
      <c r="N15" s="49"/>
    </row>
    <row r="16" customFormat="false" ht="16.5" hidden="false" customHeight="true" outlineLevel="0" collapsed="false">
      <c r="A16" s="30" t="s">
        <v>271</v>
      </c>
      <c r="B16" s="31" t="n">
        <f aca="false">B13*B15</f>
        <v>47575</v>
      </c>
      <c r="C16" s="31" t="n">
        <f aca="false">C13*C15</f>
        <v>51329.98695</v>
      </c>
      <c r="D16" s="31" t="n">
        <f aca="false">D13*D15</f>
        <v>54810.0060752492</v>
      </c>
      <c r="E16" s="31" t="n">
        <f aca="false">E13*E15</f>
        <v>56760.0037113907</v>
      </c>
      <c r="F16" s="198" t="n">
        <f aca="false">SUM(B16:E16)</f>
        <v>210474.99673664</v>
      </c>
      <c r="G16" s="49" t="s">
        <v>272</v>
      </c>
      <c r="H16" s="49"/>
      <c r="I16" s="49"/>
      <c r="J16" s="49"/>
      <c r="K16" s="49"/>
      <c r="L16" s="49"/>
      <c r="M16" s="49"/>
      <c r="N16" s="49"/>
    </row>
    <row r="17" customFormat="false" ht="16.5" hidden="false" customHeight="true" outlineLevel="0" collapsed="false">
      <c r="A17" s="30" t="s">
        <v>273</v>
      </c>
      <c r="B17" s="31" t="n">
        <f aca="false">B13*$B$199</f>
        <v>1925</v>
      </c>
      <c r="C17" s="31" t="n">
        <f aca="false">C13*$B$199</f>
        <v>2064.999475</v>
      </c>
      <c r="D17" s="31" t="n">
        <f aca="false">D13*$B$199</f>
        <v>2205.00024440658</v>
      </c>
      <c r="E17" s="31" t="n">
        <f aca="false">E13*$B$199</f>
        <v>2310.00015104497</v>
      </c>
      <c r="F17" s="198" t="n">
        <f aca="false">SUM(B17:E17)</f>
        <v>8504.99987045155</v>
      </c>
      <c r="G17" s="49" t="s">
        <v>274</v>
      </c>
      <c r="H17" s="49"/>
      <c r="I17" s="49"/>
      <c r="J17" s="49"/>
      <c r="K17" s="49"/>
      <c r="L17" s="49"/>
      <c r="M17" s="49"/>
      <c r="N17" s="49"/>
    </row>
    <row r="18" customFormat="false" ht="16.5" hidden="false" customHeight="true" outlineLevel="0" collapsed="false">
      <c r="A18" s="35" t="s">
        <v>275</v>
      </c>
      <c r="B18" s="36" t="n">
        <f aca="false">B16-B17</f>
        <v>45650</v>
      </c>
      <c r="C18" s="36" t="n">
        <f aca="false">C16-C17</f>
        <v>49264.987475</v>
      </c>
      <c r="D18" s="36" t="n">
        <f aca="false">D16-D17</f>
        <v>52605.0058308426</v>
      </c>
      <c r="E18" s="36" t="n">
        <f aca="false">E16-E17</f>
        <v>54450.0035603458</v>
      </c>
      <c r="F18" s="198" t="n">
        <f aca="false">SUM(B18:E18)</f>
        <v>201969.996866188</v>
      </c>
      <c r="G18" s="49" t="s">
        <v>276</v>
      </c>
      <c r="H18" s="49"/>
      <c r="I18" s="49"/>
      <c r="J18" s="49"/>
      <c r="K18" s="49"/>
      <c r="L18" s="49"/>
      <c r="M18" s="49"/>
      <c r="N18" s="49"/>
    </row>
    <row r="19" customFormat="false" ht="16.5" hidden="false" customHeight="true" outlineLevel="0" collapsed="false">
      <c r="A19" s="30" t="s">
        <v>277</v>
      </c>
      <c r="B19" s="77" t="n">
        <f aca="false">B18/B13</f>
        <v>0.83</v>
      </c>
      <c r="C19" s="77" t="n">
        <f aca="false">C18/C13</f>
        <v>0.835</v>
      </c>
      <c r="D19" s="77" t="n">
        <f aca="false">D18/D13</f>
        <v>0.835</v>
      </c>
      <c r="E19" s="77" t="n">
        <f aca="false">E18/E13</f>
        <v>0.825</v>
      </c>
      <c r="F19" s="199" t="n">
        <f aca="false">F18/F13</f>
        <v>0.831152263138281</v>
      </c>
      <c r="G19" s="49" t="s">
        <v>278</v>
      </c>
      <c r="H19" s="49"/>
      <c r="I19" s="49"/>
      <c r="J19" s="49"/>
      <c r="K19" s="49"/>
      <c r="L19" s="49"/>
      <c r="M19" s="49"/>
      <c r="N19" s="49"/>
    </row>
    <row r="20" customFormat="false" ht="16.5" hidden="false" customHeight="true" outlineLevel="0" collapsed="false">
      <c r="A20" s="30" t="s">
        <v>279</v>
      </c>
      <c r="B20" s="31" t="n">
        <f aca="false">MAX(0,B18)*$B$201</f>
        <v>7075.75</v>
      </c>
      <c r="C20" s="31" t="n">
        <f aca="false">MAX(0,C18)*$B$201</f>
        <v>7636.073058625</v>
      </c>
      <c r="D20" s="31" t="n">
        <f aca="false">MAX(0,D18)*$B$201</f>
        <v>8153.7759037806</v>
      </c>
      <c r="E20" s="31" t="n">
        <f aca="false">MAX(0,E18)*$B$201</f>
        <v>8439.7505518536</v>
      </c>
      <c r="F20" s="198" t="n">
        <f aca="false">SUM(B20:E20)</f>
        <v>31305.3495142592</v>
      </c>
      <c r="G20" s="49" t="s">
        <v>280</v>
      </c>
      <c r="H20" s="49"/>
      <c r="I20" s="49"/>
      <c r="J20" s="49"/>
      <c r="K20" s="49"/>
      <c r="L20" s="49"/>
      <c r="M20" s="49"/>
      <c r="N20" s="49"/>
    </row>
    <row r="21" customFormat="false" ht="16.5" hidden="false" customHeight="true" outlineLevel="0" collapsed="false">
      <c r="A21" s="35" t="s">
        <v>281</v>
      </c>
      <c r="B21" s="36" t="n">
        <f aca="false">B18-B20</f>
        <v>38574.25</v>
      </c>
      <c r="C21" s="36" t="n">
        <f aca="false">C18-C20</f>
        <v>41628.914416375</v>
      </c>
      <c r="D21" s="36" t="n">
        <f aca="false">D18-D20</f>
        <v>44451.229927062</v>
      </c>
      <c r="E21" s="36" t="n">
        <f aca="false">E18-E20</f>
        <v>46010.2530084922</v>
      </c>
      <c r="F21" s="198" t="n">
        <f aca="false">SUM(B21:E21)</f>
        <v>170664.647351929</v>
      </c>
      <c r="G21" s="49" t="s">
        <v>282</v>
      </c>
      <c r="H21" s="49"/>
      <c r="I21" s="49"/>
      <c r="J21" s="49"/>
      <c r="K21" s="49"/>
      <c r="L21" s="49"/>
      <c r="M21" s="49"/>
      <c r="N21" s="49"/>
    </row>
    <row r="22" customFormat="false" ht="16.5" hidden="false" customHeight="true" outlineLevel="0" collapsed="false">
      <c r="A22" s="30" t="s">
        <v>283</v>
      </c>
      <c r="B22" s="31" t="n">
        <f aca="false">B13*$B$207</f>
        <v>3575</v>
      </c>
      <c r="C22" s="31" t="n">
        <f aca="false">C13*$B$207</f>
        <v>3834.999025</v>
      </c>
      <c r="D22" s="31" t="n">
        <f aca="false">D13*$B$207</f>
        <v>4095.00045389793</v>
      </c>
      <c r="E22" s="31" t="n">
        <f aca="false">E13*$B$207</f>
        <v>4290.00028051209</v>
      </c>
      <c r="F22" s="198" t="n">
        <f aca="false">SUM(B22:E22)</f>
        <v>15794.99975941</v>
      </c>
      <c r="G22" s="49" t="s">
        <v>284</v>
      </c>
      <c r="H22" s="49"/>
      <c r="I22" s="49"/>
      <c r="J22" s="49"/>
      <c r="K22" s="49"/>
      <c r="L22" s="49"/>
      <c r="M22" s="49"/>
      <c r="N22" s="49"/>
    </row>
    <row r="23" customFormat="false" ht="16.5" hidden="false" customHeight="true" outlineLevel="0" collapsed="false">
      <c r="A23" s="30" t="s">
        <v>285</v>
      </c>
      <c r="B23" s="31" t="n">
        <f aca="false">-B13*$B$203</f>
        <v>-8525</v>
      </c>
      <c r="C23" s="31" t="n">
        <f aca="false">-C13*$B$203</f>
        <v>-9144.997675</v>
      </c>
      <c r="D23" s="31" t="n">
        <f aca="false">-D13*$B$203</f>
        <v>-9765.00108237198</v>
      </c>
      <c r="E23" s="31" t="n">
        <f aca="false">-E13*$B$203</f>
        <v>-10230.0006689134</v>
      </c>
      <c r="F23" s="198" t="n">
        <f aca="false">SUM(B23:E23)</f>
        <v>-37664.9994262854</v>
      </c>
      <c r="G23" s="49" t="s">
        <v>286</v>
      </c>
      <c r="H23" s="49"/>
      <c r="I23" s="49"/>
      <c r="J23" s="49"/>
      <c r="K23" s="49"/>
      <c r="L23" s="49"/>
      <c r="M23" s="49"/>
      <c r="N23" s="49"/>
    </row>
    <row r="24" customFormat="false" ht="16.5" hidden="false" customHeight="true" outlineLevel="0" collapsed="false">
      <c r="A24" s="30" t="s">
        <v>287</v>
      </c>
      <c r="B24" s="31" t="n">
        <f aca="false">-B23*$B$205</f>
        <v>767.25</v>
      </c>
      <c r="C24" s="31" t="n">
        <f aca="false">-C23*$B$205</f>
        <v>823.04979075</v>
      </c>
      <c r="D24" s="31" t="n">
        <f aca="false">-D23*$B$205</f>
        <v>878.850097413478</v>
      </c>
      <c r="E24" s="31" t="n">
        <f aca="false">-E23*$B$205</f>
        <v>920.70006020221</v>
      </c>
      <c r="F24" s="198" t="n">
        <f aca="false">SUM(B24:E24)</f>
        <v>3389.84994836569</v>
      </c>
      <c r="G24" s="49" t="s">
        <v>288</v>
      </c>
      <c r="H24" s="49"/>
      <c r="I24" s="49"/>
      <c r="J24" s="49"/>
      <c r="K24" s="49"/>
      <c r="L24" s="49"/>
      <c r="M24" s="49"/>
      <c r="N24" s="49"/>
    </row>
    <row r="25" customFormat="false" ht="16.5" hidden="false" customHeight="true" outlineLevel="0" collapsed="false">
      <c r="A25" s="30" t="s">
        <v>289</v>
      </c>
      <c r="B25" s="31" t="n">
        <f aca="false">B13*4*$B$209</f>
        <v>29700</v>
      </c>
      <c r="C25" s="31" t="n">
        <f aca="false">C13*4*$B$209</f>
        <v>31859.9919</v>
      </c>
      <c r="D25" s="31" t="n">
        <f aca="false">D13*4*$B$209</f>
        <v>34020.0037708443</v>
      </c>
      <c r="E25" s="31" t="n">
        <f aca="false">E13*4*$B$209</f>
        <v>35640.0023304082</v>
      </c>
      <c r="F25" s="198" t="n">
        <f aca="false">E25</f>
        <v>35640.0023304082</v>
      </c>
      <c r="G25" s="49" t="s">
        <v>290</v>
      </c>
      <c r="H25" s="49"/>
      <c r="I25" s="49"/>
      <c r="J25" s="49"/>
      <c r="K25" s="49"/>
      <c r="L25" s="49"/>
      <c r="M25" s="49"/>
      <c r="N25" s="49"/>
    </row>
    <row r="26" customFormat="false" ht="16.5" hidden="false" customHeight="true" outlineLevel="0" collapsed="false">
      <c r="A26" s="30" t="s">
        <v>291</v>
      </c>
      <c r="B26" s="31" t="n">
        <f aca="false">-(B25-'00-三表与联动'!E27*4*$B$209)</f>
        <v>-2700</v>
      </c>
      <c r="C26" s="31" t="n">
        <f aca="false">-(C25-B25)</f>
        <v>-2159.9919</v>
      </c>
      <c r="D26" s="31" t="n">
        <f aca="false">-(D25-C25)</f>
        <v>-2160.0118708443</v>
      </c>
      <c r="E26" s="31" t="n">
        <f aca="false">-(E25-D25)</f>
        <v>-1619.99855956384</v>
      </c>
      <c r="F26" s="198" t="n">
        <f aca="false">SUM(B26:E26)</f>
        <v>-8640.00233040815</v>
      </c>
      <c r="G26" s="49" t="s">
        <v>292</v>
      </c>
      <c r="H26" s="49"/>
      <c r="I26" s="49"/>
      <c r="J26" s="49"/>
      <c r="K26" s="49"/>
      <c r="L26" s="49"/>
      <c r="M26" s="49"/>
      <c r="N26" s="49"/>
    </row>
    <row r="27" customFormat="false" ht="16.5" hidden="false" customHeight="true" outlineLevel="0" collapsed="false">
      <c r="A27" s="35" t="s">
        <v>293</v>
      </c>
      <c r="B27" s="200" t="n">
        <f aca="false">B21+B22+B23+B24+B26</f>
        <v>31691.5</v>
      </c>
      <c r="C27" s="200" t="n">
        <f aca="false">C21+C22+C23+C24+C26</f>
        <v>34981.973657125</v>
      </c>
      <c r="D27" s="200" t="n">
        <f aca="false">D21+D22+D23+D24+D26</f>
        <v>37500.0675251571</v>
      </c>
      <c r="E27" s="200" t="n">
        <f aca="false">E21+E22+E23+E24+E26</f>
        <v>39370.9541207292</v>
      </c>
      <c r="F27" s="198" t="n">
        <f aca="false">SUM(B27:E27)</f>
        <v>143544.495303011</v>
      </c>
      <c r="G27" s="49" t="s">
        <v>294</v>
      </c>
      <c r="H27" s="49"/>
      <c r="I27" s="49"/>
      <c r="J27" s="49"/>
      <c r="K27" s="49"/>
      <c r="L27" s="49"/>
      <c r="M27" s="49"/>
      <c r="N27" s="49"/>
    </row>
    <row r="28" customFormat="false" ht="20.25" hidden="false" customHeight="true" outlineLevel="0" collapsed="false">
      <c r="A28" s="43" t="s">
        <v>295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30" customFormat="false" ht="24" hidden="false" customHeight="true" outlineLevel="0" collapsed="false">
      <c r="A30" s="197" t="s">
        <v>296</v>
      </c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</row>
    <row r="31" customFormat="false" ht="27" hidden="false" customHeight="true" outlineLevel="0" collapsed="false">
      <c r="A31" s="4" t="s">
        <v>49</v>
      </c>
      <c r="B31" s="14" t="s">
        <v>297</v>
      </c>
      <c r="C31" s="14" t="s">
        <v>298</v>
      </c>
      <c r="D31" s="14" t="s">
        <v>299</v>
      </c>
      <c r="E31" s="14" t="s">
        <v>300</v>
      </c>
      <c r="F31" s="14" t="s">
        <v>301</v>
      </c>
      <c r="G31" s="14" t="s">
        <v>302</v>
      </c>
      <c r="H31" s="4" t="s">
        <v>303</v>
      </c>
      <c r="I31" s="4" t="s">
        <v>264</v>
      </c>
      <c r="J31" s="4"/>
      <c r="K31" s="4"/>
      <c r="L31" s="4"/>
      <c r="M31" s="4"/>
      <c r="N31" s="4"/>
    </row>
    <row r="32" customFormat="false" ht="16.5" hidden="false" customHeight="true" outlineLevel="0" collapsed="false">
      <c r="A32" s="35" t="s">
        <v>265</v>
      </c>
      <c r="B32" s="36" t="n">
        <f aca="false">F13</f>
        <v>242999.996298616</v>
      </c>
      <c r="C32" s="36" t="n">
        <f aca="false">B32*(1+0.15)</f>
        <v>279449.995743408</v>
      </c>
      <c r="D32" s="36" t="n">
        <f aca="false">C32*(1+0.14+$B$197)</f>
        <v>318572.995147485</v>
      </c>
      <c r="E32" s="36" t="n">
        <f aca="false">D32*(1+0.12+$B$197)</f>
        <v>356801.754565183</v>
      </c>
      <c r="F32" s="36" t="n">
        <f aca="false">E32*(1+0.1+$B$197)</f>
        <v>392481.930021702</v>
      </c>
      <c r="G32" s="36" t="n">
        <f aca="false">F32*(1+0.08+$B$197)</f>
        <v>423880.484423438</v>
      </c>
      <c r="H32" s="80" t="n">
        <f aca="false">G32*(1+$B$213)</f>
        <v>438716.301378258</v>
      </c>
      <c r="I32" s="48" t="s">
        <v>304</v>
      </c>
      <c r="J32" s="48"/>
      <c r="K32" s="48"/>
      <c r="L32" s="48"/>
      <c r="M32" s="48"/>
      <c r="N32" s="48"/>
    </row>
    <row r="33" customFormat="false" ht="16.5" hidden="false" customHeight="true" outlineLevel="0" collapsed="false">
      <c r="A33" s="30" t="s">
        <v>305</v>
      </c>
      <c r="B33" s="77" t="n">
        <f aca="false">B32/'00-三表与联动'!F27-1</f>
        <v>0.884319793877245</v>
      </c>
      <c r="C33" s="77" t="n">
        <f aca="false">C32/B32-1</f>
        <v>0.15</v>
      </c>
      <c r="D33" s="77" t="n">
        <f aca="false">D32/C32-1</f>
        <v>0.14</v>
      </c>
      <c r="E33" s="77" t="n">
        <f aca="false">E32/D32-1</f>
        <v>0.12</v>
      </c>
      <c r="F33" s="77" t="n">
        <f aca="false">F32/E32-1</f>
        <v>0.1</v>
      </c>
      <c r="G33" s="77" t="n">
        <f aca="false">G32/F32-1</f>
        <v>0.0800000000000001</v>
      </c>
      <c r="H33" s="81" t="n">
        <f aca="false">$B$213</f>
        <v>0.035</v>
      </c>
      <c r="I33" s="49" t="s">
        <v>306</v>
      </c>
      <c r="J33" s="49"/>
      <c r="K33" s="49"/>
      <c r="L33" s="49"/>
      <c r="M33" s="49"/>
      <c r="N33" s="49"/>
    </row>
    <row r="34" customFormat="false" ht="16.5" hidden="false" customHeight="true" outlineLevel="0" collapsed="false">
      <c r="A34" s="30" t="s">
        <v>269</v>
      </c>
      <c r="B34" s="77" t="n">
        <f aca="false">F16/F13</f>
        <v>0.866152263138281</v>
      </c>
      <c r="C34" s="77" t="n">
        <f aca="false">MAX(0.05,MIN(0.92,0.82+$B$193))</f>
        <v>0.82</v>
      </c>
      <c r="D34" s="77" t="n">
        <f aca="false">MAX(0.05,MIN(0.92,0.8+$B$193))</f>
        <v>0.8</v>
      </c>
      <c r="E34" s="77" t="n">
        <f aca="false">MAX(0.05,MIN(0.92,0.78+$B$193))</f>
        <v>0.78</v>
      </c>
      <c r="F34" s="77" t="n">
        <f aca="false">MAX(0.05,MIN(0.92,0.76+$B$193))</f>
        <v>0.76</v>
      </c>
      <c r="G34" s="77" t="n">
        <f aca="false">$B$195</f>
        <v>0.74</v>
      </c>
      <c r="H34" s="81" t="n">
        <f aca="false">G34</f>
        <v>0.74</v>
      </c>
      <c r="I34" s="49" t="s">
        <v>307</v>
      </c>
      <c r="J34" s="49"/>
      <c r="K34" s="49"/>
      <c r="L34" s="49"/>
      <c r="M34" s="49"/>
      <c r="N34" s="49"/>
    </row>
    <row r="35" customFormat="false" ht="16.5" hidden="false" customHeight="true" outlineLevel="0" collapsed="false">
      <c r="A35" s="30" t="s">
        <v>271</v>
      </c>
      <c r="B35" s="31" t="n">
        <f aca="false">B32*B34</f>
        <v>210474.99673664</v>
      </c>
      <c r="C35" s="31" t="n">
        <f aca="false">C32*C34</f>
        <v>229148.996509595</v>
      </c>
      <c r="D35" s="31" t="n">
        <f aca="false">D32*D34</f>
        <v>254858.396117988</v>
      </c>
      <c r="E35" s="31" t="n">
        <f aca="false">E32*E34</f>
        <v>278305.368560843</v>
      </c>
      <c r="F35" s="31" t="n">
        <f aca="false">F32*F34</f>
        <v>298286.266816493</v>
      </c>
      <c r="G35" s="31" t="n">
        <f aca="false">G32*G34</f>
        <v>313671.558473344</v>
      </c>
      <c r="H35" s="82" t="n">
        <f aca="false">H32*H34</f>
        <v>324650.063019911</v>
      </c>
      <c r="I35" s="49" t="s">
        <v>272</v>
      </c>
      <c r="J35" s="49"/>
      <c r="K35" s="49"/>
      <c r="L35" s="49"/>
      <c r="M35" s="49"/>
      <c r="N35" s="49"/>
    </row>
    <row r="36" customFormat="false" ht="16.5" hidden="false" customHeight="true" outlineLevel="0" collapsed="false">
      <c r="A36" s="30" t="s">
        <v>273</v>
      </c>
      <c r="B36" s="31" t="n">
        <f aca="false">B32*$B$199</f>
        <v>8504.99987045155</v>
      </c>
      <c r="C36" s="31" t="n">
        <f aca="false">C32*$B$199</f>
        <v>9780.74985101928</v>
      </c>
      <c r="D36" s="31" t="n">
        <f aca="false">D32*$B$199</f>
        <v>11150.054830162</v>
      </c>
      <c r="E36" s="31" t="n">
        <f aca="false">E32*$B$199</f>
        <v>12488.0614097814</v>
      </c>
      <c r="F36" s="31" t="n">
        <f aca="false">F32*$B$199</f>
        <v>13736.8675507596</v>
      </c>
      <c r="G36" s="31" t="n">
        <f aca="false">G32*$B$199</f>
        <v>14835.8169548203</v>
      </c>
      <c r="H36" s="82" t="n">
        <f aca="false">H32*$B$199</f>
        <v>15355.070548239</v>
      </c>
      <c r="I36" s="49" t="s">
        <v>308</v>
      </c>
      <c r="J36" s="49"/>
      <c r="K36" s="49"/>
      <c r="L36" s="49"/>
      <c r="M36" s="49"/>
      <c r="N36" s="49"/>
    </row>
    <row r="37" customFormat="false" ht="16.5" hidden="false" customHeight="true" outlineLevel="0" collapsed="false">
      <c r="A37" s="35" t="s">
        <v>275</v>
      </c>
      <c r="B37" s="36" t="n">
        <f aca="false">B35-B36</f>
        <v>201969.996866188</v>
      </c>
      <c r="C37" s="36" t="n">
        <f aca="false">C35-C36</f>
        <v>219368.246658575</v>
      </c>
      <c r="D37" s="36" t="n">
        <f aca="false">D35-D36</f>
        <v>243708.341287826</v>
      </c>
      <c r="E37" s="36" t="n">
        <f aca="false">E35-E36</f>
        <v>265817.307151062</v>
      </c>
      <c r="F37" s="36" t="n">
        <f aca="false">F35-F36</f>
        <v>284549.399265734</v>
      </c>
      <c r="G37" s="36" t="n">
        <f aca="false">G35-G36</f>
        <v>298835.741518524</v>
      </c>
      <c r="H37" s="80" t="n">
        <f aca="false">H35-H36</f>
        <v>309294.992471672</v>
      </c>
      <c r="I37" s="49" t="s">
        <v>276</v>
      </c>
      <c r="J37" s="49"/>
      <c r="K37" s="49"/>
      <c r="L37" s="49"/>
      <c r="M37" s="49"/>
      <c r="N37" s="49"/>
    </row>
    <row r="38" customFormat="false" ht="16.5" hidden="false" customHeight="true" outlineLevel="0" collapsed="false">
      <c r="A38" s="30" t="s">
        <v>277</v>
      </c>
      <c r="B38" s="77" t="n">
        <f aca="false">B37/B32</f>
        <v>0.831152263138281</v>
      </c>
      <c r="C38" s="77" t="n">
        <f aca="false">C37/C32</f>
        <v>0.785</v>
      </c>
      <c r="D38" s="77" t="n">
        <f aca="false">D37/D32</f>
        <v>0.765</v>
      </c>
      <c r="E38" s="77" t="n">
        <f aca="false">E37/E32</f>
        <v>0.745</v>
      </c>
      <c r="F38" s="77" t="n">
        <f aca="false">F37/F32</f>
        <v>0.725</v>
      </c>
      <c r="G38" s="77" t="n">
        <f aca="false">G37/G32</f>
        <v>0.705</v>
      </c>
      <c r="H38" s="81" t="n">
        <f aca="false">H37/H32</f>
        <v>0.705</v>
      </c>
      <c r="I38" s="49" t="s">
        <v>309</v>
      </c>
      <c r="J38" s="49"/>
      <c r="K38" s="49"/>
      <c r="L38" s="49"/>
      <c r="M38" s="49"/>
      <c r="N38" s="49"/>
    </row>
    <row r="39" customFormat="false" ht="16.5" hidden="false" customHeight="true" outlineLevel="0" collapsed="false">
      <c r="A39" s="30" t="s">
        <v>310</v>
      </c>
      <c r="B39" s="31" t="n">
        <f aca="false">B37*(1-$B$201)</f>
        <v>170664.647351929</v>
      </c>
      <c r="C39" s="31" t="n">
        <f aca="false">C37*(1-$B$201)</f>
        <v>185366.168426496</v>
      </c>
      <c r="D39" s="31" t="n">
        <f aca="false">D37*(1-$B$201)</f>
        <v>205933.548388213</v>
      </c>
      <c r="E39" s="31" t="n">
        <f aca="false">E37*(1-$B$201)</f>
        <v>224615.624542647</v>
      </c>
      <c r="F39" s="31" t="n">
        <f aca="false">F37*(1-$B$201)</f>
        <v>240444.242379545</v>
      </c>
      <c r="G39" s="31" t="n">
        <f aca="false">G37*(1-$B$201)</f>
        <v>252516.201583153</v>
      </c>
      <c r="H39" s="82" t="n">
        <f aca="false">H37*(1-$B$201)</f>
        <v>261354.268638563</v>
      </c>
      <c r="I39" s="49" t="s">
        <v>311</v>
      </c>
      <c r="J39" s="49"/>
      <c r="K39" s="49"/>
      <c r="L39" s="49"/>
      <c r="M39" s="49"/>
      <c r="N39" s="49"/>
    </row>
    <row r="40" customFormat="false" ht="16.5" hidden="false" customHeight="true" outlineLevel="0" collapsed="false">
      <c r="A40" s="30" t="s">
        <v>283</v>
      </c>
      <c r="B40" s="31" t="n">
        <f aca="false">B32*$B$207</f>
        <v>15794.99975941</v>
      </c>
      <c r="C40" s="31" t="n">
        <f aca="false">C32*$B$207</f>
        <v>18164.2497233215</v>
      </c>
      <c r="D40" s="31" t="n">
        <f aca="false">D32*$B$207</f>
        <v>20707.2446845865</v>
      </c>
      <c r="E40" s="31" t="n">
        <f aca="false">E32*$B$207</f>
        <v>23192.1140467369</v>
      </c>
      <c r="F40" s="31" t="n">
        <f aca="false">F32*$B$207</f>
        <v>25511.3254514106</v>
      </c>
      <c r="G40" s="31" t="n">
        <f aca="false">G32*$B$207</f>
        <v>27552.2314875235</v>
      </c>
      <c r="H40" s="82" t="n">
        <f aca="false">H32*$B$207</f>
        <v>28516.5595895868</v>
      </c>
      <c r="I40" s="49" t="s">
        <v>312</v>
      </c>
      <c r="J40" s="49"/>
      <c r="K40" s="49"/>
      <c r="L40" s="49"/>
      <c r="M40" s="49"/>
      <c r="N40" s="49"/>
    </row>
    <row r="41" customFormat="false" ht="16.5" hidden="false" customHeight="true" outlineLevel="0" collapsed="false">
      <c r="A41" s="30" t="s">
        <v>285</v>
      </c>
      <c r="B41" s="31" t="n">
        <f aca="false">-B32*$B$203</f>
        <v>-37664.9994262854</v>
      </c>
      <c r="C41" s="31" t="n">
        <f aca="false">-C32*$B$203</f>
        <v>-43314.7493402282</v>
      </c>
      <c r="D41" s="31" t="n">
        <f aca="false">-D32*$B$203</f>
        <v>-49378.8142478602</v>
      </c>
      <c r="E41" s="31" t="n">
        <f aca="false">-E32*$B$203</f>
        <v>-55304.2719576034</v>
      </c>
      <c r="F41" s="31" t="n">
        <f aca="false">-F32*$B$203</f>
        <v>-60834.6991533638</v>
      </c>
      <c r="G41" s="31" t="n">
        <f aca="false">-G32*$B$203</f>
        <v>-65701.4750856329</v>
      </c>
      <c r="H41" s="82" t="n">
        <f aca="false">-H32*$B$203</f>
        <v>-68001.02671363</v>
      </c>
      <c r="I41" s="49" t="s">
        <v>313</v>
      </c>
      <c r="J41" s="49"/>
      <c r="K41" s="49"/>
      <c r="L41" s="49"/>
      <c r="M41" s="49"/>
      <c r="N41" s="49"/>
    </row>
    <row r="42" customFormat="false" ht="16.5" hidden="false" customHeight="true" outlineLevel="0" collapsed="false">
      <c r="A42" s="30" t="s">
        <v>287</v>
      </c>
      <c r="B42" s="31" t="n">
        <f aca="false">-B41*$B$205</f>
        <v>3389.84994836569</v>
      </c>
      <c r="C42" s="31" t="n">
        <f aca="false">-C41*$B$205</f>
        <v>3898.32744062054</v>
      </c>
      <c r="D42" s="31" t="n">
        <f aca="false">-D41*$B$205</f>
        <v>4444.09328230742</v>
      </c>
      <c r="E42" s="31" t="n">
        <f aca="false">-E41*$B$205</f>
        <v>4977.38447618431</v>
      </c>
      <c r="F42" s="31" t="n">
        <f aca="false">-F41*$B$205</f>
        <v>5475.12292380274</v>
      </c>
      <c r="G42" s="31" t="n">
        <f aca="false">-G41*$B$205</f>
        <v>5913.13275770696</v>
      </c>
      <c r="H42" s="82" t="n">
        <f aca="false">-H41*$B$205</f>
        <v>6120.0924042267</v>
      </c>
      <c r="I42" s="49" t="s">
        <v>314</v>
      </c>
      <c r="J42" s="49"/>
      <c r="K42" s="49"/>
      <c r="L42" s="49"/>
      <c r="M42" s="49"/>
      <c r="N42" s="49"/>
    </row>
    <row r="43" customFormat="false" ht="16.5" hidden="false" customHeight="true" outlineLevel="0" collapsed="false">
      <c r="A43" s="30" t="s">
        <v>289</v>
      </c>
      <c r="B43" s="31" t="n">
        <f aca="false">B32*$B$209</f>
        <v>32804.9995003131</v>
      </c>
      <c r="C43" s="31" t="n">
        <f aca="false">C32*$B$209</f>
        <v>37725.7494253601</v>
      </c>
      <c r="D43" s="31" t="n">
        <f aca="false">D32*$B$209</f>
        <v>43007.3543449105</v>
      </c>
      <c r="E43" s="31" t="n">
        <f aca="false">E32*$B$209</f>
        <v>48168.2368662998</v>
      </c>
      <c r="F43" s="31" t="n">
        <f aca="false">F32*$B$209</f>
        <v>52985.0605529297</v>
      </c>
      <c r="G43" s="31" t="n">
        <f aca="false">G32*$B$209</f>
        <v>57223.8653971641</v>
      </c>
      <c r="H43" s="82" t="n">
        <f aca="false">H32*$B$209</f>
        <v>59226.7006860649</v>
      </c>
      <c r="I43" s="49" t="s">
        <v>315</v>
      </c>
      <c r="J43" s="49"/>
      <c r="K43" s="49"/>
      <c r="L43" s="49"/>
      <c r="M43" s="49"/>
      <c r="N43" s="49"/>
    </row>
    <row r="44" customFormat="false" ht="16.5" hidden="false" customHeight="true" outlineLevel="0" collapsed="false">
      <c r="A44" s="30" t="s">
        <v>291</v>
      </c>
      <c r="B44" s="31" t="n">
        <f aca="false">-(B43-'00-三表与联动'!E27*4*$B$209)</f>
        <v>-5804.99950031311</v>
      </c>
      <c r="C44" s="31" t="n">
        <f aca="false">-(C43-B43)</f>
        <v>-4920.74992504697</v>
      </c>
      <c r="D44" s="31" t="n">
        <f aca="false">-(D43-C43)</f>
        <v>-5281.60491955041</v>
      </c>
      <c r="E44" s="31" t="n">
        <f aca="false">-(E43-D43)</f>
        <v>-5160.88252138926</v>
      </c>
      <c r="F44" s="31" t="n">
        <f aca="false">-(F43-E43)</f>
        <v>-4816.82368662999</v>
      </c>
      <c r="G44" s="31" t="n">
        <f aca="false">-(G43-F43)</f>
        <v>-4238.80484423439</v>
      </c>
      <c r="H44" s="82" t="n">
        <f aca="false">-(H43-G43)</f>
        <v>-2002.83528890074</v>
      </c>
      <c r="I44" s="49" t="s">
        <v>316</v>
      </c>
      <c r="J44" s="49"/>
      <c r="K44" s="49"/>
      <c r="L44" s="49"/>
      <c r="M44" s="49"/>
      <c r="N44" s="49"/>
    </row>
    <row r="45" customFormat="false" ht="16.5" hidden="false" customHeight="true" outlineLevel="0" collapsed="false">
      <c r="A45" s="35" t="s">
        <v>293</v>
      </c>
      <c r="B45" s="200" t="n">
        <f aca="false">B39+B40+B41+B42+B44</f>
        <v>146379.498133106</v>
      </c>
      <c r="C45" s="200" t="n">
        <f aca="false">C39+C40+C41+C42+C44</f>
        <v>159193.246325163</v>
      </c>
      <c r="D45" s="200" t="n">
        <f aca="false">D39+D40+D41+D42+D44</f>
        <v>176424.467187696</v>
      </c>
      <c r="E45" s="200" t="n">
        <f aca="false">E39+E40+E41+E42+E44</f>
        <v>192319.968586576</v>
      </c>
      <c r="F45" s="200" t="n">
        <f aca="false">F39+F40+F41+F42+F44</f>
        <v>205779.167914765</v>
      </c>
      <c r="G45" s="200" t="n">
        <f aca="false">G39+G40+G41+G42+G44</f>
        <v>216041.285898516</v>
      </c>
      <c r="H45" s="201" t="n">
        <f aca="false">H39+H40+H41+H42+H44</f>
        <v>225987.058629846</v>
      </c>
      <c r="I45" s="49" t="s">
        <v>317</v>
      </c>
      <c r="J45" s="49"/>
      <c r="K45" s="49"/>
      <c r="L45" s="49"/>
      <c r="M45" s="49"/>
      <c r="N45" s="49"/>
    </row>
    <row r="46" customFormat="false" ht="16.5" hidden="false" customHeight="true" outlineLevel="0" collapsed="false">
      <c r="A46" s="30" t="s">
        <v>318</v>
      </c>
      <c r="B46" s="77" t="n">
        <f aca="false">B45/B32</f>
        <v>0.602384775155407</v>
      </c>
      <c r="C46" s="77" t="n">
        <f aca="false">C45/C32</f>
        <v>0.569666304347826</v>
      </c>
      <c r="D46" s="77" t="n">
        <f aca="false">D45/D32</f>
        <v>0.553796052631579</v>
      </c>
      <c r="E46" s="77" t="n">
        <f aca="false">E45/E32</f>
        <v>0.539010714285715</v>
      </c>
      <c r="F46" s="77" t="n">
        <f aca="false">F45/F32</f>
        <v>0.524302272727273</v>
      </c>
      <c r="G46" s="77" t="n">
        <f aca="false">G45/G32</f>
        <v>0.509675</v>
      </c>
      <c r="H46" s="81" t="n">
        <f aca="false">H45/H32</f>
        <v>0.515109782608696</v>
      </c>
      <c r="I46" s="49" t="s">
        <v>319</v>
      </c>
      <c r="J46" s="49"/>
      <c r="K46" s="49"/>
      <c r="L46" s="49"/>
      <c r="M46" s="49"/>
      <c r="N46" s="49"/>
    </row>
    <row r="47" customFormat="false" ht="16.5" hidden="false" customHeight="true" outlineLevel="0" collapsed="false">
      <c r="A47" s="30" t="s">
        <v>320</v>
      </c>
      <c r="B47" s="84" t="n">
        <f aca="false">0.5</f>
        <v>0.5</v>
      </c>
      <c r="C47" s="84" t="n">
        <f aca="false">1.5</f>
        <v>1.5</v>
      </c>
      <c r="D47" s="84" t="n">
        <f aca="false">2.5</f>
        <v>2.5</v>
      </c>
      <c r="E47" s="84" t="n">
        <f aca="false">3.5</f>
        <v>3.5</v>
      </c>
      <c r="F47" s="84" t="n">
        <f aca="false">4.5</f>
        <v>4.5</v>
      </c>
      <c r="G47" s="84" t="n">
        <f aca="false">5.5</f>
        <v>5.5</v>
      </c>
      <c r="H47" s="82" t="s">
        <v>321</v>
      </c>
      <c r="I47" s="49" t="s">
        <v>322</v>
      </c>
      <c r="J47" s="49"/>
      <c r="K47" s="49"/>
      <c r="L47" s="49"/>
      <c r="M47" s="49"/>
      <c r="N47" s="49"/>
    </row>
    <row r="48" customFormat="false" ht="16.5" hidden="false" customHeight="true" outlineLevel="0" collapsed="false">
      <c r="A48" s="30" t="s">
        <v>323</v>
      </c>
      <c r="B48" s="84" t="n">
        <f aca="false">1/(1+$B$211)^B47</f>
        <v>0.955636965134993</v>
      </c>
      <c r="C48" s="84" t="n">
        <f aca="false">1/(1+$B$211)^C47</f>
        <v>0.87272782204109</v>
      </c>
      <c r="D48" s="84" t="n">
        <f aca="false">1/(1+$B$211)^D47</f>
        <v>0.797011709626566</v>
      </c>
      <c r="E48" s="84" t="n">
        <f aca="false">1/(1+$B$211)^E47</f>
        <v>0.72786457500143</v>
      </c>
      <c r="F48" s="84" t="n">
        <f aca="false">1/(1+$B$211)^F47</f>
        <v>0.664716506850621</v>
      </c>
      <c r="G48" s="84" t="n">
        <f aca="false">1/(1+$B$211)^G47</f>
        <v>0.607047038219745</v>
      </c>
      <c r="H48" s="82" t="s">
        <v>321</v>
      </c>
      <c r="I48" s="49" t="s">
        <v>324</v>
      </c>
      <c r="J48" s="49"/>
      <c r="K48" s="49"/>
      <c r="L48" s="49"/>
      <c r="M48" s="49"/>
      <c r="N48" s="49"/>
    </row>
    <row r="49" customFormat="false" ht="16.5" hidden="false" customHeight="true" outlineLevel="0" collapsed="false">
      <c r="A49" s="35" t="s">
        <v>325</v>
      </c>
      <c r="B49" s="200" t="n">
        <f aca="false">B45*B48</f>
        <v>139885.659353905</v>
      </c>
      <c r="C49" s="200" t="n">
        <f aca="false">C45*C48</f>
        <v>138932.37514901</v>
      </c>
      <c r="D49" s="200" t="n">
        <f aca="false">D45*D48</f>
        <v>140612.366213222</v>
      </c>
      <c r="E49" s="200" t="n">
        <f aca="false">E45*E48</f>
        <v>139982.892199556</v>
      </c>
      <c r="F49" s="200" t="n">
        <f aca="false">F45*F48</f>
        <v>136784.80967893</v>
      </c>
      <c r="G49" s="200" t="n">
        <f aca="false">G45*G48</f>
        <v>131147.222737879</v>
      </c>
      <c r="H49" s="80" t="s">
        <v>321</v>
      </c>
      <c r="I49" s="49" t="s">
        <v>326</v>
      </c>
      <c r="J49" s="49"/>
      <c r="K49" s="49"/>
      <c r="L49" s="49"/>
      <c r="M49" s="49"/>
      <c r="N49" s="49"/>
    </row>
    <row r="51" customFormat="false" ht="24" hidden="false" customHeight="true" outlineLevel="0" collapsed="false">
      <c r="A51" s="197" t="s">
        <v>327</v>
      </c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</row>
    <row r="52" customFormat="false" ht="27" hidden="false" customHeight="true" outlineLevel="0" collapsed="false">
      <c r="A52" s="4" t="s">
        <v>328</v>
      </c>
      <c r="B52" s="4" t="s">
        <v>329</v>
      </c>
      <c r="C52" s="4"/>
      <c r="D52" s="4" t="s">
        <v>330</v>
      </c>
      <c r="E52" s="4"/>
      <c r="F52" s="4"/>
      <c r="G52" s="4"/>
      <c r="H52" s="4"/>
      <c r="I52" s="4"/>
      <c r="J52" s="4"/>
      <c r="K52" s="4"/>
      <c r="L52" s="4"/>
      <c r="M52" s="4"/>
      <c r="N52" s="4"/>
    </row>
    <row r="53" customFormat="false" ht="19.5" hidden="false" customHeight="true" outlineLevel="0" collapsed="false">
      <c r="A53" s="5" t="s">
        <v>22</v>
      </c>
      <c r="B53" s="85" t="n">
        <f aca="false">'00-三表与联动'!$B$14</f>
        <v>0.042</v>
      </c>
      <c r="C53" s="85"/>
      <c r="D53" s="48" t="s">
        <v>331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</row>
    <row r="54" customFormat="false" ht="19.5" hidden="false" customHeight="true" outlineLevel="0" collapsed="false">
      <c r="A54" s="5" t="s">
        <v>24</v>
      </c>
      <c r="B54" s="85" t="n">
        <f aca="false">'00-三表与联动'!$B$15</f>
        <v>0.05</v>
      </c>
      <c r="C54" s="85"/>
      <c r="D54" s="49" t="s">
        <v>332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</row>
    <row r="55" customFormat="false" ht="28.5" hidden="false" customHeight="true" outlineLevel="0" collapsed="false">
      <c r="A55" s="5" t="s">
        <v>333</v>
      </c>
      <c r="B55" s="86" t="n">
        <f aca="false">(B56-B53)/B54</f>
        <v>1.06</v>
      </c>
      <c r="C55" s="86"/>
      <c r="D55" s="49" t="s">
        <v>334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</row>
    <row r="56" customFormat="false" ht="19.5" hidden="false" customHeight="true" outlineLevel="0" collapsed="false">
      <c r="A56" s="5" t="s">
        <v>335</v>
      </c>
      <c r="B56" s="85" t="n">
        <f aca="false">$B$211</f>
        <v>0.095</v>
      </c>
      <c r="C56" s="85"/>
      <c r="D56" s="49" t="s">
        <v>336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</row>
    <row r="57" customFormat="false" ht="28.5" hidden="false" customHeight="true" outlineLevel="0" collapsed="false">
      <c r="A57" s="5" t="s">
        <v>337</v>
      </c>
      <c r="B57" s="87" t="n">
        <v>0.0056</v>
      </c>
      <c r="C57" s="87"/>
      <c r="D57" s="49" t="s">
        <v>338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</row>
    <row r="58" customFormat="false" ht="19.5" hidden="false" customHeight="true" outlineLevel="0" collapsed="false">
      <c r="A58" s="5" t="s">
        <v>339</v>
      </c>
      <c r="B58" s="88" t="n">
        <v>24433</v>
      </c>
      <c r="C58" s="88"/>
      <c r="D58" s="49" t="s">
        <v>340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</row>
    <row r="60" customFormat="false" ht="24" hidden="false" customHeight="true" outlineLevel="0" collapsed="false">
      <c r="A60" s="197" t="s">
        <v>341</v>
      </c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</row>
    <row r="61" customFormat="false" ht="27" hidden="false" customHeight="true" outlineLevel="0" collapsed="false">
      <c r="A61" s="4" t="s">
        <v>342</v>
      </c>
      <c r="B61" s="4" t="s">
        <v>343</v>
      </c>
      <c r="C61" s="4"/>
      <c r="D61" s="4" t="s">
        <v>344</v>
      </c>
      <c r="E61" s="4"/>
      <c r="F61" s="4"/>
      <c r="G61" s="4"/>
      <c r="H61" s="4"/>
      <c r="I61" s="4"/>
      <c r="J61" s="4"/>
      <c r="K61" s="4"/>
      <c r="L61" s="4"/>
      <c r="M61" s="4"/>
      <c r="N61" s="4"/>
    </row>
    <row r="62" customFormat="false" ht="18.75" hidden="false" customHeight="true" outlineLevel="0" collapsed="false">
      <c r="A62" s="62" t="s">
        <v>345</v>
      </c>
      <c r="B62" s="89" t="n">
        <f aca="false">SUM(B49:G49)</f>
        <v>827345.325332502</v>
      </c>
      <c r="C62" s="89"/>
      <c r="D62" s="48" t="s">
        <v>346</v>
      </c>
      <c r="E62" s="48"/>
      <c r="F62" s="48"/>
      <c r="G62" s="48"/>
      <c r="H62" s="48"/>
      <c r="I62" s="48"/>
      <c r="J62" s="48"/>
      <c r="K62" s="48"/>
      <c r="L62" s="48"/>
      <c r="M62" s="48"/>
      <c r="N62" s="48"/>
    </row>
    <row r="63" customFormat="false" ht="18.75" hidden="false" customHeight="true" outlineLevel="0" collapsed="false">
      <c r="A63" s="62" t="s">
        <v>347</v>
      </c>
      <c r="B63" s="89" t="n">
        <f aca="false">H45/($B$211-$B$213)</f>
        <v>3766450.97716409</v>
      </c>
      <c r="C63" s="89"/>
      <c r="D63" s="49" t="s">
        <v>348</v>
      </c>
      <c r="E63" s="49"/>
      <c r="F63" s="49"/>
      <c r="G63" s="49"/>
      <c r="H63" s="49"/>
      <c r="I63" s="49"/>
      <c r="J63" s="49"/>
      <c r="K63" s="49"/>
      <c r="L63" s="49"/>
      <c r="M63" s="49"/>
      <c r="N63" s="49"/>
    </row>
    <row r="64" customFormat="false" ht="18.75" hidden="false" customHeight="true" outlineLevel="0" collapsed="false">
      <c r="A64" s="62" t="s">
        <v>349</v>
      </c>
      <c r="B64" s="89" t="n">
        <f aca="false">B63*G48/(1+$B$211)^0.5</f>
        <v>2184980.69463245</v>
      </c>
      <c r="C64" s="89"/>
      <c r="D64" s="49" t="s">
        <v>350</v>
      </c>
      <c r="E64" s="49"/>
      <c r="F64" s="49"/>
      <c r="G64" s="49"/>
      <c r="H64" s="49"/>
      <c r="I64" s="49"/>
      <c r="J64" s="49"/>
      <c r="K64" s="49"/>
      <c r="L64" s="49"/>
      <c r="M64" s="49"/>
      <c r="N64" s="49"/>
    </row>
    <row r="65" customFormat="false" ht="18.75" hidden="false" customHeight="true" outlineLevel="0" collapsed="false">
      <c r="A65" s="62" t="s">
        <v>351</v>
      </c>
      <c r="B65" s="90" t="n">
        <f aca="false">B64/B66</f>
        <v>0.725346685634602</v>
      </c>
      <c r="C65" s="90"/>
      <c r="D65" s="49" t="s">
        <v>352</v>
      </c>
      <c r="E65" s="49"/>
      <c r="F65" s="49"/>
      <c r="G65" s="49"/>
      <c r="H65" s="49"/>
      <c r="I65" s="49"/>
      <c r="J65" s="49"/>
      <c r="K65" s="49"/>
      <c r="L65" s="49"/>
      <c r="M65" s="49"/>
      <c r="N65" s="49"/>
    </row>
    <row r="66" customFormat="false" ht="18.75" hidden="false" customHeight="true" outlineLevel="0" collapsed="false">
      <c r="A66" s="62" t="s">
        <v>353</v>
      </c>
      <c r="B66" s="89" t="n">
        <f aca="false">B62+B64</f>
        <v>3012326.01996495</v>
      </c>
      <c r="C66" s="89"/>
      <c r="D66" s="49" t="s">
        <v>354</v>
      </c>
      <c r="E66" s="49"/>
      <c r="F66" s="49"/>
      <c r="G66" s="49"/>
      <c r="H66" s="49"/>
      <c r="I66" s="49"/>
      <c r="J66" s="49"/>
      <c r="K66" s="49"/>
      <c r="L66" s="49"/>
      <c r="M66" s="49"/>
      <c r="N66" s="49"/>
    </row>
    <row r="67" customFormat="false" ht="18.75" hidden="false" customHeight="true" outlineLevel="0" collapsed="false">
      <c r="A67" s="62" t="s">
        <v>355</v>
      </c>
      <c r="B67" s="89" t="n">
        <f aca="false">'00-三表与联动'!$B$10</f>
        <v>30155</v>
      </c>
      <c r="C67" s="89"/>
      <c r="D67" s="48" t="s">
        <v>356</v>
      </c>
      <c r="E67" s="48"/>
      <c r="F67" s="48"/>
      <c r="G67" s="48"/>
      <c r="H67" s="48"/>
      <c r="I67" s="48"/>
      <c r="J67" s="48"/>
      <c r="K67" s="48"/>
      <c r="L67" s="48"/>
      <c r="M67" s="48"/>
      <c r="N67" s="48"/>
    </row>
    <row r="68" customFormat="false" ht="18.75" hidden="false" customHeight="true" outlineLevel="0" collapsed="false">
      <c r="A68" s="62" t="s">
        <v>357</v>
      </c>
      <c r="B68" s="89" t="n">
        <v>0</v>
      </c>
      <c r="C68" s="89"/>
      <c r="D68" s="48" t="s">
        <v>358</v>
      </c>
      <c r="E68" s="48"/>
      <c r="F68" s="48"/>
      <c r="G68" s="48"/>
      <c r="H68" s="48"/>
      <c r="I68" s="48"/>
      <c r="J68" s="48"/>
      <c r="K68" s="48"/>
      <c r="L68" s="48"/>
      <c r="M68" s="48"/>
      <c r="N68" s="48"/>
    </row>
    <row r="69" customFormat="false" ht="18.75" hidden="false" customHeight="true" outlineLevel="0" collapsed="false">
      <c r="A69" s="62" t="s">
        <v>359</v>
      </c>
      <c r="B69" s="89" t="n">
        <f aca="false">-'00-三表与联动'!$B$11</f>
        <v>-5722</v>
      </c>
      <c r="C69" s="89"/>
      <c r="D69" s="48" t="s">
        <v>360</v>
      </c>
      <c r="E69" s="48"/>
      <c r="F69" s="48"/>
      <c r="G69" s="48"/>
      <c r="H69" s="48"/>
      <c r="I69" s="48"/>
      <c r="J69" s="48"/>
      <c r="K69" s="48"/>
      <c r="L69" s="48"/>
      <c r="M69" s="48"/>
      <c r="N69" s="48"/>
    </row>
    <row r="70" customFormat="false" ht="18.75" hidden="false" customHeight="true" outlineLevel="0" collapsed="false">
      <c r="A70" s="62" t="s">
        <v>361</v>
      </c>
      <c r="B70" s="89" t="n">
        <f aca="false">B66+B67+B68+B69</f>
        <v>3036759.01996495</v>
      </c>
      <c r="C70" s="89"/>
      <c r="D70" s="49" t="s">
        <v>362</v>
      </c>
      <c r="E70" s="49"/>
      <c r="F70" s="49"/>
      <c r="G70" s="49"/>
      <c r="H70" s="49"/>
      <c r="I70" s="49"/>
      <c r="J70" s="49"/>
      <c r="K70" s="49"/>
      <c r="L70" s="49"/>
      <c r="M70" s="49"/>
      <c r="N70" s="49"/>
    </row>
    <row r="71" customFormat="false" ht="18.75" hidden="false" customHeight="true" outlineLevel="0" collapsed="false">
      <c r="A71" s="62" t="s">
        <v>363</v>
      </c>
      <c r="B71" s="91" t="n">
        <f aca="false">'00-三表与联动'!$B$9</f>
        <v>1150</v>
      </c>
      <c r="C71" s="91"/>
      <c r="D71" s="49" t="s">
        <v>364</v>
      </c>
      <c r="E71" s="49"/>
      <c r="F71" s="49"/>
      <c r="G71" s="49"/>
      <c r="H71" s="49"/>
      <c r="I71" s="49"/>
      <c r="J71" s="49"/>
      <c r="K71" s="49"/>
      <c r="L71" s="49"/>
      <c r="M71" s="49"/>
      <c r="N71" s="49"/>
    </row>
    <row r="72" customFormat="false" ht="24" hidden="false" customHeight="true" outlineLevel="0" collapsed="false">
      <c r="A72" s="202" t="s">
        <v>365</v>
      </c>
      <c r="B72" s="203" t="n">
        <f aca="false">B70/B71</f>
        <v>2640.66001736083</v>
      </c>
      <c r="C72" s="203"/>
      <c r="D72" s="49" t="s">
        <v>366</v>
      </c>
      <c r="E72" s="49"/>
      <c r="F72" s="49"/>
      <c r="G72" s="49"/>
      <c r="H72" s="49"/>
      <c r="I72" s="49"/>
      <c r="J72" s="49"/>
      <c r="K72" s="49"/>
      <c r="L72" s="49"/>
      <c r="M72" s="49"/>
      <c r="N72" s="49"/>
    </row>
    <row r="73" customFormat="false" ht="18.75" hidden="false" customHeight="true" outlineLevel="0" collapsed="false">
      <c r="A73" s="62" t="s">
        <v>367</v>
      </c>
      <c r="B73" s="94" t="n">
        <f aca="false">'00-三表与联动'!$B$6</f>
        <v>903.09</v>
      </c>
      <c r="C73" s="94"/>
      <c r="D73" s="48" t="s">
        <v>368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 customFormat="false" ht="24" hidden="false" customHeight="true" outlineLevel="0" collapsed="false">
      <c r="A74" s="202" t="s">
        <v>369</v>
      </c>
      <c r="B74" s="204" t="n">
        <f aca="false">B72/B73-1</f>
        <v>1.92402752478804</v>
      </c>
      <c r="C74" s="204"/>
      <c r="D74" s="49" t="s">
        <v>370</v>
      </c>
      <c r="E74" s="49"/>
      <c r="F74" s="49"/>
      <c r="G74" s="49"/>
      <c r="H74" s="49"/>
      <c r="I74" s="49"/>
      <c r="J74" s="49"/>
      <c r="K74" s="49"/>
      <c r="L74" s="49"/>
      <c r="M74" s="49"/>
      <c r="N74" s="49"/>
    </row>
    <row r="75" customFormat="false" ht="20.25" hidden="false" customHeight="true" outlineLevel="0" collapsed="false">
      <c r="A75" s="29" t="s">
        <v>371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</row>
    <row r="77" customFormat="false" ht="24" hidden="false" customHeight="true" outlineLevel="0" collapsed="false">
      <c r="A77" s="197" t="s">
        <v>372</v>
      </c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</row>
    <row r="78" customFormat="false" ht="27" hidden="false" customHeight="true" outlineLevel="0" collapsed="false">
      <c r="A78" s="4" t="s">
        <v>373</v>
      </c>
      <c r="B78" s="4" t="s">
        <v>374</v>
      </c>
      <c r="C78" s="4"/>
      <c r="D78" s="4" t="s">
        <v>375</v>
      </c>
      <c r="E78" s="4"/>
      <c r="F78" s="4" t="s">
        <v>94</v>
      </c>
      <c r="G78" s="4"/>
      <c r="H78" s="4"/>
      <c r="I78" s="4"/>
      <c r="J78" s="4"/>
      <c r="K78" s="4"/>
      <c r="L78" s="4"/>
      <c r="M78" s="4"/>
      <c r="N78" s="4"/>
    </row>
    <row r="79" customFormat="false" ht="19.5" hidden="false" customHeight="true" outlineLevel="0" collapsed="false">
      <c r="A79" s="5" t="s">
        <v>376</v>
      </c>
      <c r="B79" s="34"/>
      <c r="C79" s="34"/>
      <c r="D79" s="205" t="n">
        <f aca="false">B63/(G37+G40)</f>
        <v>11.5397970779221</v>
      </c>
      <c r="E79" s="205"/>
      <c r="F79" s="49" t="s">
        <v>377</v>
      </c>
      <c r="G79" s="49"/>
      <c r="H79" s="49"/>
      <c r="I79" s="49"/>
      <c r="J79" s="49"/>
      <c r="K79" s="49"/>
      <c r="L79" s="49"/>
      <c r="M79" s="49"/>
      <c r="N79" s="49"/>
    </row>
    <row r="80" customFormat="false" ht="19.5" hidden="false" customHeight="true" outlineLevel="0" collapsed="false">
      <c r="A80" s="5" t="s">
        <v>378</v>
      </c>
      <c r="B80" s="34"/>
      <c r="C80" s="34"/>
      <c r="D80" s="205" t="n">
        <f aca="false">B63/G32</f>
        <v>8.88564375</v>
      </c>
      <c r="E80" s="205"/>
      <c r="F80" s="49" t="s">
        <v>379</v>
      </c>
      <c r="G80" s="49"/>
      <c r="H80" s="49"/>
      <c r="I80" s="49"/>
      <c r="J80" s="49"/>
      <c r="K80" s="49"/>
      <c r="L80" s="49"/>
      <c r="M80" s="49"/>
      <c r="N80" s="49"/>
    </row>
    <row r="81" customFormat="false" ht="19.5" hidden="false" customHeight="true" outlineLevel="0" collapsed="false">
      <c r="A81" s="5" t="s">
        <v>380</v>
      </c>
      <c r="B81" s="34"/>
      <c r="C81" s="34"/>
      <c r="D81" s="206" t="n">
        <f aca="false">B72/(F27/'00-三表与联动'!$B$9)</f>
        <v>21.1555240314482</v>
      </c>
      <c r="E81" s="206"/>
      <c r="F81" s="49" t="s">
        <v>381</v>
      </c>
      <c r="G81" s="49"/>
      <c r="H81" s="49"/>
      <c r="I81" s="49"/>
      <c r="J81" s="49"/>
      <c r="K81" s="49"/>
      <c r="L81" s="49"/>
      <c r="M81" s="49"/>
      <c r="N81" s="49"/>
    </row>
    <row r="82" customFormat="false" ht="19.5" hidden="false" customHeight="true" outlineLevel="0" collapsed="false">
      <c r="A82" s="5" t="s">
        <v>382</v>
      </c>
      <c r="B82" s="34"/>
      <c r="C82" s="34"/>
      <c r="D82" s="206" t="n">
        <f aca="false">'00-三表与联动'!$B$6/(F27/'00-三表与联动'!$B$9)</f>
        <v>7.23506323114442</v>
      </c>
      <c r="E82" s="206"/>
      <c r="F82" s="49" t="s">
        <v>383</v>
      </c>
      <c r="G82" s="49"/>
      <c r="H82" s="49"/>
      <c r="I82" s="49"/>
      <c r="J82" s="49"/>
      <c r="K82" s="49"/>
      <c r="L82" s="49"/>
      <c r="M82" s="49"/>
      <c r="N82" s="49"/>
    </row>
    <row r="83" customFormat="false" ht="19.5" hidden="false" customHeight="true" outlineLevel="0" collapsed="false">
      <c r="A83" s="5" t="s">
        <v>384</v>
      </c>
      <c r="B83" s="34"/>
      <c r="C83" s="34"/>
      <c r="D83" s="205" t="n">
        <f aca="false">'00-三表与联动'!$B$6*'00-三表与联动'!$B$9/B70</f>
        <v>0.341994044694395</v>
      </c>
      <c r="E83" s="205"/>
      <c r="F83" s="49" t="s">
        <v>385</v>
      </c>
      <c r="G83" s="49"/>
      <c r="H83" s="49"/>
      <c r="I83" s="49"/>
      <c r="J83" s="49"/>
      <c r="K83" s="49"/>
      <c r="L83" s="49"/>
      <c r="M83" s="49"/>
      <c r="N83" s="49"/>
    </row>
    <row r="85" customFormat="false" ht="24" hidden="false" customHeight="true" outlineLevel="0" collapsed="false">
      <c r="A85" s="197" t="s">
        <v>386</v>
      </c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</row>
    <row r="86" customFormat="false" ht="33" hidden="false" customHeight="true" outlineLevel="0" collapsed="false">
      <c r="A86" s="74" t="s">
        <v>387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</row>
    <row r="87" customFormat="false" ht="33" hidden="false" customHeight="true" outlineLevel="0" collapsed="false">
      <c r="A87" s="29" t="s">
        <v>388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</row>
    <row r="88" customFormat="false" ht="33" hidden="false" customHeight="true" outlineLevel="0" collapsed="false">
      <c r="A88" s="29" t="s">
        <v>389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</row>
    <row r="89" customFormat="false" ht="27" hidden="false" customHeight="true" outlineLevel="0" collapsed="false">
      <c r="A89" s="4" t="s">
        <v>390</v>
      </c>
      <c r="B89" s="14" t="s">
        <v>297</v>
      </c>
      <c r="C89" s="14" t="s">
        <v>298</v>
      </c>
      <c r="D89" s="14" t="s">
        <v>299</v>
      </c>
      <c r="E89" s="14" t="s">
        <v>300</v>
      </c>
      <c r="F89" s="14" t="s">
        <v>301</v>
      </c>
      <c r="G89" s="14" t="s">
        <v>302</v>
      </c>
      <c r="H89" s="4" t="s">
        <v>5</v>
      </c>
      <c r="I89" s="4"/>
      <c r="J89" s="4"/>
      <c r="K89" s="4"/>
      <c r="L89" s="4"/>
      <c r="M89" s="4"/>
      <c r="N89" s="4"/>
    </row>
    <row r="90" customFormat="false" ht="16.5" hidden="false" customHeight="true" outlineLevel="0" collapsed="false">
      <c r="A90" s="30" t="s">
        <v>391</v>
      </c>
      <c r="B90" s="31" t="n">
        <f aca="false">B45</f>
        <v>146379.498133106</v>
      </c>
      <c r="C90" s="31" t="n">
        <f aca="false">C45</f>
        <v>159193.246325163</v>
      </c>
      <c r="D90" s="31" t="n">
        <f aca="false">D45</f>
        <v>176424.467187696</v>
      </c>
      <c r="E90" s="31" t="n">
        <f aca="false">E45</f>
        <v>192319.968586576</v>
      </c>
      <c r="F90" s="31" t="n">
        <f aca="false">F45</f>
        <v>205779.167914765</v>
      </c>
      <c r="G90" s="31" t="n">
        <f aca="false">G45</f>
        <v>216041.285898516</v>
      </c>
      <c r="H90" s="49" t="s">
        <v>392</v>
      </c>
      <c r="I90" s="49"/>
      <c r="J90" s="49"/>
      <c r="K90" s="49"/>
      <c r="L90" s="49"/>
      <c r="M90" s="49"/>
      <c r="N90" s="49"/>
    </row>
    <row r="91" customFormat="false" ht="16.5" hidden="false" customHeight="true" outlineLevel="0" collapsed="false">
      <c r="A91" s="98" t="s">
        <v>393</v>
      </c>
      <c r="B91" s="46" t="n">
        <f aca="false">$B$133</f>
        <v>1</v>
      </c>
      <c r="C91" s="46" t="n">
        <f aca="false">$B$133</f>
        <v>1</v>
      </c>
      <c r="D91" s="46" t="n">
        <f aca="false">$B$133</f>
        <v>1</v>
      </c>
      <c r="E91" s="46" t="n">
        <f aca="false">$B$133</f>
        <v>1</v>
      </c>
      <c r="F91" s="46" t="n">
        <f aca="false">$B$133</f>
        <v>1</v>
      </c>
      <c r="G91" s="46" t="n">
        <f aca="false">$B$133</f>
        <v>1</v>
      </c>
      <c r="H91" s="49" t="s">
        <v>394</v>
      </c>
      <c r="I91" s="49"/>
      <c r="J91" s="49"/>
      <c r="K91" s="49"/>
      <c r="L91" s="49"/>
      <c r="M91" s="49"/>
      <c r="N91" s="49"/>
    </row>
    <row r="92" customFormat="false" ht="16.5" hidden="false" customHeight="true" outlineLevel="0" collapsed="false">
      <c r="A92" s="30" t="s">
        <v>395</v>
      </c>
      <c r="B92" s="31" t="n">
        <f aca="false">MAX(0,B90*B91)</f>
        <v>146379.498133106</v>
      </c>
      <c r="C92" s="31" t="n">
        <f aca="false">MAX(0,C90*C91)</f>
        <v>159193.246325163</v>
      </c>
      <c r="D92" s="31" t="n">
        <f aca="false">MAX(0,D90*D91)</f>
        <v>176424.467187696</v>
      </c>
      <c r="E92" s="31" t="n">
        <f aca="false">MAX(0,E90*E91)</f>
        <v>192319.968586576</v>
      </c>
      <c r="F92" s="31" t="n">
        <f aca="false">MAX(0,F90*F91)</f>
        <v>205779.167914765</v>
      </c>
      <c r="G92" s="31" t="n">
        <f aca="false">MAX(0,G90*G91)</f>
        <v>216041.285898516</v>
      </c>
      <c r="H92" s="49" t="s">
        <v>396</v>
      </c>
      <c r="I92" s="49"/>
      <c r="J92" s="49"/>
      <c r="K92" s="49"/>
      <c r="L92" s="49"/>
      <c r="M92" s="49"/>
      <c r="N92" s="49"/>
    </row>
    <row r="93" customFormat="false" ht="16.5" hidden="false" customHeight="true" outlineLevel="0" collapsed="false">
      <c r="A93" s="30" t="s">
        <v>397</v>
      </c>
      <c r="B93" s="99" t="n">
        <f aca="false">'00-三表与联动'!$B$6*$B$135*(1+$B$211)^0.5</f>
        <v>945.013674593918</v>
      </c>
      <c r="C93" s="99" t="n">
        <f aca="false">'00-三表与联动'!$B$6*$B$135*(1+$B$211)^1.5</f>
        <v>1034.78997368034</v>
      </c>
      <c r="D93" s="99" t="n">
        <f aca="false">'00-三表与联动'!$B$6*$B$135*(1+$B$211)^2.5</f>
        <v>1133.09502117997</v>
      </c>
      <c r="E93" s="99" t="n">
        <f aca="false">'00-三表与联动'!$B$6*$B$135*(1+$B$211)^3.5</f>
        <v>1240.73904819207</v>
      </c>
      <c r="F93" s="99" t="n">
        <f aca="false">'00-三表与联动'!$B$6*$B$135*(1+$B$211)^4.5</f>
        <v>1358.60925777032</v>
      </c>
      <c r="G93" s="99" t="n">
        <f aca="false">'00-三表与联动'!$B$6*$B$135*(1+$B$211)^5.5</f>
        <v>1487.6771372585</v>
      </c>
      <c r="H93" s="49" t="s">
        <v>398</v>
      </c>
      <c r="I93" s="49"/>
      <c r="J93" s="49"/>
      <c r="K93" s="49"/>
      <c r="L93" s="49"/>
      <c r="M93" s="49"/>
      <c r="N93" s="49"/>
    </row>
    <row r="94" customFormat="false" ht="16.5" hidden="false" customHeight="true" outlineLevel="0" collapsed="false">
      <c r="A94" s="30" t="s">
        <v>399</v>
      </c>
      <c r="B94" s="100" t="n">
        <f aca="false">B92/B93</f>
        <v>154.896698395404</v>
      </c>
      <c r="C94" s="100" t="n">
        <f aca="false">C92/C93</f>
        <v>153.841117883057</v>
      </c>
      <c r="D94" s="100" t="n">
        <f aca="false">D92/D93</f>
        <v>155.701387694717</v>
      </c>
      <c r="E94" s="100" t="n">
        <f aca="false">E92/E93</f>
        <v>155.004365234424</v>
      </c>
      <c r="F94" s="100" t="n">
        <f aca="false">F92/F93</f>
        <v>151.46309856042</v>
      </c>
      <c r="G94" s="100" t="n">
        <f aca="false">G92/G93</f>
        <v>145.220545834722</v>
      </c>
      <c r="H94" s="49" t="s">
        <v>400</v>
      </c>
      <c r="I94" s="49"/>
      <c r="J94" s="49"/>
      <c r="K94" s="49"/>
      <c r="L94" s="49"/>
      <c r="M94" s="49"/>
      <c r="N94" s="49"/>
    </row>
    <row r="95" customFormat="false" ht="16.5" hidden="false" customHeight="true" outlineLevel="0" collapsed="false">
      <c r="A95" s="30" t="s">
        <v>401</v>
      </c>
      <c r="B95" s="100" t="n">
        <f aca="false">B32*0.0115/B93</f>
        <v>2.95710002147313</v>
      </c>
      <c r="C95" s="100" t="n">
        <f aca="false">C32*0.0115/C93</f>
        <v>3.10563015953799</v>
      </c>
      <c r="D95" s="100" t="n">
        <f aca="false">D32*0.0115/D93</f>
        <v>3.23325879623134</v>
      </c>
      <c r="E95" s="100" t="n">
        <f aca="false">E32*0.0115/E93</f>
        <v>3.30707749020922</v>
      </c>
      <c r="F95" s="100" t="n">
        <f aca="false">F32*0.0115/F93</f>
        <v>3.3221783006668</v>
      </c>
      <c r="G95" s="100" t="n">
        <f aca="false">G32*0.0115/G93</f>
        <v>3.27666900887684</v>
      </c>
      <c r="H95" s="49" t="s">
        <v>402</v>
      </c>
      <c r="I95" s="49"/>
      <c r="J95" s="49"/>
      <c r="K95" s="49"/>
      <c r="L95" s="49"/>
      <c r="M95" s="49"/>
      <c r="N95" s="49"/>
    </row>
    <row r="96" customFormat="false" ht="16.5" hidden="false" customHeight="true" outlineLevel="0" collapsed="false">
      <c r="A96" s="30" t="s">
        <v>403</v>
      </c>
      <c r="B96" s="100" t="n">
        <f aca="false">'00-三表与联动'!$B$9</f>
        <v>1150</v>
      </c>
      <c r="C96" s="100" t="n">
        <f aca="false">B97</f>
        <v>998.060401626069</v>
      </c>
      <c r="D96" s="100" t="n">
        <f aca="false">C97</f>
        <v>847.32491390255</v>
      </c>
      <c r="E96" s="100" t="n">
        <f aca="false">D97</f>
        <v>694.856785004065</v>
      </c>
      <c r="F96" s="100" t="n">
        <f aca="false">E97</f>
        <v>543.159497259849</v>
      </c>
      <c r="G96" s="100" t="n">
        <f aca="false">F97</f>
        <v>395.018577000096</v>
      </c>
      <c r="H96" s="48" t="s">
        <v>404</v>
      </c>
      <c r="I96" s="48"/>
      <c r="J96" s="48"/>
      <c r="K96" s="48"/>
      <c r="L96" s="48"/>
      <c r="M96" s="48"/>
      <c r="N96" s="48"/>
    </row>
    <row r="97" customFormat="false" ht="16.5" hidden="false" customHeight="true" outlineLevel="0" collapsed="false">
      <c r="A97" s="35" t="s">
        <v>405</v>
      </c>
      <c r="B97" s="101" t="n">
        <f aca="false">MAX(20,B96-B94+B95)</f>
        <v>998.060401626069</v>
      </c>
      <c r="C97" s="101" t="n">
        <f aca="false">MAX(20,C96-C94+C95)</f>
        <v>847.32491390255</v>
      </c>
      <c r="D97" s="101" t="n">
        <f aca="false">MAX(20,D96-D94+D95)</f>
        <v>694.856785004065</v>
      </c>
      <c r="E97" s="101" t="n">
        <f aca="false">MAX(20,E96-E94+E95)</f>
        <v>543.159497259849</v>
      </c>
      <c r="F97" s="101" t="n">
        <f aca="false">MAX(20,F96-F94+F95)</f>
        <v>395.018577000096</v>
      </c>
      <c r="G97" s="101" t="n">
        <f aca="false">MAX(20,G96-G94+G95)</f>
        <v>253.074700174251</v>
      </c>
      <c r="H97" s="49" t="s">
        <v>406</v>
      </c>
      <c r="I97" s="49"/>
      <c r="J97" s="49"/>
      <c r="K97" s="49"/>
      <c r="L97" s="49"/>
      <c r="M97" s="49"/>
      <c r="N97" s="49"/>
    </row>
    <row r="98" customFormat="false" ht="16.5" hidden="false" customHeight="true" outlineLevel="0" collapsed="false">
      <c r="A98" s="30" t="s">
        <v>407</v>
      </c>
      <c r="B98" s="31" t="n">
        <f aca="false">('00-三表与联动'!$B$10-'00-三表与联动'!$B$11)+B90-B92</f>
        <v>24433</v>
      </c>
      <c r="C98" s="31" t="n">
        <f aca="false">B98+C90-C92</f>
        <v>24433</v>
      </c>
      <c r="D98" s="31" t="n">
        <f aca="false">C98+D90-D92</f>
        <v>24433</v>
      </c>
      <c r="E98" s="31" t="n">
        <f aca="false">D98+E90-E92</f>
        <v>24433</v>
      </c>
      <c r="F98" s="31" t="n">
        <f aca="false">E98+F90-F92</f>
        <v>24433</v>
      </c>
      <c r="G98" s="31" t="n">
        <f aca="false">F98+G90-G92</f>
        <v>24433</v>
      </c>
      <c r="H98" s="49" t="s">
        <v>408</v>
      </c>
      <c r="I98" s="49"/>
      <c r="J98" s="49"/>
      <c r="K98" s="49"/>
      <c r="L98" s="49"/>
      <c r="M98" s="49"/>
      <c r="N98" s="49"/>
    </row>
    <row r="99" customFormat="false" ht="16.5" hidden="false" customHeight="true" outlineLevel="0" collapsed="false">
      <c r="A99" s="30" t="s">
        <v>310</v>
      </c>
      <c r="B99" s="31" t="n">
        <f aca="false">B39</f>
        <v>170664.647351929</v>
      </c>
      <c r="C99" s="31" t="n">
        <f aca="false">C39</f>
        <v>185366.168426496</v>
      </c>
      <c r="D99" s="31" t="n">
        <f aca="false">D39</f>
        <v>205933.548388213</v>
      </c>
      <c r="E99" s="31" t="n">
        <f aca="false">E39</f>
        <v>224615.624542647</v>
      </c>
      <c r="F99" s="31" t="n">
        <f aca="false">F39</f>
        <v>240444.242379545</v>
      </c>
      <c r="G99" s="31" t="n">
        <f aca="false">G39</f>
        <v>252516.201583153</v>
      </c>
      <c r="H99" s="49" t="s">
        <v>409</v>
      </c>
      <c r="I99" s="49"/>
      <c r="J99" s="49"/>
      <c r="K99" s="49"/>
      <c r="L99" s="49"/>
      <c r="M99" s="49"/>
      <c r="N99" s="49"/>
    </row>
    <row r="100" customFormat="false" ht="16.5" hidden="false" customHeight="true" outlineLevel="0" collapsed="false">
      <c r="A100" s="35" t="s">
        <v>410</v>
      </c>
      <c r="B100" s="102" t="n">
        <f aca="false">B99/B97</f>
        <v>170.996311519701</v>
      </c>
      <c r="C100" s="102" t="n">
        <f aca="false">C99/C97</f>
        <v>218.766337900711</v>
      </c>
      <c r="D100" s="102" t="n">
        <f aca="false">D99/D97</f>
        <v>296.368334932512</v>
      </c>
      <c r="E100" s="102" t="n">
        <f aca="false">E99/E97</f>
        <v>413.535297966428</v>
      </c>
      <c r="F100" s="102" t="n">
        <f aca="false">F99/F97</f>
        <v>608.69097399307</v>
      </c>
      <c r="G100" s="102" t="n">
        <f aca="false">G99/G97</f>
        <v>997.793147277409</v>
      </c>
      <c r="H100" s="49" t="s">
        <v>411</v>
      </c>
      <c r="I100" s="49"/>
      <c r="J100" s="49"/>
      <c r="K100" s="49"/>
      <c r="L100" s="49"/>
      <c r="M100" s="49"/>
      <c r="N100" s="49"/>
    </row>
    <row r="101" customFormat="false" ht="16.5" hidden="false" customHeight="true" outlineLevel="0" collapsed="false">
      <c r="A101" s="30" t="s">
        <v>412</v>
      </c>
      <c r="B101" s="103" t="n">
        <f aca="false">B98/B97</f>
        <v>24.4804823036692</v>
      </c>
      <c r="C101" s="103" t="n">
        <f aca="false">C98/C97</f>
        <v>28.8354556783515</v>
      </c>
      <c r="D101" s="103" t="n">
        <f aca="false">D98/D97</f>
        <v>35.162641464107</v>
      </c>
      <c r="E101" s="103" t="n">
        <f aca="false">E98/E97</f>
        <v>44.9831037167913</v>
      </c>
      <c r="F101" s="103" t="n">
        <f aca="false">F98/F97</f>
        <v>61.8527872424442</v>
      </c>
      <c r="G101" s="103" t="n">
        <f aca="false">G98/G97</f>
        <v>96.5446169971831</v>
      </c>
      <c r="H101" s="49" t="s">
        <v>413</v>
      </c>
      <c r="I101" s="49"/>
      <c r="J101" s="49"/>
      <c r="K101" s="49"/>
      <c r="L101" s="49"/>
      <c r="M101" s="49"/>
      <c r="N101" s="49"/>
    </row>
    <row r="102" customFormat="false" ht="16.5" hidden="false" customHeight="true" outlineLevel="0" collapsed="false">
      <c r="A102" s="35" t="s">
        <v>414</v>
      </c>
      <c r="B102" s="207" t="n">
        <f aca="false">$B$137</f>
        <v>9</v>
      </c>
      <c r="C102" s="207" t="n">
        <f aca="false">$B$139</f>
        <v>12</v>
      </c>
      <c r="D102" s="207" t="n">
        <f aca="false">$B$139+($B$141-$B$139)*1/4</f>
        <v>12.75</v>
      </c>
      <c r="E102" s="207" t="n">
        <f aca="false">$B$139+($B$141-$B$139)*2/4</f>
        <v>13.5</v>
      </c>
      <c r="F102" s="207" t="n">
        <f aca="false">$B$139+($B$141-$B$139)*3/4</f>
        <v>14.25</v>
      </c>
      <c r="G102" s="207" t="n">
        <f aca="false">$B$141</f>
        <v>15</v>
      </c>
      <c r="H102" s="48" t="s">
        <v>415</v>
      </c>
      <c r="I102" s="48"/>
      <c r="J102" s="48"/>
      <c r="K102" s="48"/>
      <c r="L102" s="48"/>
      <c r="M102" s="48"/>
      <c r="N102" s="48"/>
    </row>
    <row r="103" customFormat="false" ht="16.5" hidden="false" customHeight="true" outlineLevel="0" collapsed="false">
      <c r="A103" s="35" t="s">
        <v>416</v>
      </c>
      <c r="B103" s="208" t="n">
        <f aca="false">B100*B102+B101</f>
        <v>1563.44728598098</v>
      </c>
      <c r="C103" s="208" t="n">
        <f aca="false">C100*C102+C101</f>
        <v>2654.03151048688</v>
      </c>
      <c r="D103" s="208" t="n">
        <f aca="false">D100*D102+D101</f>
        <v>3813.85891185363</v>
      </c>
      <c r="E103" s="208" t="n">
        <f aca="false">E100*E102+E101</f>
        <v>5627.70962626357</v>
      </c>
      <c r="F103" s="208" t="n">
        <f aca="false">F100*F102+F101</f>
        <v>8735.69916664369</v>
      </c>
      <c r="G103" s="208" t="n">
        <f aca="false">G100*G102+G101</f>
        <v>15063.4418261583</v>
      </c>
      <c r="H103" s="49" t="s">
        <v>417</v>
      </c>
      <c r="I103" s="49"/>
      <c r="J103" s="49"/>
      <c r="K103" s="49"/>
      <c r="L103" s="49"/>
      <c r="M103" s="49"/>
      <c r="N103" s="49"/>
    </row>
    <row r="104" customFormat="false" ht="16.5" hidden="false" customHeight="true" outlineLevel="0" collapsed="false">
      <c r="A104" s="30" t="s">
        <v>418</v>
      </c>
      <c r="B104" s="106" t="n">
        <f aca="false">1/(1+$B$211)^1</f>
        <v>0.91324200913242</v>
      </c>
      <c r="C104" s="106" t="n">
        <f aca="false">1/(1+$B$211)^2</f>
        <v>0.834010967244219</v>
      </c>
      <c r="D104" s="106" t="n">
        <f aca="false">1/(1+$B$211)^3</f>
        <v>0.761653851364584</v>
      </c>
      <c r="E104" s="106" t="n">
        <f aca="false">1/(1+$B$211)^4</f>
        <v>0.695574293483638</v>
      </c>
      <c r="F104" s="106" t="n">
        <f aca="false">1/(1+$B$211)^5</f>
        <v>0.635227665281862</v>
      </c>
      <c r="G104" s="106" t="n">
        <f aca="false">1/(1+$B$211)^6</f>
        <v>0.580116589298504</v>
      </c>
      <c r="H104" s="49" t="s">
        <v>419</v>
      </c>
      <c r="I104" s="49"/>
      <c r="J104" s="49"/>
      <c r="K104" s="49"/>
      <c r="L104" s="49"/>
      <c r="M104" s="49"/>
      <c r="N104" s="49"/>
    </row>
    <row r="105" customFormat="false" ht="16.5" hidden="false" customHeight="true" outlineLevel="0" collapsed="false">
      <c r="A105" s="35" t="s">
        <v>420</v>
      </c>
      <c r="B105" s="208" t="n">
        <f aca="false">B103*B104</f>
        <v>1427.8057406219</v>
      </c>
      <c r="C105" s="208" t="n">
        <f aca="false">C103*C104</f>
        <v>2213.4913871578</v>
      </c>
      <c r="D105" s="208" t="n">
        <f aca="false">D103*D104</f>
        <v>2904.84032877446</v>
      </c>
      <c r="E105" s="208" t="n">
        <f aca="false">E103*E104</f>
        <v>3914.49014721935</v>
      </c>
      <c r="F105" s="208" t="n">
        <f aca="false">F103*F104</f>
        <v>5549.15778623177</v>
      </c>
      <c r="G105" s="208" t="n">
        <f aca="false">G103*G104</f>
        <v>8738.55249528739</v>
      </c>
      <c r="H105" s="49" t="s">
        <v>421</v>
      </c>
      <c r="I105" s="49"/>
      <c r="J105" s="49"/>
      <c r="K105" s="49"/>
      <c r="L105" s="49"/>
      <c r="M105" s="49"/>
      <c r="N105" s="49"/>
    </row>
    <row r="107" customFormat="false" ht="19.5" hidden="false" customHeight="true" outlineLevel="0" collapsed="false">
      <c r="A107" s="107" t="s">
        <v>422</v>
      </c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</row>
    <row r="108" customFormat="false" ht="27" hidden="false" customHeight="true" outlineLevel="0" collapsed="false">
      <c r="A108" s="4" t="s">
        <v>423</v>
      </c>
      <c r="B108" s="4" t="s">
        <v>424</v>
      </c>
      <c r="C108" s="4" t="s">
        <v>412</v>
      </c>
      <c r="D108" s="4" t="s">
        <v>425</v>
      </c>
      <c r="E108" s="4" t="s">
        <v>426</v>
      </c>
      <c r="F108" s="4" t="s">
        <v>427</v>
      </c>
      <c r="G108" s="4" t="s">
        <v>420</v>
      </c>
      <c r="H108" s="4" t="s">
        <v>428</v>
      </c>
      <c r="I108" s="4" t="s">
        <v>429</v>
      </c>
      <c r="J108" s="4"/>
      <c r="K108" s="4"/>
      <c r="L108" s="4"/>
      <c r="M108" s="4"/>
      <c r="N108" s="4"/>
    </row>
    <row r="109" customFormat="false" ht="30" hidden="false" customHeight="true" outlineLevel="0" collapsed="false">
      <c r="A109" s="209" t="s">
        <v>430</v>
      </c>
      <c r="B109" s="109" t="n">
        <f aca="false">B100</f>
        <v>170.996311519701</v>
      </c>
      <c r="C109" s="109" t="n">
        <f aca="false">B101</f>
        <v>24.4804823036692</v>
      </c>
      <c r="D109" s="110" t="n">
        <f aca="false">B102</f>
        <v>9</v>
      </c>
      <c r="E109" s="25" t="n">
        <f aca="false">B103</f>
        <v>1563.44728598098</v>
      </c>
      <c r="F109" s="111" t="n">
        <v>1</v>
      </c>
      <c r="G109" s="25" t="n">
        <f aca="false">B103/(1+$B$211)^1</f>
        <v>1427.8057406219</v>
      </c>
      <c r="H109" s="26" t="n">
        <f aca="false">B103/(1+$B$211)^1/'00-三表与联动'!$B$6-1</f>
        <v>0.58102264516482</v>
      </c>
      <c r="I109" s="49" t="s">
        <v>431</v>
      </c>
      <c r="J109" s="49"/>
      <c r="K109" s="49"/>
      <c r="L109" s="49"/>
      <c r="M109" s="49"/>
      <c r="N109" s="49"/>
    </row>
    <row r="110" customFormat="false" ht="25.5" hidden="false" customHeight="true" outlineLevel="0" collapsed="false">
      <c r="A110" s="209" t="s">
        <v>432</v>
      </c>
      <c r="B110" s="109" t="n">
        <f aca="false">C100</f>
        <v>218.766337900711</v>
      </c>
      <c r="C110" s="109" t="n">
        <f aca="false">C101</f>
        <v>28.8354556783515</v>
      </c>
      <c r="D110" s="110" t="n">
        <f aca="false">C102</f>
        <v>12</v>
      </c>
      <c r="E110" s="25" t="n">
        <f aca="false">C103</f>
        <v>2654.03151048688</v>
      </c>
      <c r="F110" s="111" t="n">
        <v>2</v>
      </c>
      <c r="G110" s="25" t="n">
        <f aca="false">C103/(1+$B$211)^2</f>
        <v>2213.4913871578</v>
      </c>
      <c r="H110" s="26" t="n">
        <f aca="false">C103/(1+$B$211)^2/'00-三表与联动'!$B$6-1</f>
        <v>1.45101970695922</v>
      </c>
      <c r="I110" s="49" t="s">
        <v>433</v>
      </c>
      <c r="J110" s="49"/>
      <c r="K110" s="49"/>
      <c r="L110" s="49"/>
      <c r="M110" s="49"/>
      <c r="N110" s="49"/>
    </row>
    <row r="111" customFormat="false" ht="25.5" hidden="false" customHeight="true" outlineLevel="0" collapsed="false">
      <c r="A111" s="209" t="s">
        <v>434</v>
      </c>
      <c r="B111" s="109" t="n">
        <f aca="false">G100</f>
        <v>997.793147277409</v>
      </c>
      <c r="C111" s="109" t="n">
        <f aca="false">G101</f>
        <v>96.5446169971831</v>
      </c>
      <c r="D111" s="110" t="n">
        <f aca="false">G102</f>
        <v>15</v>
      </c>
      <c r="E111" s="25" t="n">
        <f aca="false">G103</f>
        <v>15063.4418261583</v>
      </c>
      <c r="F111" s="111" t="n">
        <v>6</v>
      </c>
      <c r="G111" s="25" t="n">
        <f aca="false">G103/(1+$B$211)^6</f>
        <v>8738.55249528739</v>
      </c>
      <c r="H111" s="26" t="n">
        <f aca="false">G103/(1+$B$211)^6/'00-三表与联动'!$B$6-1</f>
        <v>8.67628087487115</v>
      </c>
      <c r="I111" s="49" t="s">
        <v>435</v>
      </c>
      <c r="J111" s="49"/>
      <c r="K111" s="49"/>
      <c r="L111" s="49"/>
      <c r="M111" s="49"/>
      <c r="N111" s="49"/>
    </row>
    <row r="112" customFormat="false" ht="20.25" hidden="false" customHeight="true" outlineLevel="0" collapsed="false">
      <c r="A112" s="42" t="s">
        <v>436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</row>
    <row r="114" customFormat="false" ht="19.5" hidden="false" customHeight="true" outlineLevel="0" collapsed="false">
      <c r="A114" s="107" t="s">
        <v>437</v>
      </c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</row>
    <row r="115" customFormat="false" ht="27" hidden="false" customHeight="true" outlineLevel="0" collapsed="false">
      <c r="A115" s="4" t="s">
        <v>438</v>
      </c>
      <c r="B115" s="4" t="s">
        <v>4</v>
      </c>
      <c r="C115" s="4"/>
      <c r="D115" s="4" t="s">
        <v>232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customFormat="false" ht="18.75" hidden="false" customHeight="true" outlineLevel="0" collapsed="false">
      <c r="A116" s="112" t="s">
        <v>439</v>
      </c>
      <c r="B116" s="113" t="n">
        <f aca="false">B103</f>
        <v>1563.44728598098</v>
      </c>
      <c r="C116" s="113"/>
      <c r="D116" s="49" t="s">
        <v>440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49"/>
    </row>
    <row r="117" customFormat="false" ht="25.5" hidden="false" customHeight="true" outlineLevel="0" collapsed="false">
      <c r="A117" s="210" t="s">
        <v>441</v>
      </c>
      <c r="B117" s="211" t="n">
        <f aca="false">G105</f>
        <v>8738.55249528739</v>
      </c>
      <c r="C117" s="211"/>
      <c r="D117" s="48" t="s">
        <v>442</v>
      </c>
      <c r="E117" s="48"/>
      <c r="F117" s="48"/>
      <c r="G117" s="48"/>
      <c r="H117" s="48"/>
      <c r="I117" s="48"/>
      <c r="J117" s="48"/>
      <c r="K117" s="48"/>
      <c r="L117" s="48"/>
      <c r="M117" s="48"/>
      <c r="N117" s="48"/>
    </row>
    <row r="118" customFormat="false" ht="18.75" hidden="false" customHeight="true" outlineLevel="0" collapsed="false">
      <c r="A118" s="112" t="s">
        <v>443</v>
      </c>
      <c r="B118" s="113" t="n">
        <f aca="false">B72</f>
        <v>2640.66001736083</v>
      </c>
      <c r="C118" s="113"/>
      <c r="D118" s="49" t="s">
        <v>444</v>
      </c>
      <c r="E118" s="49"/>
      <c r="F118" s="49"/>
      <c r="G118" s="49"/>
      <c r="H118" s="49"/>
      <c r="I118" s="49"/>
      <c r="J118" s="49"/>
      <c r="K118" s="49"/>
      <c r="L118" s="49"/>
      <c r="M118" s="49"/>
      <c r="N118" s="49"/>
    </row>
    <row r="119" customFormat="false" ht="18.75" hidden="false" customHeight="true" outlineLevel="0" collapsed="false">
      <c r="A119" s="62" t="s">
        <v>445</v>
      </c>
      <c r="B119" s="116" t="n">
        <f aca="false">B117/B118-1</f>
        <v>2.3092304339962</v>
      </c>
      <c r="C119" s="116"/>
      <c r="D119" s="49" t="s">
        <v>446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/>
    </row>
    <row r="120" customFormat="false" ht="25.5" hidden="false" customHeight="true" outlineLevel="0" collapsed="false">
      <c r="A120" s="202" t="s">
        <v>447</v>
      </c>
      <c r="B120" s="212" t="n">
        <f aca="false">B63/G39</f>
        <v>14.9156804733728</v>
      </c>
      <c r="C120" s="212"/>
      <c r="D120" s="49" t="s">
        <v>448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49"/>
    </row>
    <row r="121" customFormat="false" ht="18.75" hidden="false" customHeight="true" outlineLevel="0" collapsed="false">
      <c r="A121" s="62" t="s">
        <v>449</v>
      </c>
      <c r="B121" s="89" t="n">
        <f aca="false">SUM(B92:G92)</f>
        <v>1096137.63404582</v>
      </c>
      <c r="C121" s="89"/>
      <c r="D121" s="49" t="s">
        <v>450</v>
      </c>
      <c r="E121" s="49"/>
      <c r="F121" s="49"/>
      <c r="G121" s="49"/>
      <c r="H121" s="49"/>
      <c r="I121" s="49"/>
      <c r="J121" s="49"/>
      <c r="K121" s="49"/>
      <c r="L121" s="49"/>
      <c r="M121" s="49"/>
      <c r="N121" s="49"/>
    </row>
    <row r="122" customFormat="false" ht="18.75" hidden="false" customHeight="true" outlineLevel="0" collapsed="false">
      <c r="A122" s="62" t="s">
        <v>451</v>
      </c>
      <c r="B122" s="91" t="n">
        <f aca="false">SUM(B94:G94)</f>
        <v>916.127213602744</v>
      </c>
      <c r="C122" s="91"/>
      <c r="D122" s="49" t="s">
        <v>452</v>
      </c>
      <c r="E122" s="49"/>
      <c r="F122" s="49"/>
      <c r="G122" s="49"/>
      <c r="H122" s="49"/>
      <c r="I122" s="49"/>
      <c r="J122" s="49"/>
      <c r="K122" s="49"/>
      <c r="L122" s="49"/>
      <c r="M122" s="49"/>
      <c r="N122" s="49"/>
    </row>
    <row r="123" customFormat="false" ht="18.75" hidden="false" customHeight="true" outlineLevel="0" collapsed="false">
      <c r="A123" s="112" t="s">
        <v>453</v>
      </c>
      <c r="B123" s="90" t="n">
        <f aca="false">G97/'00-三表与联动'!$B$9</f>
        <v>0.220064956673262</v>
      </c>
      <c r="C123" s="90"/>
      <c r="D123" s="49" t="s">
        <v>454</v>
      </c>
      <c r="E123" s="49"/>
      <c r="F123" s="49"/>
      <c r="G123" s="49"/>
      <c r="H123" s="49"/>
      <c r="I123" s="49"/>
      <c r="J123" s="49"/>
      <c r="K123" s="49"/>
      <c r="L123" s="49"/>
      <c r="M123" s="49"/>
      <c r="N123" s="49"/>
    </row>
    <row r="124" customFormat="false" ht="18.75" hidden="false" customHeight="true" outlineLevel="0" collapsed="false">
      <c r="A124" s="62" t="s">
        <v>455</v>
      </c>
      <c r="B124" s="113" t="n">
        <f aca="false">((G39/('00-三表与联动'!$B$9+SUM(B95:G95)))*$B$141+(('00-三表与联动'!$B$10-'00-三表与联动'!$B$11)+SUM(B90:G90))/('00-三表与联动'!$B$9+SUM(B95:G95)))/(1+$B$211)^6</f>
        <v>2435.331438321</v>
      </c>
      <c r="C124" s="113"/>
      <c r="D124" s="49" t="s">
        <v>456</v>
      </c>
      <c r="E124" s="49"/>
      <c r="F124" s="49"/>
      <c r="G124" s="49"/>
      <c r="H124" s="49"/>
      <c r="I124" s="49"/>
      <c r="J124" s="49"/>
      <c r="K124" s="49"/>
      <c r="L124" s="49"/>
      <c r="M124" s="49"/>
      <c r="N124" s="49"/>
    </row>
    <row r="125" customFormat="false" ht="25.5" hidden="false" customHeight="true" outlineLevel="0" collapsed="false">
      <c r="A125" s="202" t="s">
        <v>457</v>
      </c>
      <c r="B125" s="213" t="n">
        <f aca="false">B117-B124</f>
        <v>6303.22105696639</v>
      </c>
      <c r="C125" s="213"/>
      <c r="D125" s="49" t="s">
        <v>458</v>
      </c>
      <c r="E125" s="49"/>
      <c r="F125" s="49"/>
      <c r="G125" s="49"/>
      <c r="H125" s="49"/>
      <c r="I125" s="49"/>
      <c r="J125" s="49"/>
      <c r="K125" s="49"/>
      <c r="L125" s="49"/>
      <c r="M125" s="49"/>
      <c r="N125" s="49"/>
    </row>
    <row r="126" customFormat="false" ht="28.5" hidden="false" customHeight="true" outlineLevel="0" collapsed="false">
      <c r="A126" s="62" t="s">
        <v>459</v>
      </c>
      <c r="B126" s="119" t="n">
        <f aca="false">SUM(B92:G92)/('00-三表与联动'!$B$6*'00-三表与联动'!$B$8)</f>
        <v>1.07603142729056</v>
      </c>
      <c r="C126" s="119"/>
      <c r="D126" s="49" t="s">
        <v>460</v>
      </c>
      <c r="E126" s="49"/>
      <c r="F126" s="49"/>
      <c r="G126" s="49"/>
      <c r="H126" s="49"/>
      <c r="I126" s="49"/>
      <c r="J126" s="49"/>
      <c r="K126" s="49"/>
      <c r="L126" s="49"/>
      <c r="M126" s="49"/>
      <c r="N126" s="49"/>
    </row>
    <row r="127" customFormat="false" ht="18.75" hidden="false" customHeight="true" outlineLevel="0" collapsed="false">
      <c r="A127" s="62" t="s">
        <v>461</v>
      </c>
      <c r="B127" s="120" t="n">
        <f aca="false">B72/'00-三表与联动'!$B$6</f>
        <v>2.92402752478804</v>
      </c>
      <c r="C127" s="120"/>
      <c r="D127" s="49" t="s">
        <v>462</v>
      </c>
      <c r="E127" s="49"/>
      <c r="F127" s="49"/>
      <c r="G127" s="49"/>
      <c r="H127" s="49"/>
      <c r="I127" s="49"/>
      <c r="J127" s="49"/>
      <c r="K127" s="49"/>
      <c r="L127" s="49"/>
      <c r="M127" s="49"/>
      <c r="N127" s="49"/>
    </row>
    <row r="128" customFormat="false" ht="45.75" hidden="false" customHeight="true" outlineLevel="0" collapsed="false">
      <c r="A128" s="29" t="s">
        <v>463</v>
      </c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</row>
    <row r="130" customFormat="false" ht="24" hidden="false" customHeight="true" outlineLevel="0" collapsed="false">
      <c r="A130" s="121" t="s">
        <v>464</v>
      </c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</row>
    <row r="131" customFormat="false" ht="20.25" hidden="false" customHeight="true" outlineLevel="0" collapsed="false">
      <c r="A131" s="74" t="s">
        <v>465</v>
      </c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</row>
    <row r="132" customFormat="false" ht="27" hidden="false" customHeight="true" outlineLevel="0" collapsed="false">
      <c r="A132" s="4" t="s">
        <v>328</v>
      </c>
      <c r="B132" s="4" t="s">
        <v>466</v>
      </c>
      <c r="C132" s="4" t="s">
        <v>467</v>
      </c>
      <c r="D132" s="4"/>
      <c r="E132" s="4"/>
      <c r="F132" s="4"/>
      <c r="G132" s="4"/>
      <c r="H132" s="4" t="s">
        <v>468</v>
      </c>
      <c r="I132" s="4" t="s">
        <v>469</v>
      </c>
      <c r="J132" s="4" t="s">
        <v>94</v>
      </c>
      <c r="K132" s="4"/>
      <c r="L132" s="4"/>
      <c r="M132" s="4"/>
      <c r="N132" s="4"/>
    </row>
    <row r="133" customFormat="false" ht="30" hidden="false" customHeight="true" outlineLevel="0" collapsed="false">
      <c r="A133" s="68" t="s">
        <v>470</v>
      </c>
      <c r="B133" s="214" t="n">
        <f aca="false">H133/1000</f>
        <v>1</v>
      </c>
      <c r="C133" s="123"/>
      <c r="D133" s="123"/>
      <c r="E133" s="123"/>
      <c r="F133" s="123"/>
      <c r="G133" s="123"/>
      <c r="H133" s="124" t="n">
        <v>1000</v>
      </c>
      <c r="I133" s="125" t="s">
        <v>471</v>
      </c>
      <c r="J133" s="126" t="s">
        <v>472</v>
      </c>
      <c r="K133" s="126"/>
      <c r="L133" s="126"/>
      <c r="M133" s="126"/>
      <c r="N133" s="126"/>
    </row>
    <row r="134" customFormat="false" ht="30" hidden="false" customHeight="true" outlineLevel="0" collapsed="false">
      <c r="A134" s="68"/>
      <c r="B134" s="214"/>
      <c r="C134" s="123"/>
      <c r="D134" s="123"/>
      <c r="E134" s="123"/>
      <c r="F134" s="123"/>
      <c r="G134" s="123"/>
      <c r="H134" s="124"/>
      <c r="I134" s="125"/>
      <c r="J134" s="125"/>
      <c r="K134" s="126"/>
      <c r="L134" s="126"/>
      <c r="M134" s="126"/>
      <c r="N134" s="126"/>
    </row>
    <row r="135" customFormat="false" ht="30" hidden="false" customHeight="true" outlineLevel="0" collapsed="false">
      <c r="A135" s="68" t="s">
        <v>473</v>
      </c>
      <c r="B135" s="215" t="n">
        <f aca="false">H135/100</f>
        <v>1</v>
      </c>
      <c r="C135" s="123"/>
      <c r="D135" s="123"/>
      <c r="E135" s="123"/>
      <c r="F135" s="123"/>
      <c r="G135" s="123"/>
      <c r="H135" s="124" t="n">
        <v>100</v>
      </c>
      <c r="I135" s="125" t="s">
        <v>474</v>
      </c>
      <c r="J135" s="126" t="s">
        <v>475</v>
      </c>
      <c r="K135" s="126"/>
      <c r="L135" s="126"/>
      <c r="M135" s="126"/>
      <c r="N135" s="126"/>
    </row>
    <row r="136" customFormat="false" ht="30" hidden="false" customHeight="true" outlineLevel="0" collapsed="false">
      <c r="A136" s="68"/>
      <c r="B136" s="215"/>
      <c r="C136" s="123"/>
      <c r="D136" s="123"/>
      <c r="E136" s="123"/>
      <c r="F136" s="123"/>
      <c r="G136" s="123"/>
      <c r="H136" s="124"/>
      <c r="I136" s="125"/>
      <c r="J136" s="125"/>
      <c r="K136" s="126"/>
      <c r="L136" s="126"/>
      <c r="M136" s="126"/>
      <c r="N136" s="126"/>
    </row>
    <row r="137" customFormat="false" ht="30" hidden="false" customHeight="true" outlineLevel="0" collapsed="false">
      <c r="A137" s="128" t="s">
        <v>476</v>
      </c>
      <c r="B137" s="216" t="n">
        <f aca="false">H137/10</f>
        <v>9</v>
      </c>
      <c r="C137" s="123"/>
      <c r="D137" s="123"/>
      <c r="E137" s="123"/>
      <c r="F137" s="123"/>
      <c r="G137" s="123"/>
      <c r="H137" s="124" t="n">
        <v>90</v>
      </c>
      <c r="I137" s="125" t="s">
        <v>477</v>
      </c>
      <c r="J137" s="126" t="s">
        <v>478</v>
      </c>
      <c r="K137" s="126"/>
      <c r="L137" s="126"/>
      <c r="M137" s="126"/>
      <c r="N137" s="126"/>
    </row>
    <row r="138" customFormat="false" ht="30" hidden="false" customHeight="true" outlineLevel="0" collapsed="false">
      <c r="A138" s="128"/>
      <c r="B138" s="216"/>
      <c r="C138" s="123"/>
      <c r="D138" s="123"/>
      <c r="E138" s="123"/>
      <c r="F138" s="123"/>
      <c r="G138" s="123"/>
      <c r="H138" s="124"/>
      <c r="I138" s="125"/>
      <c r="J138" s="125"/>
      <c r="K138" s="126"/>
      <c r="L138" s="126"/>
      <c r="M138" s="126"/>
      <c r="N138" s="126"/>
    </row>
    <row r="139" customFormat="false" ht="30" hidden="false" customHeight="true" outlineLevel="0" collapsed="false">
      <c r="A139" s="128" t="s">
        <v>479</v>
      </c>
      <c r="B139" s="216" t="n">
        <f aca="false">H139/10</f>
        <v>12</v>
      </c>
      <c r="C139" s="123"/>
      <c r="D139" s="123"/>
      <c r="E139" s="123"/>
      <c r="F139" s="123"/>
      <c r="G139" s="123"/>
      <c r="H139" s="124" t="n">
        <v>120</v>
      </c>
      <c r="I139" s="125" t="s">
        <v>477</v>
      </c>
      <c r="J139" s="126" t="s">
        <v>480</v>
      </c>
      <c r="K139" s="126"/>
      <c r="L139" s="126"/>
      <c r="M139" s="126"/>
      <c r="N139" s="126"/>
    </row>
    <row r="140" customFormat="false" ht="30" hidden="false" customHeight="true" outlineLevel="0" collapsed="false">
      <c r="A140" s="128"/>
      <c r="B140" s="216"/>
      <c r="C140" s="123"/>
      <c r="D140" s="123"/>
      <c r="E140" s="123"/>
      <c r="F140" s="123"/>
      <c r="G140" s="123"/>
      <c r="H140" s="124"/>
      <c r="I140" s="125"/>
      <c r="J140" s="125"/>
      <c r="K140" s="126"/>
      <c r="L140" s="126"/>
      <c r="M140" s="126"/>
      <c r="N140" s="126"/>
    </row>
    <row r="141" customFormat="false" ht="30" hidden="false" customHeight="true" outlineLevel="0" collapsed="false">
      <c r="A141" s="128" t="s">
        <v>481</v>
      </c>
      <c r="B141" s="216" t="n">
        <f aca="false">H141/10</f>
        <v>15</v>
      </c>
      <c r="C141" s="123"/>
      <c r="D141" s="123"/>
      <c r="E141" s="123"/>
      <c r="F141" s="123"/>
      <c r="G141" s="123"/>
      <c r="H141" s="124" t="n">
        <v>150</v>
      </c>
      <c r="I141" s="125" t="s">
        <v>477</v>
      </c>
      <c r="J141" s="126" t="s">
        <v>482</v>
      </c>
      <c r="K141" s="126"/>
      <c r="L141" s="126"/>
      <c r="M141" s="126"/>
      <c r="N141" s="126"/>
    </row>
    <row r="142" customFormat="false" ht="30" hidden="false" customHeight="true" outlineLevel="0" collapsed="false">
      <c r="A142" s="128"/>
      <c r="B142" s="216"/>
      <c r="C142" s="123"/>
      <c r="D142" s="123"/>
      <c r="E142" s="123"/>
      <c r="F142" s="123"/>
      <c r="G142" s="123"/>
      <c r="H142" s="124"/>
      <c r="I142" s="125"/>
      <c r="J142" s="125"/>
      <c r="K142" s="126"/>
      <c r="L142" s="126"/>
      <c r="M142" s="126"/>
      <c r="N142" s="126"/>
    </row>
    <row r="144" customFormat="false" ht="18.75" hidden="false" customHeight="true" outlineLevel="0" collapsed="false">
      <c r="A144" s="50" t="s">
        <v>483</v>
      </c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</row>
    <row r="145" customFormat="false" ht="27.75" hidden="false" customHeight="true" outlineLevel="0" collapsed="false">
      <c r="A145" s="130" t="s">
        <v>484</v>
      </c>
      <c r="B145" s="131" t="n">
        <v>0</v>
      </c>
      <c r="C145" s="131" t="n">
        <v>0.25</v>
      </c>
      <c r="D145" s="131" t="n">
        <v>0.5</v>
      </c>
      <c r="E145" s="131" t="n">
        <v>0.75</v>
      </c>
      <c r="F145" s="131" t="n">
        <v>1</v>
      </c>
      <c r="G145" s="39"/>
      <c r="H145" s="39"/>
      <c r="I145" s="39"/>
      <c r="J145" s="39"/>
      <c r="K145" s="39"/>
      <c r="L145" s="39"/>
      <c r="M145" s="39"/>
      <c r="N145" s="39"/>
    </row>
    <row r="146" customFormat="false" ht="18.75" hidden="false" customHeight="true" outlineLevel="0" collapsed="false">
      <c r="A146" s="132" t="n">
        <f aca="false">MAX(1,$B$141+-4)</f>
        <v>11</v>
      </c>
      <c r="B146" s="99" t="n">
        <f aca="false">((G39/MAX(20,'00-三表与联动'!$B$9-B$145*SUMPRODUCT(B90:G90,1/B93:G93)+SUM(B95:G95)))*$A$146+(('00-三表与联动'!$B$10-'00-三表与联动'!$B$11)+(1-B$145)*SUM(B90:G90))/MAX(20,'00-三表与联动'!$B$9-B$145*SUMPRODUCT(B90:G90,1/B93:G93)+SUM(B95:G95)))/(1+$B$211)^6</f>
        <v>1934.17304684416</v>
      </c>
      <c r="C146" s="99" t="n">
        <f aca="false">((G39/MAX(20,'00-三表与联动'!$B$9-C$145*SUMPRODUCT(B90:G90,1/B93:G93)+SUM(B95:G95)))*$A$146+(('00-三表与联动'!$B$10-'00-三表与联动'!$B$11)+(1-C$145)*SUM(B90:G90))/MAX(20,'00-三表与联动'!$B$9-C$145*SUMPRODUCT(B90:G90,1/B93:G93)+SUM(B95:G95)))/(1+$B$211)^6</f>
        <v>2236.26224480637</v>
      </c>
      <c r="D146" s="99" t="n">
        <f aca="false">((G39/MAX(20,'00-三表与联动'!$B$9-D$145*SUMPRODUCT(B90:G90,1/B93:G93)+SUM(B95:G95)))*$A$146+(('00-三表与联动'!$B$10-'00-三表与联动'!$B$11)+(1-D$145)*SUM(B90:G90))/MAX(20,'00-三表与联动'!$B$9-D$145*SUMPRODUCT(B90:G90,1/B93:G93)+SUM(B95:G95)))/(1+$B$211)^6</f>
        <v>2732.93534612037</v>
      </c>
      <c r="E146" s="99" t="n">
        <f aca="false">((G39/MAX(20,'00-三表与联动'!$B$9-E$145*SUMPRODUCT(B90:G90,1/B93:G93)+SUM(B95:G95)))*$A$146+(('00-三表与联动'!$B$10-'00-三表与联动'!$B$11)+(1-E$145)*SUM(B90:G90))/MAX(20,'00-三表与联动'!$B$9-E$145*SUMPRODUCT(B90:G90,1/B93:G93)+SUM(B95:G95)))/(1+$B$211)^6</f>
        <v>3701.51220832971</v>
      </c>
      <c r="F146" s="99" t="n">
        <f aca="false">((G39/MAX(20,'00-三表与联动'!$B$9-F$145*SUMPRODUCT(B90:G90,1/B93:G93)+SUM(B95:G95)))*$A$146+(('00-三表与联动'!$B$10-'00-三表与联动'!$B$11)+(1-F$145)*SUM(B90:G90))/MAX(20,'00-三表与联动'!$B$9-F$145*SUMPRODUCT(B90:G90,1/B93:G93)+SUM(B95:G95)))/(1+$B$211)^6</f>
        <v>6423.20706559143</v>
      </c>
      <c r="G146" s="34"/>
      <c r="H146" s="34"/>
      <c r="I146" s="34"/>
      <c r="J146" s="34"/>
      <c r="K146" s="34"/>
      <c r="L146" s="34"/>
      <c r="M146" s="34"/>
      <c r="N146" s="34"/>
    </row>
    <row r="147" customFormat="false" ht="18.75" hidden="false" customHeight="true" outlineLevel="0" collapsed="false">
      <c r="A147" s="132" t="n">
        <f aca="false">MAX(1,$B$141+-2)</f>
        <v>13</v>
      </c>
      <c r="B147" s="99" t="n">
        <f aca="false">((G39/MAX(20,'00-三表与联动'!$B$9-B$145*SUMPRODUCT(B90:G90,1/B93:G93)+SUM(B95:G95)))*$A$147+(('00-三表与联动'!$B$10-'00-三表与联动'!$B$11)+(1-B$145)*SUM(B90:G90))/MAX(20,'00-三表与联动'!$B$9-B$145*SUMPRODUCT(B90:G90,1/B93:G93)+SUM(B95:G95)))/(1+$B$211)^6</f>
        <v>2184.75224258258</v>
      </c>
      <c r="C147" s="99" t="n">
        <f aca="false">((G39/MAX(20,'00-三表与联动'!$B$9-C$145*SUMPRODUCT(B90:G90,1/B93:G93)+SUM(B95:G95)))*$A$147+(('00-三表与联动'!$B$10-'00-三表与联动'!$B$11)+(1-C$145)*SUM(B90:G90))/MAX(20,'00-三表与联动'!$B$9-C$145*SUMPRODUCT(B90:G90,1/B93:G93)+SUM(B95:G95)))/(1+$B$211)^6</f>
        <v>2547.88422893092</v>
      </c>
      <c r="D147" s="99" t="n">
        <f aca="false">((G39/MAX(20,'00-三表与联动'!$B$9-D$145*SUMPRODUCT(B90:G90,1/B93:G93)+SUM(B95:G95)))*$A$147+(('00-三表与联动'!$B$10-'00-三表与联动'!$B$11)+(1-D$145)*SUM(B90:G90))/MAX(20,'00-三表与联动'!$B$9-D$145*SUMPRODUCT(B90:G90,1/B93:G93)+SUM(B95:G95)))/(1+$B$211)^6</f>
        <v>3144.91944588861</v>
      </c>
      <c r="E147" s="99" t="n">
        <f aca="false">((G39/MAX(20,'00-三表与联动'!$B$9-E$145*SUMPRODUCT(B90:G90,1/B93:G93)+SUM(B95:G95)))*$A$147+(('00-三表与联动'!$B$10-'00-三表与联动'!$B$11)+(1-E$145)*SUM(B90:G90))/MAX(20,'00-三表与联动'!$B$9-E$145*SUMPRODUCT(B90:G90,1/B93:G93)+SUM(B95:G95)))/(1+$B$211)^6</f>
        <v>4309.21542958386</v>
      </c>
      <c r="F147" s="99" t="n">
        <f aca="false">((G39/MAX(20,'00-三表与联动'!$B$9-F$145*SUMPRODUCT(B90:G90,1/B93:G93)+SUM(B95:G95)))*$A$147+(('00-三表与联动'!$B$10-'00-三表与联动'!$B$11)+(1-F$145)*SUM(B90:G90))/MAX(20,'00-三表与联动'!$B$9-F$145*SUMPRODUCT(B90:G90,1/B93:G93)+SUM(B95:G95)))/(1+$B$211)^6</f>
        <v>7580.87978043941</v>
      </c>
      <c r="G147" s="34"/>
      <c r="H147" s="34"/>
      <c r="I147" s="34"/>
      <c r="J147" s="34"/>
      <c r="K147" s="34"/>
      <c r="L147" s="34"/>
      <c r="M147" s="34"/>
      <c r="N147" s="34"/>
    </row>
    <row r="148" customFormat="false" ht="18.75" hidden="false" customHeight="true" outlineLevel="0" collapsed="false">
      <c r="A148" s="132" t="n">
        <f aca="false">MAX(1,$B$141+0)</f>
        <v>15</v>
      </c>
      <c r="B148" s="99" t="n">
        <f aca="false">((G39/MAX(20,'00-三表与联动'!$B$9-B$145*SUMPRODUCT(B90:G90,1/B93:G93)+SUM(B95:G95)))*$A$148+(('00-三表与联动'!$B$10-'00-三表与联动'!$B$11)+(1-B$145)*SUM(B90:G90))/MAX(20,'00-三表与联动'!$B$9-B$145*SUMPRODUCT(B90:G90,1/B93:G93)+SUM(B95:G95)))/(1+$B$211)^6</f>
        <v>2435.331438321</v>
      </c>
      <c r="C148" s="99" t="n">
        <f aca="false">((G39/MAX(20,'00-三表与联动'!$B$9-C$145*SUMPRODUCT(B90:G90,1/B93:G93)+SUM(B95:G95)))*$A$148+(('00-三表与联动'!$B$10-'00-三表与联动'!$B$11)+(1-C$145)*SUM(B90:G90))/MAX(20,'00-三表与联动'!$B$9-C$145*SUMPRODUCT(B90:G90,1/B93:G93)+SUM(B95:G95)))/(1+$B$211)^6</f>
        <v>2859.50621305547</v>
      </c>
      <c r="D148" s="99" t="n">
        <f aca="false">((G39/MAX(20,'00-三表与联动'!$B$9-D$145*SUMPRODUCT(B90:G90,1/B93:G93)+SUM(B95:G95)))*$A$148+(('00-三表与联动'!$B$10-'00-三表与联动'!$B$11)+(1-D$145)*SUM(B90:G90))/MAX(20,'00-三表与联动'!$B$9-D$145*SUMPRODUCT(B90:G90,1/B93:G93)+SUM(B95:G95)))/(1+$B$211)^6</f>
        <v>3556.90354565685</v>
      </c>
      <c r="E148" s="99" t="n">
        <f aca="false">((G39/MAX(20,'00-三表与联动'!$B$9-E$145*SUMPRODUCT(B90:G90,1/B93:G93)+SUM(B95:G95)))*$A$148+(('00-三表与联动'!$B$10-'00-三表与联动'!$B$11)+(1-E$145)*SUM(B90:G90))/MAX(20,'00-三表与联动'!$B$9-E$145*SUMPRODUCT(B90:G90,1/B93:G93)+SUM(B95:G95)))/(1+$B$211)^6</f>
        <v>4916.918650838</v>
      </c>
      <c r="F148" s="133" t="n">
        <f aca="false">((G39/MAX(20,'00-三表与联动'!$B$9-F$145*SUMPRODUCT(B90:G90,1/B93:G93)+SUM(B95:G95)))*$A$148+(('00-三表与联动'!$B$10-'00-三表与联动'!$B$11)+(1-F$145)*SUM(B90:G90))/MAX(20,'00-三表与联动'!$B$9-F$145*SUMPRODUCT(B90:G90,1/B93:G93)+SUM(B95:G95)))/(1+$B$211)^6</f>
        <v>8738.55249528739</v>
      </c>
      <c r="G148" s="34"/>
      <c r="H148" s="34"/>
      <c r="I148" s="34"/>
      <c r="J148" s="34"/>
      <c r="K148" s="34"/>
      <c r="L148" s="34"/>
      <c r="M148" s="34"/>
      <c r="N148" s="34"/>
    </row>
    <row r="149" customFormat="false" ht="18.75" hidden="false" customHeight="true" outlineLevel="0" collapsed="false">
      <c r="A149" s="132" t="n">
        <f aca="false">MAX(1,$B$141+2)</f>
        <v>17</v>
      </c>
      <c r="B149" s="99" t="n">
        <f aca="false">((G39/MAX(20,'00-三表与联动'!$B$9-B$145*SUMPRODUCT(B90:G90,1/B93:G93)+SUM(B95:G95)))*$A$149+(('00-三表与联动'!$B$10-'00-三表与联动'!$B$11)+(1-B$145)*SUM(B90:G90))/MAX(20,'00-三表与联动'!$B$9-B$145*SUMPRODUCT(B90:G90,1/B93:G93)+SUM(B95:G95)))/(1+$B$211)^6</f>
        <v>2685.91063405943</v>
      </c>
      <c r="C149" s="99" t="n">
        <f aca="false">((G39/MAX(20,'00-三表与联动'!$B$9-C$145*SUMPRODUCT(B90:G90,1/B93:G93)+SUM(B95:G95)))*$A$149+(('00-三表与联动'!$B$10-'00-三表与联动'!$B$11)+(1-C$145)*SUM(B90:G90))/MAX(20,'00-三表与联动'!$B$9-C$145*SUMPRODUCT(B90:G90,1/B93:G93)+SUM(B95:G95)))/(1+$B$211)^6</f>
        <v>3171.12819718002</v>
      </c>
      <c r="D149" s="99" t="n">
        <f aca="false">((G39/MAX(20,'00-三表与联动'!$B$9-D$145*SUMPRODUCT(B90:G90,1/B93:G93)+SUM(B95:G95)))*$A$149+(('00-三表与联动'!$B$10-'00-三表与联动'!$B$11)+(1-D$145)*SUM(B90:G90))/MAX(20,'00-三表与联动'!$B$9-D$145*SUMPRODUCT(B90:G90,1/B93:G93)+SUM(B95:G95)))/(1+$B$211)^6</f>
        <v>3968.88764542509</v>
      </c>
      <c r="E149" s="99" t="n">
        <f aca="false">((G39/MAX(20,'00-三表与联动'!$B$9-E$145*SUMPRODUCT(B90:G90,1/B93:G93)+SUM(B95:G95)))*$A$149+(('00-三表与联动'!$B$10-'00-三表与联动'!$B$11)+(1-E$145)*SUM(B90:G90))/MAX(20,'00-三表与联动'!$B$9-E$145*SUMPRODUCT(B90:G90,1/B93:G93)+SUM(B95:G95)))/(1+$B$211)^6</f>
        <v>5524.62187209215</v>
      </c>
      <c r="F149" s="99" t="n">
        <f aca="false">((G39/MAX(20,'00-三表与联动'!$B$9-F$145*SUMPRODUCT(B90:G90,1/B93:G93)+SUM(B95:G95)))*$A$149+(('00-三表与联动'!$B$10-'00-三表与联动'!$B$11)+(1-F$145)*SUM(B90:G90))/MAX(20,'00-三表与联动'!$B$9-F$145*SUMPRODUCT(B90:G90,1/B93:G93)+SUM(B95:G95)))/(1+$B$211)^6</f>
        <v>9896.22521013536</v>
      </c>
      <c r="G149" s="34"/>
      <c r="H149" s="34"/>
      <c r="I149" s="34"/>
      <c r="J149" s="34"/>
      <c r="K149" s="34"/>
      <c r="L149" s="34"/>
      <c r="M149" s="34"/>
      <c r="N149" s="34"/>
    </row>
    <row r="150" customFormat="false" ht="18.75" hidden="false" customHeight="true" outlineLevel="0" collapsed="false">
      <c r="A150" s="132" t="n">
        <f aca="false">MAX(1,$B$141+4)</f>
        <v>19</v>
      </c>
      <c r="B150" s="99" t="n">
        <f aca="false">((G39/MAX(20,'00-三表与联动'!$B$9-B$145*SUMPRODUCT(B90:G90,1/B93:G93)+SUM(B95:G95)))*$A$150+(('00-三表与联动'!$B$10-'00-三表与联动'!$B$11)+(1-B$145)*SUM(B90:G90))/MAX(20,'00-三表与联动'!$B$9-B$145*SUMPRODUCT(B90:G90,1/B93:G93)+SUM(B95:G95)))/(1+$B$211)^6</f>
        <v>2936.48982979785</v>
      </c>
      <c r="C150" s="99" t="n">
        <f aca="false">((G39/MAX(20,'00-三表与联动'!$B$9-C$145*SUMPRODUCT(B90:G90,1/B93:G93)+SUM(B95:G95)))*$A$150+(('00-三表与联动'!$B$10-'00-三表与联动'!$B$11)+(1-C$145)*SUM(B90:G90))/MAX(20,'00-三表与联动'!$B$9-C$145*SUMPRODUCT(B90:G90,1/B93:G93)+SUM(B95:G95)))/(1+$B$211)^6</f>
        <v>3482.75018130457</v>
      </c>
      <c r="D150" s="99" t="n">
        <f aca="false">((G39/MAX(20,'00-三表与联动'!$B$9-D$145*SUMPRODUCT(B90:G90,1/B93:G93)+SUM(B95:G95)))*$A$150+(('00-三表与联动'!$B$10-'00-三表与联动'!$B$11)+(1-D$145)*SUM(B90:G90))/MAX(20,'00-三表与联动'!$B$9-D$145*SUMPRODUCT(B90:G90,1/B93:G93)+SUM(B95:G95)))/(1+$B$211)^6</f>
        <v>4380.87174519334</v>
      </c>
      <c r="E150" s="99" t="n">
        <f aca="false">((G39/MAX(20,'00-三表与联动'!$B$9-E$145*SUMPRODUCT(B90:G90,1/B93:G93)+SUM(B95:G95)))*$A$150+(('00-三表与联动'!$B$10-'00-三表与联动'!$B$11)+(1-E$145)*SUM(B90:G90))/MAX(20,'00-三表与联动'!$B$9-E$145*SUMPRODUCT(B90:G90,1/B93:G93)+SUM(B95:G95)))/(1+$B$211)^6</f>
        <v>6132.3250933463</v>
      </c>
      <c r="F150" s="99" t="n">
        <f aca="false">((G39/MAX(20,'00-三表与联动'!$B$9-F$145*SUMPRODUCT(B90:G90,1/B93:G93)+SUM(B95:G95)))*$A$150+(('00-三表与联动'!$B$10-'00-三表与联动'!$B$11)+(1-F$145)*SUM(B90:G90))/MAX(20,'00-三表与联动'!$B$9-F$145*SUMPRODUCT(B90:G90,1/B93:G93)+SUM(B95:G95)))/(1+$B$211)^6</f>
        <v>11053.8979249833</v>
      </c>
      <c r="G150" s="34"/>
      <c r="H150" s="34"/>
      <c r="I150" s="34"/>
      <c r="J150" s="34"/>
      <c r="K150" s="34"/>
      <c r="L150" s="34"/>
      <c r="M150" s="34"/>
      <c r="N150" s="34"/>
    </row>
    <row r="151" customFormat="false" ht="33" hidden="false" customHeight="true" outlineLevel="0" collapsed="false">
      <c r="A151" s="42" t="s">
        <v>485</v>
      </c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</row>
    <row r="153" customFormat="false" ht="18.75" hidden="false" customHeight="true" outlineLevel="0" collapsed="false">
      <c r="A153" s="50" t="s">
        <v>486</v>
      </c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</row>
    <row r="154" customFormat="false" ht="39.75" hidden="false" customHeight="true" outlineLevel="0" collapsed="false">
      <c r="A154" s="14" t="s">
        <v>487</v>
      </c>
      <c r="B154" s="14" t="s">
        <v>488</v>
      </c>
      <c r="C154" s="14" t="s">
        <v>489</v>
      </c>
      <c r="D154" s="14" t="s">
        <v>490</v>
      </c>
      <c r="E154" s="14" t="s">
        <v>491</v>
      </c>
      <c r="F154" s="14" t="s">
        <v>492</v>
      </c>
      <c r="G154" s="4" t="s">
        <v>493</v>
      </c>
      <c r="H154" s="4"/>
      <c r="I154" s="4"/>
      <c r="J154" s="4"/>
      <c r="K154" s="4"/>
      <c r="L154" s="4"/>
      <c r="M154" s="4"/>
      <c r="N154" s="4"/>
    </row>
    <row r="155" customFormat="false" ht="18.75" hidden="false" customHeight="true" outlineLevel="0" collapsed="false">
      <c r="A155" s="134" t="n">
        <v>6</v>
      </c>
      <c r="B155" s="135" t="n">
        <f aca="false">B100*$A$155+B101</f>
        <v>1050.45835142187</v>
      </c>
      <c r="C155" s="135" t="n">
        <f aca="false">(C100*$A$155+C101)/(1+$B$211)^2</f>
        <v>1118.77023671952</v>
      </c>
      <c r="D155" s="135" t="n">
        <f aca="false">(G100*$A$155+G101)/(1+$B$211)^6</f>
        <v>3529.02527847148</v>
      </c>
      <c r="E155" s="136" t="n">
        <f aca="false">B155/'00-三表与联动'!$B$6-1</f>
        <v>0.163182353278051</v>
      </c>
      <c r="F155" s="136" t="n">
        <f aca="false">D155/'00-三表与联动'!$B$6-1</f>
        <v>2.90772268375409</v>
      </c>
      <c r="G155" s="34"/>
      <c r="H155" s="34"/>
      <c r="I155" s="34"/>
      <c r="J155" s="34"/>
      <c r="K155" s="34"/>
      <c r="L155" s="34"/>
      <c r="M155" s="34"/>
      <c r="N155" s="34"/>
    </row>
    <row r="156" customFormat="false" ht="18.75" hidden="false" customHeight="true" outlineLevel="0" collapsed="false">
      <c r="A156" s="134" t="n">
        <v>9</v>
      </c>
      <c r="B156" s="135" t="n">
        <f aca="false">B100*$A$156+B101</f>
        <v>1563.44728598098</v>
      </c>
      <c r="C156" s="135" t="n">
        <f aca="false">(C100*$A$156+C101)/(1+$B$211)^2</f>
        <v>1666.13081193866</v>
      </c>
      <c r="D156" s="135" t="n">
        <f aca="false">(G100*$A$156+G101)/(1+$B$211)^6</f>
        <v>5265.53435074345</v>
      </c>
      <c r="E156" s="136" t="n">
        <f aca="false">B156/'00-三表与联动'!$B$6-1</f>
        <v>0.731219796455478</v>
      </c>
      <c r="F156" s="136" t="n">
        <f aca="false">D156/'00-三表与联动'!$B$6-1</f>
        <v>4.83057541412644</v>
      </c>
      <c r="G156" s="34"/>
      <c r="H156" s="34"/>
      <c r="I156" s="34"/>
      <c r="J156" s="34"/>
      <c r="K156" s="34"/>
      <c r="L156" s="34"/>
      <c r="M156" s="34"/>
      <c r="N156" s="34"/>
    </row>
    <row r="157" customFormat="false" ht="18.75" hidden="false" customHeight="true" outlineLevel="0" collapsed="false">
      <c r="A157" s="134" t="n">
        <v>12</v>
      </c>
      <c r="B157" s="135" t="n">
        <f aca="false">B100*$A$157+B101</f>
        <v>2076.43622054008</v>
      </c>
      <c r="C157" s="135" t="n">
        <f aca="false">(C100*$A$157+C101)/(1+$B$211)^2</f>
        <v>2213.4913871578</v>
      </c>
      <c r="D157" s="135" t="n">
        <f aca="false">(G100*$A$157+G101)/(1+$B$211)^6</f>
        <v>7002.04342301542</v>
      </c>
      <c r="E157" s="136" t="n">
        <f aca="false">B157/'00-三表与联动'!$B$6-1</f>
        <v>1.29925723963291</v>
      </c>
      <c r="F157" s="136" t="n">
        <f aca="false">D157/'00-三表与联动'!$B$6-1</f>
        <v>6.7534281444988</v>
      </c>
      <c r="G157" s="34"/>
      <c r="H157" s="34"/>
      <c r="I157" s="34"/>
      <c r="J157" s="34"/>
      <c r="K157" s="34"/>
      <c r="L157" s="34"/>
      <c r="M157" s="34"/>
      <c r="N157" s="34"/>
    </row>
    <row r="158" customFormat="false" ht="18.75" hidden="false" customHeight="true" outlineLevel="0" collapsed="false">
      <c r="A158" s="134" t="n">
        <v>15</v>
      </c>
      <c r="B158" s="135" t="n">
        <f aca="false">B100*$A$158+B101</f>
        <v>2589.42515509918</v>
      </c>
      <c r="C158" s="135" t="n">
        <f aca="false">(C100*$A$158+C101)/(1+$B$211)^2</f>
        <v>2760.85196237694</v>
      </c>
      <c r="D158" s="135" t="n">
        <f aca="false">(G100*$A$158+G101)/(1+$B$211)^6</f>
        <v>8738.55249528739</v>
      </c>
      <c r="E158" s="136" t="n">
        <f aca="false">B158/'00-三表与联动'!$B$6-1</f>
        <v>1.86729468281033</v>
      </c>
      <c r="F158" s="136" t="n">
        <f aca="false">D158/'00-三表与联动'!$B$6-1</f>
        <v>8.67628087487115</v>
      </c>
      <c r="G158" s="34"/>
      <c r="H158" s="34"/>
      <c r="I158" s="34"/>
      <c r="J158" s="34"/>
      <c r="K158" s="34"/>
      <c r="L158" s="34"/>
      <c r="M158" s="34"/>
      <c r="N158" s="34"/>
    </row>
    <row r="159" customFormat="false" ht="18.75" hidden="false" customHeight="true" outlineLevel="0" collapsed="false">
      <c r="A159" s="134" t="n">
        <v>18</v>
      </c>
      <c r="B159" s="135" t="n">
        <f aca="false">B100*$A$159+B101</f>
        <v>3102.41408965829</v>
      </c>
      <c r="C159" s="135" t="n">
        <f aca="false">(C100*$A$159+C101)/(1+$B$211)^2</f>
        <v>3308.21253759609</v>
      </c>
      <c r="D159" s="135" t="n">
        <f aca="false">(G100*$A$159+G101)/(1+$B$211)^6</f>
        <v>10475.0615675594</v>
      </c>
      <c r="E159" s="136" t="n">
        <f aca="false">B159/'00-三表与联动'!$B$6-1</f>
        <v>2.43533212598776</v>
      </c>
      <c r="F159" s="136" t="n">
        <f aca="false">D159/'00-三表与联动'!$B$6-1</f>
        <v>10.5991336052435</v>
      </c>
      <c r="G159" s="34"/>
      <c r="H159" s="34"/>
      <c r="I159" s="34"/>
      <c r="J159" s="34"/>
      <c r="K159" s="34"/>
      <c r="L159" s="34"/>
      <c r="M159" s="34"/>
      <c r="N159" s="34"/>
    </row>
    <row r="160" customFormat="false" ht="18.75" hidden="false" customHeight="true" outlineLevel="0" collapsed="false">
      <c r="A160" s="134" t="n">
        <v>21</v>
      </c>
      <c r="B160" s="135" t="n">
        <f aca="false">B100*$A$160+B101</f>
        <v>3615.40302421739</v>
      </c>
      <c r="C160" s="135" t="n">
        <f aca="false">(C100*$A$160+C101)/(1+$B$211)^2</f>
        <v>3855.57311281523</v>
      </c>
      <c r="D160" s="135" t="n">
        <f aca="false">(G100*$A$160+G101)/(1+$B$211)^6</f>
        <v>12211.5706398313</v>
      </c>
      <c r="E160" s="136" t="n">
        <f aca="false">B160/'00-三表与联动'!$B$6-1</f>
        <v>3.00336956916519</v>
      </c>
      <c r="F160" s="136" t="n">
        <f aca="false">D160/'00-三表与联动'!$B$6-1</f>
        <v>12.5219863356159</v>
      </c>
      <c r="G160" s="34"/>
      <c r="H160" s="34"/>
      <c r="I160" s="34"/>
      <c r="J160" s="34"/>
      <c r="K160" s="34"/>
      <c r="L160" s="34"/>
      <c r="M160" s="34"/>
      <c r="N160" s="34"/>
    </row>
    <row r="161" customFormat="false" ht="33" hidden="false" customHeight="true" outlineLevel="0" collapsed="false">
      <c r="A161" s="42" t="s">
        <v>494</v>
      </c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</row>
    <row r="164" customFormat="false" ht="24" hidden="false" customHeight="true" outlineLevel="0" collapsed="false">
      <c r="A164" s="197" t="s">
        <v>495</v>
      </c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</row>
    <row r="165" customFormat="false" ht="33" hidden="false" customHeight="true" outlineLevel="0" collapsed="false">
      <c r="A165" s="43" t="s">
        <v>496</v>
      </c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</row>
    <row r="166" customFormat="false" ht="18.75" hidden="false" customHeight="true" outlineLevel="0" collapsed="false">
      <c r="A166" s="50" t="s">
        <v>497</v>
      </c>
      <c r="B166" s="50"/>
      <c r="C166" s="50"/>
      <c r="D166" s="50"/>
      <c r="E166" s="50"/>
      <c r="F166" s="50"/>
      <c r="G166" s="50"/>
      <c r="H166" s="50" t="s">
        <v>498</v>
      </c>
      <c r="I166" s="50"/>
      <c r="J166" s="50"/>
      <c r="K166" s="50"/>
      <c r="L166" s="50"/>
      <c r="M166" s="50"/>
      <c r="N166" s="50"/>
    </row>
    <row r="167" customFormat="false" ht="27.75" hidden="false" customHeight="true" outlineLevel="0" collapsed="false">
      <c r="A167" s="130" t="s">
        <v>499</v>
      </c>
      <c r="B167" s="137" t="n">
        <f aca="false">$B$213+-0.01</f>
        <v>0.025</v>
      </c>
      <c r="C167" s="137" t="n">
        <f aca="false">$B$213+-0.005</f>
        <v>0.03</v>
      </c>
      <c r="D167" s="137" t="n">
        <f aca="false">$B$213+0</f>
        <v>0.035</v>
      </c>
      <c r="E167" s="137" t="n">
        <f aca="false">$B$213+0.005</f>
        <v>0.04</v>
      </c>
      <c r="F167" s="137" t="n">
        <f aca="false">$B$213+0.01</f>
        <v>0.045</v>
      </c>
      <c r="G167" s="39"/>
      <c r="H167" s="130" t="s">
        <v>500</v>
      </c>
      <c r="I167" s="137" t="n">
        <f aca="false">MAX(0.05,MIN(0.92,$B$195+-0.1))</f>
        <v>0.64</v>
      </c>
      <c r="J167" s="137" t="n">
        <f aca="false">MAX(0.05,MIN(0.92,$B$195+-0.05))</f>
        <v>0.69</v>
      </c>
      <c r="K167" s="137" t="n">
        <f aca="false">MAX(0.05,MIN(0.92,$B$195+0))</f>
        <v>0.74</v>
      </c>
      <c r="L167" s="137" t="n">
        <f aca="false">MAX(0.05,MIN(0.92,$B$195+0.05))</f>
        <v>0.79</v>
      </c>
      <c r="M167" s="137" t="n">
        <f aca="false">MAX(0.05,MIN(0.92,$B$195+0.1))</f>
        <v>0.84</v>
      </c>
      <c r="N167" s="39"/>
    </row>
    <row r="168" customFormat="false" ht="18.75" hidden="false" customHeight="true" outlineLevel="0" collapsed="false">
      <c r="A168" s="138" t="n">
        <f aca="false">$B$211+-0.02</f>
        <v>0.075</v>
      </c>
      <c r="B168" s="103" t="n">
        <f aca="false">IF($A$168&lt;=B$167,"n/a",($B$62*(1+$B$211)^3.5/(1+$A$168)^3.5+$G$45*(1+B$167)/($A$168-B$167)/(1+$A$168)^6)+('00-三表与联动'!$B$10-'00-三表与联动'!$B$11))/'00-三表与联动'!$B$9</f>
        <v>3284.03351718683</v>
      </c>
      <c r="C168" s="103" t="n">
        <f aca="false">IF($A$168&lt;=C$167,"n/a",($B$62*(1+$B$211)^3.5/(1+$A$168)^3.5+$G$45*(1+C$167)/($A$168-C$167)/(1+$A$168)^6)+('00-三表与联动'!$B$10-'00-三表与联动'!$B$11))/'00-三表与联动'!$B$9</f>
        <v>3574.82660440737</v>
      </c>
      <c r="D168" s="103" t="n">
        <f aca="false">IF($A$168&lt;=D$167,"n/a",($B$62*(1+$B$211)^3.5/(1+$A$168)^3.5+$G$45*(1+D$167)/($A$168-D$167)/(1+$A$168)^6)+('00-三表与联动'!$B$10-'00-三表与联动'!$B$11))/'00-三表与联动'!$B$9</f>
        <v>3938.31796343305</v>
      </c>
      <c r="E168" s="103" t="n">
        <f aca="false">IF($A$168&lt;=E$167,"n/a",($B$62*(1+$B$211)^3.5/(1+$A$168)^3.5+$G$45*(1+E$167)/($A$168-E$167)/(1+$A$168)^6)+('00-三表与联动'!$B$10-'00-三表与联动'!$B$11))/'00-三表与联动'!$B$9</f>
        <v>4405.66399646606</v>
      </c>
      <c r="F168" s="103" t="n">
        <f aca="false">IF($A$168&lt;=F$167,"n/a",($B$62*(1+$B$211)^3.5/(1+$A$168)^3.5+$G$45*(1+F$167)/($A$168-F$167)/(1+$A$168)^6)+('00-三表与联动'!$B$10-'00-三表与联动'!$B$11))/'00-三表与联动'!$B$9</f>
        <v>5028.79204051008</v>
      </c>
      <c r="G168" s="39"/>
      <c r="H168" s="138" t="n">
        <f aca="false">$B$211+-0.02</f>
        <v>0.075</v>
      </c>
      <c r="I168" s="103" t="n">
        <f aca="false">IF($H$168&lt;=$B$213,"n/a",($B$62*(1+$B$211)^3.5/(1+$H$168)^3.5+(($G$32*I$167-$G$32*$B$199)*(1-$B$201)+$G$40+($G$41+$G$42)+$G$44)*(1+$B$213)/($H$168-$B$213)/(1+$H$168)^6)+('00-三表与联动'!$B$10-'00-三表与联动'!$B$11))/'00-三表与联动'!$B$9</f>
        <v>3416.12398019403</v>
      </c>
      <c r="J168" s="103" t="n">
        <f aca="false">IF($H$168&lt;=$B$213,"n/a",($B$62*(1+$B$211)^3.5/(1+$H$168)^3.5+(($G$32*J$167-$G$32*$B$199)*(1-$B$201)+$G$40+($G$41+$G$42)+$G$44)*(1+$B$213)/($H$168-$B$213)/(1+$H$168)^6)+('00-三表与联动'!$B$10-'00-三表与联动'!$B$11))/'00-三表与联动'!$B$9</f>
        <v>3677.22097181354</v>
      </c>
      <c r="K168" s="103" t="n">
        <f aca="false">IF($H$168&lt;=$B$213,"n/a",($B$62*(1+$B$211)^3.5/(1+$H$168)^3.5+(($G$32*K$167-$G$32*$B$199)*(1-$B$201)+$G$40+($G$41+$G$42)+$G$44)*(1+$B$213)/($H$168-$B$213)/(1+$H$168)^6)+('00-三表与联动'!$B$10-'00-三表与联动'!$B$11))/'00-三表与联动'!$B$9</f>
        <v>3938.31796343305</v>
      </c>
      <c r="L168" s="103" t="n">
        <f aca="false">IF($H$168&lt;=$B$213,"n/a",($B$62*(1+$B$211)^3.5/(1+$H$168)^3.5+(($G$32*L$167-$G$32*$B$199)*(1-$B$201)+$G$40+($G$41+$G$42)+$G$44)*(1+$B$213)/($H$168-$B$213)/(1+$H$168)^6)+('00-三表与联动'!$B$10-'00-三表与联动'!$B$11))/'00-三表与联动'!$B$9</f>
        <v>4199.41495505255</v>
      </c>
      <c r="M168" s="103" t="n">
        <f aca="false">IF($H$168&lt;=$B$213,"n/a",($B$62*(1+$B$211)^3.5/(1+$H$168)^3.5+(($G$32*M$167-$G$32*$B$199)*(1-$B$201)+$G$40+($G$41+$G$42)+$G$44)*(1+$B$213)/($H$168-$B$213)/(1+$H$168)^6)+('00-三表与联动'!$B$10-'00-三表与联动'!$B$11))/'00-三表与联动'!$B$9</f>
        <v>4460.51194667206</v>
      </c>
      <c r="N168" s="39"/>
    </row>
    <row r="169" customFormat="false" ht="18.75" hidden="false" customHeight="true" outlineLevel="0" collapsed="false">
      <c r="A169" s="138" t="n">
        <f aca="false">$B$211+-0.01</f>
        <v>0.085</v>
      </c>
      <c r="B169" s="103" t="n">
        <f aca="false">IF($A$169&lt;=B$167,"n/a",($B$62*(1+$B$211)^3.5/(1+$A$169)^3.5+$G$45*(1+B$167)/($A$169-B$167)/(1+$A$169)^6)+('00-三表与联动'!$B$10-'00-三表与联动'!$B$11))/'00-三表与联动'!$B$9</f>
        <v>2731.28301700528</v>
      </c>
      <c r="C169" s="103" t="n">
        <f aca="false">IF($A$169&lt;=C$167,"n/a",($B$62*(1+$B$211)^3.5/(1+$A$169)^3.5+$G$45*(1+C$167)/($A$169-C$167)/(1+$A$169)^6)+('00-三表与联动'!$B$10-'00-三表与联动'!$B$11))/'00-三表与联动'!$B$9</f>
        <v>2920.58113087637</v>
      </c>
      <c r="D169" s="103" t="n">
        <f aca="false">IF($A$169&lt;=D$167,"n/a",($B$62*(1+$B$211)^3.5/(1+$A$169)^3.5+$G$45*(1+D$167)/($A$169-D$167)/(1+$A$169)^6)+('00-三表与联动'!$B$10-'00-三表与联动'!$B$11))/'00-三表与联动'!$B$9</f>
        <v>3147.73886752167</v>
      </c>
      <c r="E169" s="103" t="n">
        <f aca="false">IF($A$169&lt;=E$167,"n/a",($B$62*(1+$B$211)^3.5/(1+$A$169)^3.5+$G$45*(1+E$167)/($A$169-E$167)/(1+$A$169)^6)+('00-三表与联动'!$B$10-'00-三表与联动'!$B$11))/'00-三表与联动'!$B$9</f>
        <v>3425.37610119927</v>
      </c>
      <c r="F169" s="103" t="n">
        <f aca="false">IF($A$169&lt;=F$167,"n/a",($B$62*(1+$B$211)^3.5/(1+$A$169)^3.5+$G$45*(1+F$167)/($A$169-F$167)/(1+$A$169)^6)+('00-三表与联动'!$B$10-'00-三表与联动'!$B$11))/'00-三表与联动'!$B$9</f>
        <v>3772.42264329627</v>
      </c>
      <c r="G169" s="39"/>
      <c r="H169" s="138" t="n">
        <f aca="false">$B$211+-0.01</f>
        <v>0.085</v>
      </c>
      <c r="I169" s="103" t="n">
        <f aca="false">IF($H$169&lt;=$B$213,"n/a",($B$62*(1+$B$211)^3.5/(1+$H$169)^3.5+(($G$32*I$167-$G$32*$B$199)*(1-$B$201)+$G$40+($G$41+$G$42)+$G$44)*(1+$B$213)/($H$169-$B$213)/(1+$H$169)^6)+('00-三表与联动'!$B$10-'00-三表与联动'!$B$11))/'00-三表与联动'!$B$9</f>
        <v>2752.5595499359</v>
      </c>
      <c r="J169" s="103" t="n">
        <f aca="false">IF($H$169&lt;=$B$213,"n/a",($B$62*(1+$B$211)^3.5/(1+$H$169)^3.5+(($G$32*J$167-$G$32*$B$199)*(1-$B$201)+$G$40+($G$41+$G$42)+$G$44)*(1+$B$213)/($H$169-$B$213)/(1+$H$169)^6)+('00-三表与联动'!$B$10-'00-三表与联动'!$B$11))/'00-三表与联动'!$B$9</f>
        <v>2950.14920872878</v>
      </c>
      <c r="K169" s="103" t="n">
        <f aca="false">IF($H$169&lt;=$B$213,"n/a",($B$62*(1+$B$211)^3.5/(1+$H$169)^3.5+(($G$32*K$167-$G$32*$B$199)*(1-$B$201)+$G$40+($G$41+$G$42)+$G$44)*(1+$B$213)/($H$169-$B$213)/(1+$H$169)^6)+('00-三表与联动'!$B$10-'00-三表与联动'!$B$11))/'00-三表与联动'!$B$9</f>
        <v>3147.73886752167</v>
      </c>
      <c r="L169" s="103" t="n">
        <f aca="false">IF($H$169&lt;=$B$213,"n/a",($B$62*(1+$B$211)^3.5/(1+$H$169)^3.5+(($G$32*L$167-$G$32*$B$199)*(1-$B$201)+$G$40+($G$41+$G$42)+$G$44)*(1+$B$213)/($H$169-$B$213)/(1+$H$169)^6)+('00-三表与联动'!$B$10-'00-三表与联动'!$B$11))/'00-三表与联动'!$B$9</f>
        <v>3345.32852631456</v>
      </c>
      <c r="M169" s="103" t="n">
        <f aca="false">IF($H$169&lt;=$B$213,"n/a",($B$62*(1+$B$211)^3.5/(1+$H$169)^3.5+(($G$32*M$167-$G$32*$B$199)*(1-$B$201)+$G$40+($G$41+$G$42)+$G$44)*(1+$B$213)/($H$169-$B$213)/(1+$H$169)^6)+('00-三表与联动'!$B$10-'00-三表与联动'!$B$11))/'00-三表与联动'!$B$9</f>
        <v>3542.91818510745</v>
      </c>
      <c r="N169" s="39"/>
    </row>
    <row r="170" customFormat="false" ht="18.75" hidden="false" customHeight="true" outlineLevel="0" collapsed="false">
      <c r="A170" s="138" t="n">
        <f aca="false">$B$211+0</f>
        <v>0.095</v>
      </c>
      <c r="B170" s="103" t="n">
        <f aca="false">IF($A$170&lt;=B$167,"n/a",($B$62*(1+$B$211)^3.5/(1+$A$170)^3.5+$G$45*(1+B$167)/($A$170-B$167)/(1+$A$170)^6)+('00-三表与联动'!$B$10-'00-三表与联动'!$B$11))/'00-三表与联动'!$B$9</f>
        <v>2336.48254713618</v>
      </c>
      <c r="C170" s="103" t="n">
        <f aca="false">IF($A$170&lt;=C$167,"n/a",($B$62*(1+$B$211)^3.5/(1+$A$170)^3.5+$G$45*(1+C$167)/($A$170-C$167)/(1+$A$170)^6)+('00-三表与联动'!$B$10-'00-三表与联动'!$B$11))/'00-三表与联动'!$B$9</f>
        <v>2467.62005468115</v>
      </c>
      <c r="D170" s="139" t="n">
        <f aca="false">IF($A$170&lt;=D$167,"n/a",($B$62*(1+$B$211)^3.5/(1+$A$170)^3.5+$G$45*(1+D$167)/($A$170-D$167)/(1+$A$170)^6)+('00-三表与联动'!$B$10-'00-三表与联动'!$B$11))/'00-三表与联动'!$B$9</f>
        <v>2620.61381348361</v>
      </c>
      <c r="E170" s="103" t="n">
        <f aca="false">IF($A$170&lt;=E$167,"n/a",($B$62*(1+$B$211)^3.5/(1+$A$170)^3.5+$G$45*(1+E$167)/($A$170-E$167)/(1+$A$170)^6)+('00-三表与联动'!$B$10-'00-三表与联动'!$B$11))/'00-三表与联动'!$B$9</f>
        <v>2801.42461934106</v>
      </c>
      <c r="F170" s="103" t="n">
        <f aca="false">IF($A$170&lt;=F$167,"n/a",($B$62*(1+$B$211)^3.5/(1+$A$170)^3.5+$G$45*(1+F$167)/($A$170-F$167)/(1+$A$170)^6)+('00-三表与联动'!$B$10-'00-三表与联动'!$B$11))/'00-三表与联动'!$B$9</f>
        <v>3018.39758637</v>
      </c>
      <c r="G170" s="39"/>
      <c r="H170" s="138" t="n">
        <f aca="false">$B$211+0</f>
        <v>0.095</v>
      </c>
      <c r="I170" s="103" t="n">
        <f aca="false">IF($H$170&lt;=$B$213,"n/a",($B$62*(1+$B$211)^3.5/(1+$H$170)^3.5+(($G$32*I$167-$G$32*$B$199)*(1-$B$201)+$G$40+($G$41+$G$42)+$G$44)*(1+$B$213)/($H$170-$B$213)/(1+$H$170)^6)+('00-三表与联动'!$B$10-'00-三表与联动'!$B$11))/'00-三表与联动'!$B$9</f>
        <v>2308.93543560056</v>
      </c>
      <c r="J170" s="103" t="n">
        <f aca="false">IF($H$170&lt;=$B$213,"n/a",($B$62*(1+$B$211)^3.5/(1+$H$170)^3.5+(($G$32*J$167-$G$32*$B$199)*(1-$B$201)+$G$40+($G$41+$G$42)+$G$44)*(1+$B$213)/($H$170-$B$213)/(1+$H$170)^6)+('00-三表与联动'!$B$10-'00-三表与联动'!$B$11))/'00-三表与联动'!$B$9</f>
        <v>2464.77462454208</v>
      </c>
      <c r="K170" s="139" t="n">
        <f aca="false">IF($H$170&lt;=$B$213,"n/a",($B$62*(1+$B$211)^3.5/(1+$H$170)^3.5+(($G$32*K$167-$G$32*$B$199)*(1-$B$201)+$G$40+($G$41+$G$42)+$G$44)*(1+$B$213)/($H$170-$B$213)/(1+$H$170)^6)+('00-三表与联动'!$B$10-'00-三表与联动'!$B$11))/'00-三表与联动'!$B$9</f>
        <v>2620.61381348361</v>
      </c>
      <c r="L170" s="103" t="n">
        <f aca="false">IF($H$170&lt;=$B$213,"n/a",($B$62*(1+$B$211)^3.5/(1+$H$170)^3.5+(($G$32*L$167-$G$32*$B$199)*(1-$B$201)+$G$40+($G$41+$G$42)+$G$44)*(1+$B$213)/($H$170-$B$213)/(1+$H$170)^6)+('00-三表与联动'!$B$10-'00-三表与联动'!$B$11))/'00-三表与联动'!$B$9</f>
        <v>2776.45300242513</v>
      </c>
      <c r="M170" s="103" t="n">
        <f aca="false">IF($H$170&lt;=$B$213,"n/a",($B$62*(1+$B$211)^3.5/(1+$H$170)^3.5+(($G$32*M$167-$G$32*$B$199)*(1-$B$201)+$G$40+($G$41+$G$42)+$G$44)*(1+$B$213)/($H$170-$B$213)/(1+$H$170)^6)+('00-三表与联动'!$B$10-'00-三表与联动'!$B$11))/'00-三表与联动'!$B$9</f>
        <v>2932.29219136665</v>
      </c>
      <c r="N170" s="39"/>
    </row>
    <row r="171" customFormat="false" ht="18.75" hidden="false" customHeight="true" outlineLevel="0" collapsed="false">
      <c r="A171" s="138" t="n">
        <f aca="false">$B$211+0.01</f>
        <v>0.105</v>
      </c>
      <c r="B171" s="103" t="n">
        <f aca="false">IF($A$171&lt;=B$167,"n/a",($B$62*(1+$B$211)^3.5/(1+$A$171)^3.5+$G$45*(1+B$167)/($A$171-B$167)/(1+$A$171)^6)+('00-三表与联动'!$B$10-'00-三表与联动'!$B$11))/'00-三表与联动'!$B$9</f>
        <v>2040.35201693855</v>
      </c>
      <c r="C171" s="103" t="n">
        <f aca="false">IF($A$171&lt;=C$167,"n/a",($B$62*(1+$B$211)^3.5/(1+$A$171)^3.5+$G$45*(1+C$167)/($A$171-C$167)/(1+$A$171)^6)+('00-三表与联动'!$B$10-'00-三表与联动'!$B$11))/'00-三表与联动'!$B$9</f>
        <v>2135.37885463963</v>
      </c>
      <c r="D171" s="103" t="n">
        <f aca="false">IF($A$171&lt;=D$167,"n/a",($B$62*(1+$B$211)^3.5/(1+$A$171)^3.5+$G$45*(1+D$167)/($A$171-D$167)/(1+$A$171)^6)+('00-三表与联动'!$B$10-'00-三表与联动'!$B$11))/'00-三表与联动'!$B$9</f>
        <v>2243.98095486943</v>
      </c>
      <c r="E171" s="103" t="n">
        <f aca="false">IF($A$171&lt;=E$167,"n/a",($B$62*(1+$B$211)^3.5/(1+$A$171)^3.5+$G$45*(1+E$167)/($A$171-E$167)/(1+$A$171)^6)+('00-三表与联动'!$B$10-'00-三表与联动'!$B$11))/'00-三表与联动'!$B$9</f>
        <v>2369.2910705192</v>
      </c>
      <c r="F171" s="103" t="n">
        <f aca="false">IF($A$171&lt;=F$167,"n/a",($B$62*(1+$B$211)^3.5/(1+$A$171)^3.5+$G$45*(1+F$167)/($A$171-F$167)/(1+$A$171)^6)+('00-三表与联动'!$B$10-'00-三表与联动'!$B$11))/'00-三表与联动'!$B$9</f>
        <v>2515.48620544393</v>
      </c>
      <c r="G171" s="39"/>
      <c r="H171" s="138" t="n">
        <f aca="false">$B$211+0.01</f>
        <v>0.105</v>
      </c>
      <c r="I171" s="103" t="n">
        <f aca="false">IF($H$171&lt;=$B$213,"n/a",($B$62*(1+$B$211)^3.5/(1+$H$171)^3.5+(($G$32*I$167-$G$32*$B$199)*(1-$B$201)+$G$40+($G$41+$G$42)+$G$44)*(1+$B$213)/($H$171-$B$213)/(1+$H$171)^6)+('00-三表与联动'!$B$10-'00-三表与联动'!$B$11))/'00-三表与联动'!$B$9</f>
        <v>1991.00984145656</v>
      </c>
      <c r="J171" s="103" t="n">
        <f aca="false">IF($H$171&lt;=$B$213,"n/a",($B$62*(1+$B$211)^3.5/(1+$H$171)^3.5+(($G$32*J$167-$G$32*$B$199)*(1-$B$201)+$G$40+($G$41+$G$42)+$G$44)*(1+$B$213)/($H$171-$B$213)/(1+$H$171)^6)+('00-三表与联动'!$B$10-'00-三表与联动'!$B$11))/'00-三表与联动'!$B$9</f>
        <v>2117.495398163</v>
      </c>
      <c r="K171" s="103" t="n">
        <f aca="false">IF($H$171&lt;=$B$213,"n/a",($B$62*(1+$B$211)^3.5/(1+$H$171)^3.5+(($G$32*K$167-$G$32*$B$199)*(1-$B$201)+$G$40+($G$41+$G$42)+$G$44)*(1+$B$213)/($H$171-$B$213)/(1+$H$171)^6)+('00-三表与联动'!$B$10-'00-三表与联动'!$B$11))/'00-三表与联动'!$B$9</f>
        <v>2243.98095486943</v>
      </c>
      <c r="L171" s="103" t="n">
        <f aca="false">IF($H$171&lt;=$B$213,"n/a",($B$62*(1+$B$211)^3.5/(1+$H$171)^3.5+(($G$32*L$167-$G$32*$B$199)*(1-$B$201)+$G$40+($G$41+$G$42)+$G$44)*(1+$B$213)/($H$171-$B$213)/(1+$H$171)^6)+('00-三表与联动'!$B$10-'00-三表与联动'!$B$11))/'00-三表与联动'!$B$9</f>
        <v>2370.46651157586</v>
      </c>
      <c r="M171" s="103" t="n">
        <f aca="false">IF($H$171&lt;=$B$213,"n/a",($B$62*(1+$B$211)^3.5/(1+$H$171)^3.5+(($G$32*M$167-$G$32*$B$199)*(1-$B$201)+$G$40+($G$41+$G$42)+$G$44)*(1+$B$213)/($H$171-$B$213)/(1+$H$171)^6)+('00-三表与联动'!$B$10-'00-三表与联动'!$B$11))/'00-三表与联动'!$B$9</f>
        <v>2496.95206828229</v>
      </c>
      <c r="N171" s="39"/>
    </row>
    <row r="172" customFormat="false" ht="18.75" hidden="false" customHeight="true" outlineLevel="0" collapsed="false">
      <c r="A172" s="138" t="n">
        <f aca="false">$B$211+0.02</f>
        <v>0.115</v>
      </c>
      <c r="B172" s="103" t="n">
        <f aca="false">IF($A$172&lt;=B$167,"n/a",($B$62*(1+$B$211)^3.5/(1+$A$172)^3.5+$G$45*(1+B$167)/($A$172-B$167)/(1+$A$172)^6)+('00-三表与联动'!$B$10-'00-三表与联动'!$B$11))/'00-三表与联动'!$B$9</f>
        <v>1809.96526556454</v>
      </c>
      <c r="C172" s="103" t="n">
        <f aca="false">IF($A$172&lt;=C$167,"n/a",($B$62*(1+$B$211)^3.5/(1+$A$172)^3.5+$G$45*(1+C$167)/($A$172-C$167)/(1+$A$172)^6)+('00-三表与联动'!$B$10-'00-三表与联动'!$B$11))/'00-三表与联动'!$B$9</f>
        <v>1881.21334229293</v>
      </c>
      <c r="D172" s="103" t="n">
        <f aca="false">IF($A$172&lt;=D$167,"n/a",($B$62*(1+$B$211)^3.5/(1+$A$172)^3.5+$G$45*(1+D$167)/($A$172-D$167)/(1+$A$172)^6)+('00-三表与联动'!$B$10-'00-三表与联动'!$B$11))/'00-三表与联动'!$B$9</f>
        <v>1961.36742861237</v>
      </c>
      <c r="E172" s="103" t="n">
        <f aca="false">IF($A$172&lt;=E$167,"n/a",($B$62*(1+$B$211)^3.5/(1+$A$172)^3.5+$G$45*(1+E$167)/($A$172-E$167)/(1+$A$172)^6)+('00-三表与联动'!$B$10-'00-三表与联动'!$B$11))/'00-三表与联动'!$B$9</f>
        <v>2052.20872644107</v>
      </c>
      <c r="F172" s="103" t="n">
        <f aca="false">IF($A$172&lt;=F$167,"n/a",($B$62*(1+$B$211)^3.5/(1+$A$172)^3.5+$G$45*(1+F$167)/($A$172-F$167)/(1+$A$172)^6)+('00-三表与联动'!$B$10-'00-三表与联动'!$B$11))/'00-三表与联动'!$B$9</f>
        <v>2156.02735253101</v>
      </c>
      <c r="G172" s="39"/>
      <c r="H172" s="138" t="n">
        <f aca="false">$B$211+0.02</f>
        <v>0.115</v>
      </c>
      <c r="I172" s="103" t="n">
        <f aca="false">IF($H$172&lt;=$B$213,"n/a",($B$62*(1+$B$211)^3.5/(1+$H$172)^3.5+(($G$32*I$167-$G$32*$B$199)*(1-$B$201)+$G$40+($G$41+$G$42)+$G$44)*(1+$B$213)/($H$172-$B$213)/(1+$H$172)^6)+('00-三表与联动'!$B$10-'00-三表与联动'!$B$11))/'00-三表与联动'!$B$9</f>
        <v>1751.6650053495</v>
      </c>
      <c r="J172" s="103" t="n">
        <f aca="false">IF($H$172&lt;=$B$213,"n/a",($B$62*(1+$B$211)^3.5/(1+$H$172)^3.5+(($G$32*J$167-$G$32*$B$199)*(1-$B$201)+$G$40+($G$41+$G$42)+$G$44)*(1+$B$213)/($H$172-$B$213)/(1+$H$172)^6)+('00-三表与联动'!$B$10-'00-三表与联动'!$B$11))/'00-三表与联动'!$B$9</f>
        <v>1856.51621698094</v>
      </c>
      <c r="K172" s="103" t="n">
        <f aca="false">IF($H$172&lt;=$B$213,"n/a",($B$62*(1+$B$211)^3.5/(1+$H$172)^3.5+(($G$32*K$167-$G$32*$B$199)*(1-$B$201)+$G$40+($G$41+$G$42)+$G$44)*(1+$B$213)/($H$172-$B$213)/(1+$H$172)^6)+('00-三表与联动'!$B$10-'00-三表与联动'!$B$11))/'00-三表与联动'!$B$9</f>
        <v>1961.36742861237</v>
      </c>
      <c r="L172" s="103" t="n">
        <f aca="false">IF($H$172&lt;=$B$213,"n/a",($B$62*(1+$B$211)^3.5/(1+$H$172)^3.5+(($G$32*L$167-$G$32*$B$199)*(1-$B$201)+$G$40+($G$41+$G$42)+$G$44)*(1+$B$213)/($H$172-$B$213)/(1+$H$172)^6)+('00-三表与联动'!$B$10-'00-三表与联动'!$B$11))/'00-三表与联动'!$B$9</f>
        <v>2066.21864024381</v>
      </c>
      <c r="M172" s="103" t="n">
        <f aca="false">IF($H$172&lt;=$B$213,"n/a",($B$62*(1+$B$211)^3.5/(1+$H$172)^3.5+(($G$32*M$167-$G$32*$B$199)*(1-$B$201)+$G$40+($G$41+$G$42)+$G$44)*(1+$B$213)/($H$172-$B$213)/(1+$H$172)^6)+('00-三表与联动'!$B$10-'00-三表与联动'!$B$11))/'00-三表与联动'!$B$9</f>
        <v>2171.06985187524</v>
      </c>
      <c r="N172" s="39"/>
    </row>
    <row r="173" customFormat="false" ht="24" hidden="false" customHeight="true" outlineLevel="0" collapsed="false">
      <c r="A173" s="197" t="s">
        <v>501</v>
      </c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</row>
    <row r="174" customFormat="false" ht="33" hidden="false" customHeight="true" outlineLevel="0" collapsed="false">
      <c r="A174" s="140" t="s">
        <v>502</v>
      </c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</row>
    <row r="175" customFormat="false" ht="27" hidden="false" customHeight="true" outlineLevel="0" collapsed="false">
      <c r="A175" s="4" t="s">
        <v>503</v>
      </c>
      <c r="B175" s="4" t="s">
        <v>504</v>
      </c>
      <c r="C175" s="4" t="s">
        <v>505</v>
      </c>
      <c r="D175" s="4"/>
      <c r="E175" s="4" t="s">
        <v>506</v>
      </c>
      <c r="F175" s="4"/>
      <c r="G175" s="4"/>
      <c r="H175" s="4"/>
      <c r="I175" s="4"/>
      <c r="J175" s="4" t="s">
        <v>507</v>
      </c>
      <c r="K175" s="4"/>
      <c r="L175" s="4"/>
      <c r="M175" s="4"/>
      <c r="N175" s="4"/>
    </row>
    <row r="176" customFormat="false" ht="43.5" hidden="false" customHeight="true" outlineLevel="0" collapsed="false">
      <c r="A176" s="128" t="s">
        <v>508</v>
      </c>
      <c r="B176" s="217" t="s">
        <v>645</v>
      </c>
      <c r="C176" s="48" t="s">
        <v>646</v>
      </c>
      <c r="D176" s="48"/>
      <c r="E176" s="144" t="s">
        <v>647</v>
      </c>
      <c r="F176" s="144"/>
      <c r="G176" s="144"/>
      <c r="H176" s="144"/>
      <c r="I176" s="144"/>
      <c r="J176" s="145" t="s">
        <v>648</v>
      </c>
      <c r="K176" s="145"/>
      <c r="L176" s="145"/>
      <c r="M176" s="145"/>
      <c r="N176" s="145"/>
    </row>
    <row r="177" customFormat="false" ht="43.5" hidden="false" customHeight="true" outlineLevel="0" collapsed="false">
      <c r="A177" s="68" t="s">
        <v>649</v>
      </c>
      <c r="B177" s="217" t="s">
        <v>650</v>
      </c>
      <c r="C177" s="48" t="s">
        <v>651</v>
      </c>
      <c r="D177" s="48"/>
      <c r="E177" s="144" t="s">
        <v>652</v>
      </c>
      <c r="F177" s="144"/>
      <c r="G177" s="144"/>
      <c r="H177" s="144"/>
      <c r="I177" s="144"/>
      <c r="J177" s="145" t="s">
        <v>653</v>
      </c>
      <c r="K177" s="145"/>
      <c r="L177" s="145"/>
      <c r="M177" s="145"/>
      <c r="N177" s="145"/>
    </row>
    <row r="178" customFormat="false" ht="39.75" hidden="false" customHeight="true" outlineLevel="0" collapsed="false">
      <c r="A178" s="68" t="s">
        <v>654</v>
      </c>
      <c r="B178" s="218" t="s">
        <v>655</v>
      </c>
      <c r="C178" s="48" t="s">
        <v>626</v>
      </c>
      <c r="D178" s="48"/>
      <c r="E178" s="144" t="s">
        <v>656</v>
      </c>
      <c r="F178" s="144"/>
      <c r="G178" s="144"/>
      <c r="H178" s="144"/>
      <c r="I178" s="144"/>
      <c r="J178" s="145" t="s">
        <v>657</v>
      </c>
      <c r="K178" s="145"/>
      <c r="L178" s="145"/>
      <c r="M178" s="145"/>
      <c r="N178" s="145"/>
    </row>
    <row r="179" customFormat="false" ht="39.75" hidden="false" customHeight="true" outlineLevel="0" collapsed="false">
      <c r="A179" s="68" t="s">
        <v>658</v>
      </c>
      <c r="B179" s="218" t="s">
        <v>659</v>
      </c>
      <c r="C179" s="48" t="s">
        <v>660</v>
      </c>
      <c r="D179" s="48"/>
      <c r="E179" s="144" t="s">
        <v>661</v>
      </c>
      <c r="F179" s="144"/>
      <c r="G179" s="144"/>
      <c r="H179" s="144"/>
      <c r="I179" s="144"/>
      <c r="J179" s="145" t="s">
        <v>662</v>
      </c>
      <c r="K179" s="145"/>
      <c r="L179" s="145"/>
      <c r="M179" s="145"/>
      <c r="N179" s="145"/>
    </row>
    <row r="180" customFormat="false" ht="39.75" hidden="false" customHeight="true" outlineLevel="0" collapsed="false">
      <c r="A180" s="128" t="s">
        <v>663</v>
      </c>
      <c r="B180" s="218" t="s">
        <v>664</v>
      </c>
      <c r="C180" s="49" t="s">
        <v>530</v>
      </c>
      <c r="D180" s="49"/>
      <c r="E180" s="144" t="s">
        <v>665</v>
      </c>
      <c r="F180" s="144"/>
      <c r="G180" s="144"/>
      <c r="H180" s="144"/>
      <c r="I180" s="144"/>
      <c r="J180" s="145" t="s">
        <v>666</v>
      </c>
      <c r="K180" s="145"/>
      <c r="L180" s="145"/>
      <c r="M180" s="145"/>
      <c r="N180" s="145"/>
    </row>
    <row r="181" customFormat="false" ht="33" hidden="false" customHeight="true" outlineLevel="0" collapsed="false">
      <c r="A181" s="43" t="s">
        <v>533</v>
      </c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</row>
    <row r="183" customFormat="false" ht="33" hidden="false" customHeight="true" outlineLevel="0" collapsed="false">
      <c r="A183" s="43" t="s">
        <v>534</v>
      </c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</row>
    <row r="186" customFormat="false" ht="24" hidden="false" customHeight="true" outlineLevel="0" collapsed="false">
      <c r="A186" s="13" t="s">
        <v>667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 customFormat="false" ht="33" hidden="false" customHeight="true" outlineLevel="0" collapsed="false">
      <c r="A187" s="74" t="s">
        <v>536</v>
      </c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</row>
    <row r="188" customFormat="false" ht="27" hidden="false" customHeight="true" outlineLevel="0" collapsed="false">
      <c r="A188" s="4" t="s">
        <v>328</v>
      </c>
      <c r="B188" s="4" t="s">
        <v>466</v>
      </c>
      <c r="C188" s="4" t="s">
        <v>467</v>
      </c>
      <c r="D188" s="4"/>
      <c r="E188" s="4"/>
      <c r="F188" s="4"/>
      <c r="G188" s="4"/>
      <c r="H188" s="4" t="s">
        <v>468</v>
      </c>
      <c r="I188" s="4" t="s">
        <v>469</v>
      </c>
      <c r="J188" s="4" t="s">
        <v>94</v>
      </c>
      <c r="K188" s="4"/>
      <c r="L188" s="4"/>
      <c r="M188" s="4"/>
      <c r="N188" s="4"/>
    </row>
    <row r="189" customFormat="false" ht="30" hidden="false" customHeight="true" outlineLevel="0" collapsed="false">
      <c r="A189" s="128" t="s">
        <v>537</v>
      </c>
      <c r="B189" s="219" t="n">
        <f aca="false">H189*500</f>
        <v>55000</v>
      </c>
      <c r="C189" s="123"/>
      <c r="D189" s="123"/>
      <c r="E189" s="123"/>
      <c r="F189" s="123"/>
      <c r="G189" s="123"/>
      <c r="H189" s="124" t="n">
        <v>110</v>
      </c>
      <c r="I189" s="125" t="s">
        <v>538</v>
      </c>
      <c r="J189" s="148" t="s">
        <v>539</v>
      </c>
      <c r="K189" s="148"/>
      <c r="L189" s="148"/>
      <c r="M189" s="148"/>
      <c r="N189" s="148"/>
    </row>
    <row r="190" customFormat="false" ht="30" hidden="false" customHeight="true" outlineLevel="0" collapsed="false">
      <c r="A190" s="128"/>
      <c r="B190" s="219"/>
      <c r="C190" s="123"/>
      <c r="D190" s="123"/>
      <c r="E190" s="123"/>
      <c r="F190" s="123"/>
      <c r="G190" s="123"/>
      <c r="H190" s="124"/>
      <c r="I190" s="125"/>
      <c r="J190" s="125"/>
      <c r="K190" s="148"/>
      <c r="L190" s="148"/>
      <c r="M190" s="148"/>
      <c r="N190" s="148"/>
    </row>
    <row r="191" customFormat="false" ht="30" hidden="false" customHeight="true" outlineLevel="0" collapsed="false">
      <c r="A191" s="128" t="s">
        <v>540</v>
      </c>
      <c r="B191" s="220" t="n">
        <f aca="false">(H191-100)/1000</f>
        <v>0</v>
      </c>
      <c r="C191" s="123"/>
      <c r="D191" s="123"/>
      <c r="E191" s="123"/>
      <c r="F191" s="123"/>
      <c r="G191" s="123"/>
      <c r="H191" s="124" t="n">
        <v>100</v>
      </c>
      <c r="I191" s="125" t="s">
        <v>541</v>
      </c>
      <c r="J191" s="126" t="s">
        <v>542</v>
      </c>
      <c r="K191" s="126"/>
      <c r="L191" s="126"/>
      <c r="M191" s="126"/>
      <c r="N191" s="126"/>
    </row>
    <row r="192" customFormat="false" ht="30" hidden="false" customHeight="true" outlineLevel="0" collapsed="false">
      <c r="A192" s="128"/>
      <c r="B192" s="220"/>
      <c r="C192" s="123"/>
      <c r="D192" s="123"/>
      <c r="E192" s="123"/>
      <c r="F192" s="123"/>
      <c r="G192" s="123"/>
      <c r="H192" s="124"/>
      <c r="I192" s="125"/>
      <c r="J192" s="125"/>
      <c r="K192" s="126"/>
      <c r="L192" s="126"/>
      <c r="M192" s="126"/>
      <c r="N192" s="126"/>
    </row>
    <row r="193" customFormat="false" ht="30" hidden="false" customHeight="true" outlineLevel="0" collapsed="false">
      <c r="A193" s="68" t="s">
        <v>543</v>
      </c>
      <c r="B193" s="220" t="n">
        <f aca="false">(H193-150)/1000</f>
        <v>0</v>
      </c>
      <c r="C193" s="123"/>
      <c r="D193" s="123"/>
      <c r="E193" s="123"/>
      <c r="F193" s="123"/>
      <c r="G193" s="123"/>
      <c r="H193" s="124" t="n">
        <v>150</v>
      </c>
      <c r="I193" s="125" t="s">
        <v>544</v>
      </c>
      <c r="J193" s="126" t="s">
        <v>545</v>
      </c>
      <c r="K193" s="126"/>
      <c r="L193" s="126"/>
      <c r="M193" s="126"/>
      <c r="N193" s="126"/>
    </row>
    <row r="194" customFormat="false" ht="30" hidden="false" customHeight="true" outlineLevel="0" collapsed="false">
      <c r="A194" s="68"/>
      <c r="B194" s="220"/>
      <c r="C194" s="123"/>
      <c r="D194" s="123"/>
      <c r="E194" s="123"/>
      <c r="F194" s="123"/>
      <c r="G194" s="123"/>
      <c r="H194" s="124"/>
      <c r="I194" s="125"/>
      <c r="J194" s="125"/>
      <c r="K194" s="126"/>
      <c r="L194" s="126"/>
      <c r="M194" s="126"/>
      <c r="N194" s="126"/>
    </row>
    <row r="195" customFormat="false" ht="30" hidden="false" customHeight="true" outlineLevel="0" collapsed="false">
      <c r="A195" s="68" t="s">
        <v>546</v>
      </c>
      <c r="B195" s="214" t="n">
        <f aca="false">H195/1000</f>
        <v>0.74</v>
      </c>
      <c r="C195" s="123"/>
      <c r="D195" s="123"/>
      <c r="E195" s="123"/>
      <c r="F195" s="123"/>
      <c r="G195" s="123"/>
      <c r="H195" s="124" t="n">
        <v>740</v>
      </c>
      <c r="I195" s="125" t="s">
        <v>547</v>
      </c>
      <c r="J195" s="126" t="s">
        <v>548</v>
      </c>
      <c r="K195" s="126"/>
      <c r="L195" s="126"/>
      <c r="M195" s="126"/>
      <c r="N195" s="126"/>
    </row>
    <row r="196" customFormat="false" ht="30" hidden="false" customHeight="true" outlineLevel="0" collapsed="false">
      <c r="A196" s="68"/>
      <c r="B196" s="214"/>
      <c r="C196" s="123"/>
      <c r="D196" s="123"/>
      <c r="E196" s="123"/>
      <c r="F196" s="123"/>
      <c r="G196" s="123"/>
      <c r="H196" s="124"/>
      <c r="I196" s="125"/>
      <c r="J196" s="125"/>
      <c r="K196" s="126"/>
      <c r="L196" s="126"/>
      <c r="M196" s="126"/>
      <c r="N196" s="126"/>
    </row>
    <row r="197" customFormat="false" ht="30" hidden="false" customHeight="true" outlineLevel="0" collapsed="false">
      <c r="A197" s="128" t="s">
        <v>549</v>
      </c>
      <c r="B197" s="220" t="n">
        <f aca="false">(H197-100)/1000</f>
        <v>0</v>
      </c>
      <c r="C197" s="123"/>
      <c r="D197" s="123"/>
      <c r="E197" s="123"/>
      <c r="F197" s="123"/>
      <c r="G197" s="123"/>
      <c r="H197" s="124" t="n">
        <v>100</v>
      </c>
      <c r="I197" s="125" t="s">
        <v>550</v>
      </c>
      <c r="J197" s="126" t="s">
        <v>551</v>
      </c>
      <c r="K197" s="126"/>
      <c r="L197" s="126"/>
      <c r="M197" s="126"/>
      <c r="N197" s="126"/>
    </row>
    <row r="198" customFormat="false" ht="30" hidden="false" customHeight="true" outlineLevel="0" collapsed="false">
      <c r="A198" s="128"/>
      <c r="B198" s="220"/>
      <c r="C198" s="123"/>
      <c r="D198" s="123"/>
      <c r="E198" s="123"/>
      <c r="F198" s="123"/>
      <c r="G198" s="123"/>
      <c r="H198" s="124"/>
      <c r="I198" s="125"/>
      <c r="J198" s="125"/>
      <c r="K198" s="126"/>
      <c r="L198" s="126"/>
      <c r="M198" s="126"/>
      <c r="N198" s="126"/>
    </row>
    <row r="199" customFormat="false" ht="30" hidden="false" customHeight="true" outlineLevel="0" collapsed="false">
      <c r="A199" s="68" t="s">
        <v>552</v>
      </c>
      <c r="B199" s="214" t="n">
        <f aca="false">H199/1000</f>
        <v>0.035</v>
      </c>
      <c r="C199" s="123"/>
      <c r="D199" s="123"/>
      <c r="E199" s="123"/>
      <c r="F199" s="123"/>
      <c r="G199" s="123"/>
      <c r="H199" s="124" t="n">
        <v>35</v>
      </c>
      <c r="I199" s="125" t="s">
        <v>553</v>
      </c>
      <c r="J199" s="148" t="s">
        <v>554</v>
      </c>
      <c r="K199" s="148"/>
      <c r="L199" s="148"/>
      <c r="M199" s="148"/>
      <c r="N199" s="148"/>
    </row>
    <row r="200" customFormat="false" ht="30" hidden="false" customHeight="true" outlineLevel="0" collapsed="false">
      <c r="A200" s="68"/>
      <c r="B200" s="214"/>
      <c r="C200" s="123"/>
      <c r="D200" s="123"/>
      <c r="E200" s="123"/>
      <c r="F200" s="123"/>
      <c r="G200" s="123"/>
      <c r="H200" s="124"/>
      <c r="I200" s="125"/>
      <c r="J200" s="125"/>
      <c r="K200" s="148"/>
      <c r="L200" s="148"/>
      <c r="M200" s="148"/>
      <c r="N200" s="148"/>
    </row>
    <row r="201" customFormat="false" ht="30" hidden="false" customHeight="true" outlineLevel="0" collapsed="false">
      <c r="A201" s="68" t="s">
        <v>555</v>
      </c>
      <c r="B201" s="214" t="n">
        <f aca="false">H201/1000</f>
        <v>0.155</v>
      </c>
      <c r="C201" s="123"/>
      <c r="D201" s="123"/>
      <c r="E201" s="123"/>
      <c r="F201" s="123"/>
      <c r="G201" s="123"/>
      <c r="H201" s="124" t="n">
        <v>155</v>
      </c>
      <c r="I201" s="125" t="s">
        <v>556</v>
      </c>
      <c r="J201" s="148" t="s">
        <v>557</v>
      </c>
      <c r="K201" s="148"/>
      <c r="L201" s="148"/>
      <c r="M201" s="148"/>
      <c r="N201" s="148"/>
    </row>
    <row r="202" customFormat="false" ht="30" hidden="false" customHeight="true" outlineLevel="0" collapsed="false">
      <c r="A202" s="68"/>
      <c r="B202" s="214"/>
      <c r="C202" s="123"/>
      <c r="D202" s="123"/>
      <c r="E202" s="123"/>
      <c r="F202" s="123"/>
      <c r="G202" s="123"/>
      <c r="H202" s="124"/>
      <c r="I202" s="125"/>
      <c r="J202" s="125"/>
      <c r="K202" s="148"/>
      <c r="L202" s="148"/>
      <c r="M202" s="148"/>
      <c r="N202" s="148"/>
    </row>
    <row r="203" customFormat="false" ht="30" hidden="false" customHeight="true" outlineLevel="0" collapsed="false">
      <c r="A203" s="68" t="s">
        <v>558</v>
      </c>
      <c r="B203" s="214" t="n">
        <f aca="false">H203/1000</f>
        <v>0.155</v>
      </c>
      <c r="C203" s="123"/>
      <c r="D203" s="123"/>
      <c r="E203" s="123"/>
      <c r="F203" s="123"/>
      <c r="G203" s="123"/>
      <c r="H203" s="124" t="n">
        <v>155</v>
      </c>
      <c r="I203" s="125" t="s">
        <v>559</v>
      </c>
      <c r="J203" s="148" t="s">
        <v>560</v>
      </c>
      <c r="K203" s="148"/>
      <c r="L203" s="148"/>
      <c r="M203" s="148"/>
      <c r="N203" s="148"/>
    </row>
    <row r="204" customFormat="false" ht="30" hidden="false" customHeight="true" outlineLevel="0" collapsed="false">
      <c r="A204" s="68"/>
      <c r="B204" s="214"/>
      <c r="C204" s="123"/>
      <c r="D204" s="123"/>
      <c r="E204" s="123"/>
      <c r="F204" s="123"/>
      <c r="G204" s="123"/>
      <c r="H204" s="124"/>
      <c r="I204" s="125"/>
      <c r="J204" s="125"/>
      <c r="K204" s="148"/>
      <c r="L204" s="148"/>
      <c r="M204" s="148"/>
      <c r="N204" s="148"/>
    </row>
    <row r="205" customFormat="false" ht="30" hidden="false" customHeight="true" outlineLevel="0" collapsed="false">
      <c r="A205" s="68" t="s">
        <v>561</v>
      </c>
      <c r="B205" s="214" t="n">
        <f aca="false">H205/1000</f>
        <v>0.09</v>
      </c>
      <c r="C205" s="123"/>
      <c r="D205" s="123"/>
      <c r="E205" s="123"/>
      <c r="F205" s="123"/>
      <c r="G205" s="123"/>
      <c r="H205" s="124" t="n">
        <v>90</v>
      </c>
      <c r="I205" s="125" t="s">
        <v>562</v>
      </c>
      <c r="J205" s="148" t="s">
        <v>563</v>
      </c>
      <c r="K205" s="148"/>
      <c r="L205" s="148"/>
      <c r="M205" s="148"/>
      <c r="N205" s="148"/>
    </row>
    <row r="206" customFormat="false" ht="30" hidden="false" customHeight="true" outlineLevel="0" collapsed="false">
      <c r="A206" s="68"/>
      <c r="B206" s="214"/>
      <c r="C206" s="123"/>
      <c r="D206" s="123"/>
      <c r="E206" s="123"/>
      <c r="F206" s="123"/>
      <c r="G206" s="123"/>
      <c r="H206" s="124"/>
      <c r="I206" s="125"/>
      <c r="J206" s="125"/>
      <c r="K206" s="148"/>
      <c r="L206" s="148"/>
      <c r="M206" s="148"/>
      <c r="N206" s="148"/>
    </row>
    <row r="207" customFormat="false" ht="30" hidden="false" customHeight="true" outlineLevel="0" collapsed="false">
      <c r="A207" s="68" t="s">
        <v>564</v>
      </c>
      <c r="B207" s="214" t="n">
        <f aca="false">H207/1000</f>
        <v>0.065</v>
      </c>
      <c r="C207" s="123"/>
      <c r="D207" s="123"/>
      <c r="E207" s="123"/>
      <c r="F207" s="123"/>
      <c r="G207" s="123"/>
      <c r="H207" s="124" t="n">
        <v>65</v>
      </c>
      <c r="I207" s="125" t="s">
        <v>565</v>
      </c>
      <c r="J207" s="148" t="s">
        <v>566</v>
      </c>
      <c r="K207" s="148"/>
      <c r="L207" s="148"/>
      <c r="M207" s="148"/>
      <c r="N207" s="148"/>
    </row>
    <row r="208" customFormat="false" ht="30" hidden="false" customHeight="true" outlineLevel="0" collapsed="false">
      <c r="A208" s="68"/>
      <c r="B208" s="214"/>
      <c r="C208" s="123"/>
      <c r="D208" s="123"/>
      <c r="E208" s="123"/>
      <c r="F208" s="123"/>
      <c r="G208" s="123"/>
      <c r="H208" s="124"/>
      <c r="I208" s="125"/>
      <c r="J208" s="125"/>
      <c r="K208" s="148"/>
      <c r="L208" s="148"/>
      <c r="M208" s="148"/>
      <c r="N208" s="148"/>
    </row>
    <row r="209" customFormat="false" ht="30" hidden="false" customHeight="true" outlineLevel="0" collapsed="false">
      <c r="A209" s="68" t="s">
        <v>567</v>
      </c>
      <c r="B209" s="214" t="n">
        <f aca="false">H209/1000</f>
        <v>0.135</v>
      </c>
      <c r="C209" s="123"/>
      <c r="D209" s="123"/>
      <c r="E209" s="123"/>
      <c r="F209" s="123"/>
      <c r="G209" s="123"/>
      <c r="H209" s="124" t="n">
        <v>135</v>
      </c>
      <c r="I209" s="125" t="s">
        <v>568</v>
      </c>
      <c r="J209" s="126" t="s">
        <v>569</v>
      </c>
      <c r="K209" s="126"/>
      <c r="L209" s="126"/>
      <c r="M209" s="126"/>
      <c r="N209" s="126"/>
    </row>
    <row r="210" customFormat="false" ht="30" hidden="false" customHeight="true" outlineLevel="0" collapsed="false">
      <c r="A210" s="68"/>
      <c r="B210" s="214"/>
      <c r="C210" s="123"/>
      <c r="D210" s="123"/>
      <c r="E210" s="123"/>
      <c r="F210" s="123"/>
      <c r="G210" s="123"/>
      <c r="H210" s="124"/>
      <c r="I210" s="125"/>
      <c r="J210" s="125"/>
      <c r="K210" s="126"/>
      <c r="L210" s="126"/>
      <c r="M210" s="126"/>
      <c r="N210" s="126"/>
    </row>
    <row r="211" customFormat="false" ht="30" hidden="false" customHeight="true" outlineLevel="0" collapsed="false">
      <c r="A211" s="68" t="s">
        <v>570</v>
      </c>
      <c r="B211" s="214" t="n">
        <f aca="false">H211/1000</f>
        <v>0.095</v>
      </c>
      <c r="C211" s="123"/>
      <c r="D211" s="123"/>
      <c r="E211" s="123"/>
      <c r="F211" s="123"/>
      <c r="G211" s="123"/>
      <c r="H211" s="124" t="n">
        <v>95</v>
      </c>
      <c r="I211" s="125" t="s">
        <v>571</v>
      </c>
      <c r="J211" s="148" t="s">
        <v>572</v>
      </c>
      <c r="K211" s="148"/>
      <c r="L211" s="148"/>
      <c r="M211" s="148"/>
      <c r="N211" s="148"/>
    </row>
    <row r="212" customFormat="false" ht="30" hidden="false" customHeight="true" outlineLevel="0" collapsed="false">
      <c r="A212" s="68"/>
      <c r="B212" s="214"/>
      <c r="C212" s="123"/>
      <c r="D212" s="123"/>
      <c r="E212" s="123"/>
      <c r="F212" s="123"/>
      <c r="G212" s="123"/>
      <c r="H212" s="124"/>
      <c r="I212" s="125"/>
      <c r="J212" s="125"/>
      <c r="K212" s="148"/>
      <c r="L212" s="148"/>
      <c r="M212" s="148"/>
      <c r="N212" s="148"/>
    </row>
    <row r="213" customFormat="false" ht="30" hidden="false" customHeight="true" outlineLevel="0" collapsed="false">
      <c r="A213" s="68" t="s">
        <v>573</v>
      </c>
      <c r="B213" s="214" t="n">
        <f aca="false">H213/1000</f>
        <v>0.035</v>
      </c>
      <c r="C213" s="123"/>
      <c r="D213" s="123"/>
      <c r="E213" s="123"/>
      <c r="F213" s="123"/>
      <c r="G213" s="123"/>
      <c r="H213" s="124" t="n">
        <v>35</v>
      </c>
      <c r="I213" s="125" t="s">
        <v>574</v>
      </c>
      <c r="J213" s="126" t="s">
        <v>575</v>
      </c>
      <c r="K213" s="126"/>
      <c r="L213" s="126"/>
      <c r="M213" s="126"/>
      <c r="N213" s="126"/>
    </row>
    <row r="214" customFormat="false" ht="30" hidden="false" customHeight="true" outlineLevel="0" collapsed="false">
      <c r="A214" s="68"/>
      <c r="B214" s="214"/>
      <c r="C214" s="123"/>
      <c r="D214" s="123"/>
      <c r="E214" s="123"/>
      <c r="F214" s="123"/>
      <c r="G214" s="123"/>
      <c r="H214" s="124"/>
      <c r="I214" s="125"/>
      <c r="J214" s="125"/>
      <c r="K214" s="126"/>
      <c r="L214" s="126"/>
      <c r="M214" s="126"/>
      <c r="N214" s="126"/>
    </row>
    <row r="215" customFormat="false" ht="24" hidden="false" customHeight="true" outlineLevel="0" collapsed="false">
      <c r="A215" s="197" t="s">
        <v>576</v>
      </c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</row>
    <row r="216" customFormat="false" ht="27" hidden="false" customHeight="true" outlineLevel="0" collapsed="false">
      <c r="A216" s="4" t="s">
        <v>28</v>
      </c>
      <c r="B216" s="4" t="s">
        <v>29</v>
      </c>
      <c r="C216" s="4" t="s">
        <v>577</v>
      </c>
      <c r="D216" s="4" t="s">
        <v>578</v>
      </c>
      <c r="E216" s="14" t="s">
        <v>31</v>
      </c>
      <c r="F216" s="14" t="s">
        <v>32</v>
      </c>
      <c r="G216" s="14" t="s">
        <v>579</v>
      </c>
      <c r="H216" s="14" t="s">
        <v>580</v>
      </c>
      <c r="I216" s="14" t="s">
        <v>581</v>
      </c>
      <c r="J216" s="14" t="s">
        <v>33</v>
      </c>
      <c r="K216" s="14" t="s">
        <v>582</v>
      </c>
      <c r="L216" s="4" t="s">
        <v>583</v>
      </c>
      <c r="M216" s="4"/>
      <c r="N216" s="4"/>
    </row>
    <row r="217" customFormat="false" ht="30" hidden="false" customHeight="true" outlineLevel="0" collapsed="false">
      <c r="A217" s="221" t="n">
        <f aca="false">B72</f>
        <v>2640.66001736083</v>
      </c>
      <c r="B217" s="222" t="n">
        <f aca="false">B74</f>
        <v>1.92402752478804</v>
      </c>
      <c r="C217" s="223" t="n">
        <f aca="false">B65</f>
        <v>0.725346685634602</v>
      </c>
      <c r="D217" s="224" t="n">
        <f aca="false">B66</f>
        <v>3012326.01996495</v>
      </c>
      <c r="E217" s="224" t="n">
        <f aca="false">F13</f>
        <v>242999.996298616</v>
      </c>
      <c r="F217" s="225" t="n">
        <f aca="false">F16/F13</f>
        <v>0.866152263138281</v>
      </c>
      <c r="G217" s="224" t="n">
        <f aca="false">F18</f>
        <v>201969.996866188</v>
      </c>
      <c r="H217" s="226" t="n">
        <f aca="false">F18*(1-$B$201)/'00-三表与联动'!$B$9</f>
        <v>148.404041175591</v>
      </c>
      <c r="I217" s="224" t="n">
        <f aca="false">G32</f>
        <v>423880.484423438</v>
      </c>
      <c r="J217" s="225" t="n">
        <f aca="false">G34</f>
        <v>0.74</v>
      </c>
      <c r="K217" s="225" t="n">
        <f aca="false">G45/G32</f>
        <v>0.509675</v>
      </c>
      <c r="L217" s="227" t="n">
        <f aca="false">B63/(G37+G40)</f>
        <v>11.5397970779221</v>
      </c>
      <c r="M217" s="39"/>
      <c r="N217" s="39"/>
    </row>
    <row r="219" customFormat="false" ht="24" hidden="false" customHeight="true" outlineLevel="0" collapsed="false">
      <c r="A219" s="228" t="s">
        <v>584</v>
      </c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</row>
    <row r="220" customFormat="false" ht="33" hidden="false" customHeight="true" outlineLevel="0" collapsed="false">
      <c r="A220" s="43" t="s">
        <v>585</v>
      </c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</row>
    <row r="221" customFormat="false" ht="27" hidden="false" customHeight="true" outlineLevel="0" collapsed="false">
      <c r="A221" s="4" t="s">
        <v>586</v>
      </c>
      <c r="B221" s="4" t="s">
        <v>587</v>
      </c>
      <c r="C221" s="4"/>
      <c r="D221" s="4" t="s">
        <v>29</v>
      </c>
      <c r="E221" s="4" t="s">
        <v>94</v>
      </c>
      <c r="F221" s="4"/>
      <c r="G221" s="4"/>
      <c r="H221" s="4"/>
      <c r="I221" s="4"/>
      <c r="J221" s="4"/>
      <c r="K221" s="4"/>
      <c r="L221" s="4"/>
      <c r="M221" s="4"/>
      <c r="N221" s="4"/>
    </row>
    <row r="222" customFormat="false" ht="21.75" hidden="false" customHeight="true" outlineLevel="0" collapsed="false">
      <c r="A222" s="158" t="s">
        <v>588</v>
      </c>
      <c r="B222" s="229" t="n">
        <f aca="false">B72</f>
        <v>2640.66001736083</v>
      </c>
      <c r="C222" s="229"/>
      <c r="D222" s="160" t="n">
        <f aca="false">B222/'00-三表与联动'!$B$6-1</f>
        <v>1.92402752478804</v>
      </c>
      <c r="E222" s="49" t="s">
        <v>589</v>
      </c>
      <c r="F222" s="49"/>
      <c r="G222" s="49"/>
      <c r="H222" s="49"/>
      <c r="I222" s="49"/>
      <c r="J222" s="49"/>
      <c r="K222" s="49"/>
      <c r="L222" s="49"/>
      <c r="M222" s="49"/>
      <c r="N222" s="49"/>
    </row>
    <row r="223" customFormat="false" ht="21.75" hidden="false" customHeight="true" outlineLevel="0" collapsed="false">
      <c r="A223" s="158" t="s">
        <v>590</v>
      </c>
      <c r="B223" s="229" t="n">
        <f aca="false">G105</f>
        <v>8738.55249528739</v>
      </c>
      <c r="C223" s="229"/>
      <c r="D223" s="160" t="n">
        <f aca="false">B223/'00-三表与联动'!$B$6-1</f>
        <v>8.67628087487115</v>
      </c>
      <c r="E223" s="49" t="s">
        <v>591</v>
      </c>
      <c r="F223" s="49"/>
      <c r="G223" s="49"/>
      <c r="H223" s="49"/>
      <c r="I223" s="49"/>
      <c r="J223" s="49"/>
      <c r="K223" s="49"/>
      <c r="L223" s="49"/>
      <c r="M223" s="49"/>
      <c r="N223" s="49"/>
    </row>
    <row r="224" customFormat="false" ht="21.75" hidden="false" customHeight="true" outlineLevel="0" collapsed="false">
      <c r="A224" s="158" t="s">
        <v>592</v>
      </c>
      <c r="B224" s="229" t="n">
        <f aca="false">B103</f>
        <v>1563.44728598098</v>
      </c>
      <c r="C224" s="229"/>
      <c r="D224" s="160" t="n">
        <f aca="false">B224/'00-三表与联动'!$B$6-1</f>
        <v>0.731219796455478</v>
      </c>
      <c r="E224" s="48" t="s">
        <v>593</v>
      </c>
      <c r="F224" s="48"/>
      <c r="G224" s="48"/>
      <c r="H224" s="48"/>
      <c r="I224" s="48"/>
      <c r="J224" s="48"/>
      <c r="K224" s="48"/>
      <c r="L224" s="48"/>
      <c r="M224" s="48"/>
      <c r="N224" s="48"/>
    </row>
    <row r="225" customFormat="false" ht="21.75" hidden="false" customHeight="true" outlineLevel="0" collapsed="false">
      <c r="A225" s="5" t="s">
        <v>594</v>
      </c>
      <c r="B225" s="229" t="n">
        <f aca="false">'00-三表与联动'!$B$6</f>
        <v>903.09</v>
      </c>
      <c r="C225" s="229"/>
      <c r="D225" s="160" t="n">
        <f aca="false">B225/'00-三表与联动'!$B$6-1</f>
        <v>0</v>
      </c>
      <c r="E225" s="48" t="s">
        <v>595</v>
      </c>
      <c r="F225" s="48"/>
      <c r="G225" s="48"/>
      <c r="H225" s="48"/>
      <c r="I225" s="48"/>
      <c r="J225" s="48"/>
      <c r="K225" s="48"/>
      <c r="L225" s="48"/>
      <c r="M225" s="48"/>
      <c r="N225" s="48"/>
    </row>
    <row r="226" customFormat="false" ht="21.75" hidden="false" customHeight="true" outlineLevel="0" collapsed="false">
      <c r="A226" s="5" t="s">
        <v>45</v>
      </c>
      <c r="B226" s="229" t="n">
        <f aca="false">2126</f>
        <v>2126</v>
      </c>
      <c r="C226" s="229"/>
      <c r="D226" s="160" t="n">
        <f aca="false">B226/'00-三表与联动'!$B$6-1</f>
        <v>1.35413967600128</v>
      </c>
      <c r="E226" s="48" t="s">
        <v>596</v>
      </c>
      <c r="F226" s="48"/>
      <c r="G226" s="48"/>
      <c r="H226" s="48"/>
      <c r="I226" s="48"/>
      <c r="J226" s="48"/>
      <c r="K226" s="48"/>
      <c r="L226" s="48"/>
      <c r="M226" s="48"/>
      <c r="N226" s="48"/>
    </row>
    <row r="228" customFormat="false" ht="24" hidden="false" customHeight="true" outlineLevel="0" collapsed="false">
      <c r="A228" s="161" t="s">
        <v>597</v>
      </c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</row>
    <row r="229" customFormat="false" ht="27" hidden="false" customHeight="true" outlineLevel="0" collapsed="false">
      <c r="A229" s="4" t="s">
        <v>197</v>
      </c>
      <c r="B229" s="14" t="s">
        <v>598</v>
      </c>
      <c r="C229" s="14" t="s">
        <v>297</v>
      </c>
      <c r="D229" s="14" t="s">
        <v>298</v>
      </c>
      <c r="E229" s="14" t="s">
        <v>299</v>
      </c>
      <c r="F229" s="14" t="s">
        <v>300</v>
      </c>
      <c r="G229" s="14" t="s">
        <v>301</v>
      </c>
      <c r="H229" s="14" t="s">
        <v>302</v>
      </c>
      <c r="I229" s="4"/>
      <c r="J229" s="4"/>
      <c r="K229" s="4"/>
      <c r="L229" s="4"/>
      <c r="M229" s="4"/>
      <c r="N229" s="4"/>
    </row>
    <row r="230" customFormat="false" ht="16.5" hidden="false" customHeight="true" outlineLevel="0" collapsed="false">
      <c r="A230" s="5" t="s">
        <v>265</v>
      </c>
      <c r="B230" s="162" t="n">
        <f aca="false">'00-三表与联动'!F27</f>
        <v>128959</v>
      </c>
      <c r="C230" s="31" t="n">
        <f aca="false">B32</f>
        <v>242999.996298616</v>
      </c>
      <c r="D230" s="31" t="n">
        <f aca="false">C32</f>
        <v>279449.995743408</v>
      </c>
      <c r="E230" s="31" t="n">
        <f aca="false">D32</f>
        <v>318572.995147485</v>
      </c>
      <c r="F230" s="31" t="n">
        <f aca="false">E32</f>
        <v>356801.754565183</v>
      </c>
      <c r="G230" s="31" t="n">
        <f aca="false">F32</f>
        <v>392481.930021702</v>
      </c>
      <c r="H230" s="31" t="n">
        <f aca="false">G32</f>
        <v>423880.484423438</v>
      </c>
      <c r="I230" s="39"/>
      <c r="J230" s="39"/>
      <c r="K230" s="39"/>
      <c r="L230" s="39"/>
      <c r="M230" s="39"/>
      <c r="N230" s="39"/>
    </row>
    <row r="231" customFormat="false" ht="16.5" hidden="false" customHeight="true" outlineLevel="0" collapsed="false">
      <c r="A231" s="5" t="s">
        <v>271</v>
      </c>
      <c r="B231" s="162" t="n">
        <f aca="false">'00-三表与联动'!F29</f>
        <v>103457</v>
      </c>
      <c r="C231" s="31" t="n">
        <f aca="false">B35</f>
        <v>210474.99673664</v>
      </c>
      <c r="D231" s="31" t="n">
        <f aca="false">C35</f>
        <v>229148.996509595</v>
      </c>
      <c r="E231" s="31" t="n">
        <f aca="false">D35</f>
        <v>254858.396117988</v>
      </c>
      <c r="F231" s="31" t="n">
        <f aca="false">E35</f>
        <v>278305.368560843</v>
      </c>
      <c r="G231" s="31" t="n">
        <f aca="false">F35</f>
        <v>298286.266816493</v>
      </c>
      <c r="H231" s="31" t="n">
        <f aca="false">G35</f>
        <v>313671.558473344</v>
      </c>
      <c r="I231" s="39"/>
      <c r="J231" s="39"/>
      <c r="K231" s="39"/>
      <c r="L231" s="39"/>
      <c r="M231" s="39"/>
      <c r="N231" s="39"/>
    </row>
    <row r="232" customFormat="false" ht="16.5" hidden="false" customHeight="true" outlineLevel="0" collapsed="false">
      <c r="A232" s="5" t="s">
        <v>599</v>
      </c>
      <c r="B232" s="162" t="n">
        <f aca="false">'00-三表与联动'!F34</f>
        <v>96729</v>
      </c>
      <c r="C232" s="31" t="n">
        <f aca="false">B37</f>
        <v>201969.996866188</v>
      </c>
      <c r="D232" s="31" t="n">
        <f aca="false">C37</f>
        <v>219368.246658575</v>
      </c>
      <c r="E232" s="31" t="n">
        <f aca="false">D37</f>
        <v>243708.341287826</v>
      </c>
      <c r="F232" s="31" t="n">
        <f aca="false">E37</f>
        <v>265817.307151062</v>
      </c>
      <c r="G232" s="31" t="n">
        <f aca="false">F37</f>
        <v>284549.399265734</v>
      </c>
      <c r="H232" s="31" t="n">
        <f aca="false">G37</f>
        <v>298835.741518524</v>
      </c>
      <c r="I232" s="39"/>
      <c r="J232" s="39"/>
      <c r="K232" s="39"/>
      <c r="L232" s="39"/>
      <c r="M232" s="39"/>
      <c r="N232" s="39"/>
    </row>
    <row r="233" customFormat="false" ht="16.5" hidden="false" customHeight="true" outlineLevel="0" collapsed="false">
      <c r="A233" s="5" t="s">
        <v>600</v>
      </c>
      <c r="B233" s="162" t="n">
        <f aca="false">'00-三表与联动'!F41</f>
        <v>82608</v>
      </c>
      <c r="C233" s="31" t="n">
        <f aca="false">B39</f>
        <v>170664.647351929</v>
      </c>
      <c r="D233" s="31" t="n">
        <f aca="false">C39</f>
        <v>185366.168426496</v>
      </c>
      <c r="E233" s="31" t="n">
        <f aca="false">D39</f>
        <v>205933.548388213</v>
      </c>
      <c r="F233" s="31" t="n">
        <f aca="false">E39</f>
        <v>224615.624542647</v>
      </c>
      <c r="G233" s="31" t="n">
        <f aca="false">F39</f>
        <v>240444.242379545</v>
      </c>
      <c r="H233" s="31" t="n">
        <f aca="false">G39</f>
        <v>252516.201583153</v>
      </c>
      <c r="I233" s="39"/>
      <c r="J233" s="39"/>
      <c r="K233" s="39"/>
      <c r="L233" s="39"/>
      <c r="M233" s="39"/>
      <c r="N233" s="39"/>
    </row>
    <row r="234" customFormat="false" ht="16.5" hidden="false" customHeight="true" outlineLevel="0" collapsed="false">
      <c r="A234" s="5" t="s">
        <v>601</v>
      </c>
      <c r="B234" s="162" t="n">
        <f aca="false">'00-三表与联动'!F139</f>
        <v>29103</v>
      </c>
      <c r="C234" s="31" t="n">
        <f aca="false">B45</f>
        <v>146379.498133106</v>
      </c>
      <c r="D234" s="31" t="n">
        <f aca="false">C45</f>
        <v>159193.246325163</v>
      </c>
      <c r="E234" s="31" t="n">
        <f aca="false">D45</f>
        <v>176424.467187696</v>
      </c>
      <c r="F234" s="31" t="n">
        <f aca="false">E45</f>
        <v>192319.968586576</v>
      </c>
      <c r="G234" s="31" t="n">
        <f aca="false">F45</f>
        <v>205779.167914765</v>
      </c>
      <c r="H234" s="31" t="n">
        <f aca="false">G45</f>
        <v>216041.285898516</v>
      </c>
      <c r="I234" s="39"/>
      <c r="J234" s="39"/>
      <c r="K234" s="39"/>
      <c r="L234" s="39"/>
      <c r="M234" s="39"/>
      <c r="N234" s="39"/>
    </row>
    <row r="235" customFormat="false" ht="16.5" hidden="false" customHeight="true" outlineLevel="0" collapsed="false">
      <c r="A235" s="5" t="s">
        <v>269</v>
      </c>
      <c r="B235" s="163" t="n">
        <f aca="false">'00-三表与联动'!F29/'00-三表与联动'!F27</f>
        <v>0.802247225862483</v>
      </c>
      <c r="C235" s="46" t="n">
        <f aca="false">B34</f>
        <v>0.866152263138281</v>
      </c>
      <c r="D235" s="46" t="n">
        <f aca="false">C34</f>
        <v>0.82</v>
      </c>
      <c r="E235" s="46" t="n">
        <f aca="false">D34</f>
        <v>0.8</v>
      </c>
      <c r="F235" s="46" t="n">
        <f aca="false">E34</f>
        <v>0.78</v>
      </c>
      <c r="G235" s="46" t="n">
        <f aca="false">F34</f>
        <v>0.76</v>
      </c>
      <c r="H235" s="46" t="n">
        <f aca="false">G34</f>
        <v>0.74</v>
      </c>
      <c r="I235" s="39"/>
      <c r="J235" s="39"/>
      <c r="K235" s="39"/>
      <c r="L235" s="39"/>
      <c r="M235" s="39"/>
      <c r="N235" s="39"/>
    </row>
    <row r="236" customFormat="false" ht="16.5" hidden="false" customHeight="true" outlineLevel="0" collapsed="false">
      <c r="A236" s="5" t="s">
        <v>602</v>
      </c>
      <c r="B236" s="163" t="n">
        <f aca="false">'00-三表与联动'!F34/'00-三表与联动'!F27</f>
        <v>0.75007560542498</v>
      </c>
      <c r="C236" s="46" t="n">
        <f aca="false">B38</f>
        <v>0.831152263138281</v>
      </c>
      <c r="D236" s="46" t="n">
        <f aca="false">C38</f>
        <v>0.785</v>
      </c>
      <c r="E236" s="46" t="n">
        <f aca="false">D38</f>
        <v>0.765</v>
      </c>
      <c r="F236" s="46" t="n">
        <f aca="false">E38</f>
        <v>0.745</v>
      </c>
      <c r="G236" s="46" t="n">
        <f aca="false">F38</f>
        <v>0.725</v>
      </c>
      <c r="H236" s="46" t="n">
        <f aca="false">G38</f>
        <v>0.705</v>
      </c>
      <c r="I236" s="39"/>
      <c r="J236" s="39"/>
      <c r="K236" s="39"/>
      <c r="L236" s="39"/>
      <c r="M236" s="39"/>
      <c r="N236" s="39"/>
    </row>
    <row r="237" customFormat="false" ht="16.5" hidden="false" customHeight="true" outlineLevel="0" collapsed="false">
      <c r="A237" s="158" t="s">
        <v>603</v>
      </c>
      <c r="B237" s="163" t="n">
        <f aca="false">'00-三表与联动'!F139/'00-三表与联动'!F27</f>
        <v>0.225676377763475</v>
      </c>
      <c r="C237" s="46" t="n">
        <f aca="false">B46</f>
        <v>0.602384775155407</v>
      </c>
      <c r="D237" s="46" t="n">
        <f aca="false">C46</f>
        <v>0.569666304347826</v>
      </c>
      <c r="E237" s="46" t="n">
        <f aca="false">D46</f>
        <v>0.553796052631579</v>
      </c>
      <c r="F237" s="46" t="n">
        <f aca="false">E46</f>
        <v>0.539010714285715</v>
      </c>
      <c r="G237" s="46" t="n">
        <f aca="false">F46</f>
        <v>0.524302272727273</v>
      </c>
      <c r="H237" s="46" t="n">
        <f aca="false">G46</f>
        <v>0.509675</v>
      </c>
      <c r="I237" s="39"/>
      <c r="J237" s="39"/>
      <c r="K237" s="39"/>
      <c r="L237" s="39"/>
      <c r="M237" s="39"/>
      <c r="N237" s="39"/>
    </row>
    <row r="238" customFormat="false" ht="16.5" hidden="false" customHeight="true" outlineLevel="0" collapsed="false">
      <c r="A238" s="5" t="s">
        <v>604</v>
      </c>
      <c r="B238" s="164" t="n">
        <f aca="false">'00-三表与联动'!F46</f>
        <v>72.21</v>
      </c>
      <c r="C238" s="103" t="n">
        <f aca="false">B37*(1-$B$201)/'00-三表与联动'!$B$9</f>
        <v>148.404041175591</v>
      </c>
      <c r="D238" s="103" t="n">
        <f aca="false">C37*(1-$B$201)/'00-三表与联动'!$B$9</f>
        <v>161.187972544779</v>
      </c>
      <c r="E238" s="103" t="n">
        <f aca="false">D37*(1-$B$201)/'00-三表与联动'!$B$9</f>
        <v>179.072650772359</v>
      </c>
      <c r="F238" s="103" t="n">
        <f aca="false">E37*(1-$B$201)/'00-三表与联动'!$B$9</f>
        <v>195.317934384911</v>
      </c>
      <c r="G238" s="103" t="n">
        <f aca="false">F37*(1-$B$201)/'00-三表与联动'!$B$9</f>
        <v>209.081949895257</v>
      </c>
      <c r="H238" s="103" t="n">
        <f aca="false">G37*(1-$B$201)/'00-三表与联动'!$B$9</f>
        <v>219.579305724481</v>
      </c>
      <c r="I238" s="39"/>
      <c r="J238" s="39"/>
      <c r="K238" s="39"/>
      <c r="L238" s="39"/>
      <c r="M238" s="39"/>
      <c r="N238" s="39"/>
    </row>
    <row r="239" customFormat="false" ht="16.5" hidden="false" customHeight="true" outlineLevel="0" collapsed="false">
      <c r="A239" s="5" t="s">
        <v>605</v>
      </c>
      <c r="B239" s="163" t="n">
        <f aca="false">'00-三表与联动'!F27/7355-1</f>
        <v>16.5335146159075</v>
      </c>
      <c r="C239" s="46" t="n">
        <f aca="false">B33</f>
        <v>0.884319793877245</v>
      </c>
      <c r="D239" s="46" t="n">
        <f aca="false">C33</f>
        <v>0.15</v>
      </c>
      <c r="E239" s="46" t="n">
        <f aca="false">D33</f>
        <v>0.14</v>
      </c>
      <c r="F239" s="46" t="n">
        <f aca="false">E33</f>
        <v>0.12</v>
      </c>
      <c r="G239" s="46" t="n">
        <f aca="false">F33</f>
        <v>0.1</v>
      </c>
      <c r="H239" s="46" t="n">
        <f aca="false">G33</f>
        <v>0.0800000000000001</v>
      </c>
      <c r="I239" s="39"/>
      <c r="J239" s="39"/>
      <c r="K239" s="39"/>
      <c r="L239" s="39"/>
      <c r="M239" s="39"/>
      <c r="N239" s="39"/>
    </row>
    <row r="240" customFormat="false" ht="16.5" hidden="false" customHeight="true" outlineLevel="0" collapsed="false">
      <c r="A240" s="5" t="s">
        <v>405</v>
      </c>
      <c r="B240" s="165" t="n">
        <f aca="false">'00-三表与联动'!$B$9</f>
        <v>1150</v>
      </c>
      <c r="C240" s="100" t="n">
        <f aca="false">B97</f>
        <v>998.060401626069</v>
      </c>
      <c r="D240" s="100" t="n">
        <f aca="false">C97</f>
        <v>847.32491390255</v>
      </c>
      <c r="E240" s="100" t="n">
        <f aca="false">D97</f>
        <v>694.856785004065</v>
      </c>
      <c r="F240" s="100" t="n">
        <f aca="false">E97</f>
        <v>543.159497259849</v>
      </c>
      <c r="G240" s="100" t="n">
        <f aca="false">F97</f>
        <v>395.018577000096</v>
      </c>
      <c r="H240" s="100" t="n">
        <f aca="false">G97</f>
        <v>253.074700174251</v>
      </c>
      <c r="I240" s="39"/>
      <c r="J240" s="39"/>
      <c r="K240" s="39"/>
      <c r="L240" s="39"/>
      <c r="M240" s="39"/>
      <c r="N240" s="39"/>
    </row>
    <row r="241" customFormat="false" ht="16.5" hidden="false" customHeight="true" outlineLevel="0" collapsed="false">
      <c r="A241" s="5" t="s">
        <v>606</v>
      </c>
      <c r="B241" s="164" t="n">
        <f aca="false">'00-三表与联动'!F46</f>
        <v>72.21</v>
      </c>
      <c r="C241" s="103" t="n">
        <f aca="false">B100</f>
        <v>170.996311519701</v>
      </c>
      <c r="D241" s="103" t="n">
        <f aca="false">C100</f>
        <v>218.766337900711</v>
      </c>
      <c r="E241" s="103" t="n">
        <f aca="false">D100</f>
        <v>296.368334932512</v>
      </c>
      <c r="F241" s="103" t="n">
        <f aca="false">E100</f>
        <v>413.535297966428</v>
      </c>
      <c r="G241" s="103" t="n">
        <f aca="false">F100</f>
        <v>608.69097399307</v>
      </c>
      <c r="H241" s="103" t="n">
        <f aca="false">G100</f>
        <v>997.793147277409</v>
      </c>
      <c r="I241" s="39"/>
      <c r="J241" s="39"/>
      <c r="K241" s="39"/>
      <c r="L241" s="39"/>
      <c r="M241" s="39"/>
      <c r="N241" s="39"/>
    </row>
    <row r="242" customFormat="false" ht="20.25" hidden="false" customHeight="true" outlineLevel="0" collapsed="false">
      <c r="A242" s="166" t="s">
        <v>607</v>
      </c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</row>
    <row r="485" customFormat="false" ht="58.5" hidden="false" customHeight="true" outlineLevel="0" collapsed="false">
      <c r="A485" s="43" t="s">
        <v>608</v>
      </c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</row>
  </sheetData>
  <mergeCells count="320">
    <mergeCell ref="A1:N1"/>
    <mergeCell ref="A2:N2"/>
    <mergeCell ref="A4:N4"/>
    <mergeCell ref="A5:N5"/>
    <mergeCell ref="A6:N6"/>
    <mergeCell ref="A7:N7"/>
    <mergeCell ref="A8:N8"/>
    <mergeCell ref="A9:N9"/>
    <mergeCell ref="A11:N11"/>
    <mergeCell ref="G13:N13"/>
    <mergeCell ref="G14:N14"/>
    <mergeCell ref="G15:N15"/>
    <mergeCell ref="G16:N16"/>
    <mergeCell ref="G17:N17"/>
    <mergeCell ref="G18:N18"/>
    <mergeCell ref="G19:N19"/>
    <mergeCell ref="G20:N20"/>
    <mergeCell ref="G21:N21"/>
    <mergeCell ref="G22:N22"/>
    <mergeCell ref="G23:N23"/>
    <mergeCell ref="G24:N24"/>
    <mergeCell ref="G25:N25"/>
    <mergeCell ref="G26:N26"/>
    <mergeCell ref="G27:N27"/>
    <mergeCell ref="A28:N28"/>
    <mergeCell ref="A30:N30"/>
    <mergeCell ref="I32:N32"/>
    <mergeCell ref="I33:N33"/>
    <mergeCell ref="I34:N34"/>
    <mergeCell ref="I35:N35"/>
    <mergeCell ref="I36:N36"/>
    <mergeCell ref="I37:N37"/>
    <mergeCell ref="I38:N38"/>
    <mergeCell ref="I39:N39"/>
    <mergeCell ref="I40:N40"/>
    <mergeCell ref="I41:N41"/>
    <mergeCell ref="I42:N42"/>
    <mergeCell ref="I43:N43"/>
    <mergeCell ref="I44:N44"/>
    <mergeCell ref="I45:N45"/>
    <mergeCell ref="I46:N46"/>
    <mergeCell ref="I47:N47"/>
    <mergeCell ref="I48:N48"/>
    <mergeCell ref="I49:N49"/>
    <mergeCell ref="A51:N51"/>
    <mergeCell ref="B53:C53"/>
    <mergeCell ref="D53:N53"/>
    <mergeCell ref="B54:C54"/>
    <mergeCell ref="D54:N54"/>
    <mergeCell ref="B55:C55"/>
    <mergeCell ref="D55:N55"/>
    <mergeCell ref="B56:C56"/>
    <mergeCell ref="D56:N56"/>
    <mergeCell ref="B57:C57"/>
    <mergeCell ref="D57:N57"/>
    <mergeCell ref="B58:C58"/>
    <mergeCell ref="D58:N58"/>
    <mergeCell ref="A60:N60"/>
    <mergeCell ref="B62:C62"/>
    <mergeCell ref="D62:N62"/>
    <mergeCell ref="B63:C63"/>
    <mergeCell ref="D63:N63"/>
    <mergeCell ref="B64:C64"/>
    <mergeCell ref="D64:N64"/>
    <mergeCell ref="B65:C65"/>
    <mergeCell ref="D65:N65"/>
    <mergeCell ref="B66:C66"/>
    <mergeCell ref="D66:N66"/>
    <mergeCell ref="B67:C67"/>
    <mergeCell ref="D67:N67"/>
    <mergeCell ref="B68:C68"/>
    <mergeCell ref="D68:N68"/>
    <mergeCell ref="B69:C69"/>
    <mergeCell ref="D69:N69"/>
    <mergeCell ref="B70:C70"/>
    <mergeCell ref="D70:N70"/>
    <mergeCell ref="B71:C71"/>
    <mergeCell ref="D71:N71"/>
    <mergeCell ref="B72:C72"/>
    <mergeCell ref="D72:N72"/>
    <mergeCell ref="B73:C73"/>
    <mergeCell ref="D73:N73"/>
    <mergeCell ref="B74:C74"/>
    <mergeCell ref="D74:N74"/>
    <mergeCell ref="A75:N75"/>
    <mergeCell ref="A77:N77"/>
    <mergeCell ref="B79:C79"/>
    <mergeCell ref="D79:E79"/>
    <mergeCell ref="F79:N79"/>
    <mergeCell ref="B80:C80"/>
    <mergeCell ref="D80:E80"/>
    <mergeCell ref="F80:N80"/>
    <mergeCell ref="B81:C81"/>
    <mergeCell ref="D81:E81"/>
    <mergeCell ref="F81:N81"/>
    <mergeCell ref="B82:C82"/>
    <mergeCell ref="D82:E82"/>
    <mergeCell ref="F82:N82"/>
    <mergeCell ref="B83:C83"/>
    <mergeCell ref="D83:E83"/>
    <mergeCell ref="F83:N83"/>
    <mergeCell ref="A85:N85"/>
    <mergeCell ref="A86:N86"/>
    <mergeCell ref="A87:N87"/>
    <mergeCell ref="A88:N88"/>
    <mergeCell ref="H90:N90"/>
    <mergeCell ref="H91:N91"/>
    <mergeCell ref="H92:N92"/>
    <mergeCell ref="H93:N93"/>
    <mergeCell ref="H94:N94"/>
    <mergeCell ref="H95:N95"/>
    <mergeCell ref="H96:N96"/>
    <mergeCell ref="H97:N97"/>
    <mergeCell ref="H98:N98"/>
    <mergeCell ref="H99:N99"/>
    <mergeCell ref="H100:N100"/>
    <mergeCell ref="H101:N101"/>
    <mergeCell ref="H102:N102"/>
    <mergeCell ref="H103:N103"/>
    <mergeCell ref="H104:N104"/>
    <mergeCell ref="H105:N105"/>
    <mergeCell ref="A107:N107"/>
    <mergeCell ref="I109:N109"/>
    <mergeCell ref="I110:N110"/>
    <mergeCell ref="I111:N111"/>
    <mergeCell ref="A112:N112"/>
    <mergeCell ref="A114:N114"/>
    <mergeCell ref="B116:C116"/>
    <mergeCell ref="D116:N116"/>
    <mergeCell ref="B117:C117"/>
    <mergeCell ref="D117:N117"/>
    <mergeCell ref="B118:C118"/>
    <mergeCell ref="D118:N118"/>
    <mergeCell ref="B119:C119"/>
    <mergeCell ref="D119:N119"/>
    <mergeCell ref="B120:C120"/>
    <mergeCell ref="D120:N120"/>
    <mergeCell ref="B121:C121"/>
    <mergeCell ref="D121:N121"/>
    <mergeCell ref="B122:C122"/>
    <mergeCell ref="D122:N122"/>
    <mergeCell ref="B123:C123"/>
    <mergeCell ref="D123:N123"/>
    <mergeCell ref="B124:C124"/>
    <mergeCell ref="D124:N124"/>
    <mergeCell ref="B125:C125"/>
    <mergeCell ref="D125:N125"/>
    <mergeCell ref="B126:C126"/>
    <mergeCell ref="D126:N126"/>
    <mergeCell ref="B127:C127"/>
    <mergeCell ref="D127:N127"/>
    <mergeCell ref="A128:N128"/>
    <mergeCell ref="A130:N130"/>
    <mergeCell ref="A131:N131"/>
    <mergeCell ref="C132:G132"/>
    <mergeCell ref="A133:A134"/>
    <mergeCell ref="B133:B134"/>
    <mergeCell ref="C133:G134"/>
    <mergeCell ref="H133:H134"/>
    <mergeCell ref="I133:I134"/>
    <mergeCell ref="J133:N134"/>
    <mergeCell ref="A135:A136"/>
    <mergeCell ref="B135:B136"/>
    <mergeCell ref="C135:G136"/>
    <mergeCell ref="H135:H136"/>
    <mergeCell ref="I135:I136"/>
    <mergeCell ref="J135:N136"/>
    <mergeCell ref="A137:A138"/>
    <mergeCell ref="B137:B138"/>
    <mergeCell ref="C137:G138"/>
    <mergeCell ref="H137:H138"/>
    <mergeCell ref="I137:I138"/>
    <mergeCell ref="J137:N138"/>
    <mergeCell ref="A139:A140"/>
    <mergeCell ref="B139:B140"/>
    <mergeCell ref="C139:G140"/>
    <mergeCell ref="H139:H140"/>
    <mergeCell ref="I139:I140"/>
    <mergeCell ref="J139:N140"/>
    <mergeCell ref="A141:A142"/>
    <mergeCell ref="B141:B142"/>
    <mergeCell ref="C141:G142"/>
    <mergeCell ref="H141:H142"/>
    <mergeCell ref="I141:I142"/>
    <mergeCell ref="J141:N142"/>
    <mergeCell ref="A144:N144"/>
    <mergeCell ref="G146:N146"/>
    <mergeCell ref="G147:N147"/>
    <mergeCell ref="G148:N148"/>
    <mergeCell ref="G149:N149"/>
    <mergeCell ref="G150:N150"/>
    <mergeCell ref="A151:N151"/>
    <mergeCell ref="A153:N153"/>
    <mergeCell ref="G155:N155"/>
    <mergeCell ref="G156:N156"/>
    <mergeCell ref="G157:N157"/>
    <mergeCell ref="G158:N158"/>
    <mergeCell ref="G159:N159"/>
    <mergeCell ref="G160:N160"/>
    <mergeCell ref="A161:N161"/>
    <mergeCell ref="A164:N164"/>
    <mergeCell ref="A165:N165"/>
    <mergeCell ref="A166:G166"/>
    <mergeCell ref="H166:N166"/>
    <mergeCell ref="A173:N173"/>
    <mergeCell ref="A174:N174"/>
    <mergeCell ref="C176:D176"/>
    <mergeCell ref="E176:I176"/>
    <mergeCell ref="J176:N176"/>
    <mergeCell ref="C177:D177"/>
    <mergeCell ref="E177:I177"/>
    <mergeCell ref="J177:N177"/>
    <mergeCell ref="C178:D178"/>
    <mergeCell ref="E178:I178"/>
    <mergeCell ref="J178:N178"/>
    <mergeCell ref="C179:D179"/>
    <mergeCell ref="E179:I179"/>
    <mergeCell ref="J179:N179"/>
    <mergeCell ref="C180:D180"/>
    <mergeCell ref="E180:I180"/>
    <mergeCell ref="J180:N180"/>
    <mergeCell ref="A181:N181"/>
    <mergeCell ref="A183:N183"/>
    <mergeCell ref="A186:N186"/>
    <mergeCell ref="A187:N187"/>
    <mergeCell ref="C188:G188"/>
    <mergeCell ref="A189:A190"/>
    <mergeCell ref="B189:B190"/>
    <mergeCell ref="C189:G190"/>
    <mergeCell ref="H189:H190"/>
    <mergeCell ref="I189:I190"/>
    <mergeCell ref="J189:N190"/>
    <mergeCell ref="A191:A192"/>
    <mergeCell ref="B191:B192"/>
    <mergeCell ref="C191:G192"/>
    <mergeCell ref="H191:H192"/>
    <mergeCell ref="I191:I192"/>
    <mergeCell ref="J191:N192"/>
    <mergeCell ref="A193:A194"/>
    <mergeCell ref="B193:B194"/>
    <mergeCell ref="C193:G194"/>
    <mergeCell ref="H193:H194"/>
    <mergeCell ref="I193:I194"/>
    <mergeCell ref="J193:N194"/>
    <mergeCell ref="A195:A196"/>
    <mergeCell ref="B195:B196"/>
    <mergeCell ref="C195:G196"/>
    <mergeCell ref="H195:H196"/>
    <mergeCell ref="I195:I196"/>
    <mergeCell ref="J195:N196"/>
    <mergeCell ref="A197:A198"/>
    <mergeCell ref="B197:B198"/>
    <mergeCell ref="C197:G198"/>
    <mergeCell ref="H197:H198"/>
    <mergeCell ref="I197:I198"/>
    <mergeCell ref="J197:N198"/>
    <mergeCell ref="A199:A200"/>
    <mergeCell ref="B199:B200"/>
    <mergeCell ref="C199:G200"/>
    <mergeCell ref="H199:H200"/>
    <mergeCell ref="I199:I200"/>
    <mergeCell ref="J199:N200"/>
    <mergeCell ref="A201:A202"/>
    <mergeCell ref="B201:B202"/>
    <mergeCell ref="C201:G202"/>
    <mergeCell ref="H201:H202"/>
    <mergeCell ref="I201:I202"/>
    <mergeCell ref="J201:N202"/>
    <mergeCell ref="A203:A204"/>
    <mergeCell ref="B203:B204"/>
    <mergeCell ref="C203:G204"/>
    <mergeCell ref="H203:H204"/>
    <mergeCell ref="I203:I204"/>
    <mergeCell ref="J203:N204"/>
    <mergeCell ref="A205:A206"/>
    <mergeCell ref="B205:B206"/>
    <mergeCell ref="C205:G206"/>
    <mergeCell ref="H205:H206"/>
    <mergeCell ref="I205:I206"/>
    <mergeCell ref="J205:N206"/>
    <mergeCell ref="A207:A208"/>
    <mergeCell ref="B207:B208"/>
    <mergeCell ref="C207:G208"/>
    <mergeCell ref="H207:H208"/>
    <mergeCell ref="I207:I208"/>
    <mergeCell ref="J207:N208"/>
    <mergeCell ref="A209:A210"/>
    <mergeCell ref="B209:B210"/>
    <mergeCell ref="C209:G210"/>
    <mergeCell ref="H209:H210"/>
    <mergeCell ref="I209:I210"/>
    <mergeCell ref="J209:N210"/>
    <mergeCell ref="A211:A212"/>
    <mergeCell ref="B211:B212"/>
    <mergeCell ref="C211:G212"/>
    <mergeCell ref="H211:H212"/>
    <mergeCell ref="I211:I212"/>
    <mergeCell ref="J211:N212"/>
    <mergeCell ref="A213:A214"/>
    <mergeCell ref="B213:B214"/>
    <mergeCell ref="C213:G214"/>
    <mergeCell ref="H213:H214"/>
    <mergeCell ref="I213:I214"/>
    <mergeCell ref="J213:N214"/>
    <mergeCell ref="A215:N215"/>
    <mergeCell ref="A219:N219"/>
    <mergeCell ref="A220:N220"/>
    <mergeCell ref="B222:C222"/>
    <mergeCell ref="E222:N222"/>
    <mergeCell ref="B223:C223"/>
    <mergeCell ref="E223:N223"/>
    <mergeCell ref="B224:C224"/>
    <mergeCell ref="E224:N224"/>
    <mergeCell ref="B225:C225"/>
    <mergeCell ref="E225:N225"/>
    <mergeCell ref="B226:C226"/>
    <mergeCell ref="E226:N226"/>
    <mergeCell ref="A228:N228"/>
    <mergeCell ref="A242:N242"/>
    <mergeCell ref="A485:N485"/>
  </mergeCells>
  <conditionalFormatting sqref="B74">
    <cfRule type="expression" priority="2" aboveAverage="0" equalAverage="0" bottom="0" percent="0" rank="0" text="" dxfId="2">
      <formula>$B$74&gt;0</formula>
    </cfRule>
    <cfRule type="expression" priority="3" aboveAverage="0" equalAverage="0" bottom="0" percent="0" rank="0" text="" dxfId="3">
      <formula>$B$74&lt;=0</formula>
    </cfRule>
  </conditionalFormatting>
  <conditionalFormatting sqref="I109">
    <cfRule type="expression" priority="4" aboveAverage="0" equalAverage="0" bottom="0" percent="0" rank="0" text="" dxfId="0">
      <formula>$I$109&gt;0</formula>
    </cfRule>
    <cfRule type="expression" priority="5" aboveAverage="0" equalAverage="0" bottom="0" percent="0" rank="0" text="" dxfId="1">
      <formula>$I$109&lt;=0</formula>
    </cfRule>
  </conditionalFormatting>
  <conditionalFormatting sqref="I110">
    <cfRule type="expression" priority="6" aboveAverage="0" equalAverage="0" bottom="0" percent="0" rank="0" text="" dxfId="0">
      <formula>$I$110&gt;0</formula>
    </cfRule>
    <cfRule type="expression" priority="7" aboveAverage="0" equalAverage="0" bottom="0" percent="0" rank="0" text="" dxfId="1">
      <formula>$I$110&lt;=0</formula>
    </cfRule>
  </conditionalFormatting>
  <conditionalFormatting sqref="I111">
    <cfRule type="expression" priority="8" aboveAverage="0" equalAverage="0" bottom="0" percent="0" rank="0" text="" dxfId="0">
      <formula>$I$111&gt;0</formula>
    </cfRule>
    <cfRule type="expression" priority="9" aboveAverage="0" equalAverage="0" bottom="0" percent="0" rank="0" text="" dxfId="1">
      <formula>$I$111&lt;=0</formula>
    </cfRule>
  </conditionalFormatting>
  <conditionalFormatting sqref="B125">
    <cfRule type="expression" priority="10" aboveAverage="0" equalAverage="0" bottom="0" percent="0" rank="0" text="" dxfId="2">
      <formula>$B$125&gt;0</formula>
    </cfRule>
    <cfRule type="expression" priority="11" aboveAverage="0" equalAverage="0" bottom="0" percent="0" rank="0" text="" dxfId="3">
      <formula>$B$125&lt;=0</formula>
    </cfRule>
  </conditionalFormatting>
  <conditionalFormatting sqref="B146:F150">
    <cfRule type="expression" priority="12" aboveAverage="0" equalAverage="0" bottom="0" percent="0" rank="0" text="" dxfId="4">
      <formula>AND(ISNUMBER(B146),B146&gt;'00-三表与联动'!$B$6)</formula>
    </cfRule>
    <cfRule type="expression" priority="13" aboveAverage="0" equalAverage="0" bottom="0" percent="0" rank="0" text="" dxfId="5">
      <formula>AND(ISNUMBER(B146),B146&lt;='00-三表与联动'!$B$6)</formula>
    </cfRule>
  </conditionalFormatting>
  <conditionalFormatting sqref="B155:D160">
    <cfRule type="expression" priority="14" aboveAverage="0" equalAverage="0" bottom="0" percent="0" rank="0" text="" dxfId="0">
      <formula>AND(ISNUMBER(B155),B155&gt;'00-三表与联动'!$B$6)</formula>
    </cfRule>
    <cfRule type="expression" priority="15" aboveAverage="0" equalAverage="0" bottom="0" percent="0" rank="0" text="" dxfId="1">
      <formula>AND(ISNUMBER(B155),B155&lt;='00-三表与联动'!$B$6)</formula>
    </cfRule>
  </conditionalFormatting>
  <conditionalFormatting sqref="B168:F172">
    <cfRule type="expression" priority="16" aboveAverage="0" equalAverage="0" bottom="0" percent="0" rank="0" text="" dxfId="4">
      <formula>AND(ISNUMBER(B168),B168&gt;'00-三表与联动'!$B$6)</formula>
    </cfRule>
    <cfRule type="expression" priority="17" aboveAverage="0" equalAverage="0" bottom="0" percent="0" rank="0" text="" dxfId="5">
      <formula>AND(ISNUMBER(B168),B168&lt;='00-三表与联动'!$B$6)</formula>
    </cfRule>
  </conditionalFormatting>
  <conditionalFormatting sqref="I168:M172">
    <cfRule type="expression" priority="18" aboveAverage="0" equalAverage="0" bottom="0" percent="0" rank="0" text="" dxfId="4">
      <formula>AND(ISNUMBER(B168),B168&gt;'00-三表与联动'!$B$6)</formula>
    </cfRule>
    <cfRule type="expression" priority="19" aboveAverage="0" equalAverage="0" bottom="0" percent="0" rank="0" text="" dxfId="5">
      <formula>AND(ISNUMBER(B168),B168&lt;='00-三表与联动'!$B$6)</formula>
    </cfRule>
  </conditionalFormatting>
  <conditionalFormatting sqref="B217">
    <cfRule type="expression" priority="20" aboveAverage="0" equalAverage="0" bottom="0" percent="0" rank="0" text="" dxfId="6">
      <formula>$B$217&gt;0</formula>
    </cfRule>
    <cfRule type="expression" priority="21" aboveAverage="0" equalAverage="0" bottom="0" percent="0" rank="0" text="" dxfId="7">
      <formula>$B$217&lt;=0</formula>
    </cfRule>
  </conditionalFormatting>
  <conditionalFormatting sqref="D222">
    <cfRule type="expression" priority="22" aboveAverage="0" equalAverage="0" bottom="0" percent="0" rank="0" text="" dxfId="0">
      <formula>$D$222&gt;0</formula>
    </cfRule>
    <cfRule type="expression" priority="23" aboveAverage="0" equalAverage="0" bottom="0" percent="0" rank="0" text="" dxfId="1">
      <formula>$D$222&lt;=0</formula>
    </cfRule>
  </conditionalFormatting>
  <conditionalFormatting sqref="D223">
    <cfRule type="expression" priority="24" aboveAverage="0" equalAverage="0" bottom="0" percent="0" rank="0" text="" dxfId="0">
      <formula>$D$223&gt;0</formula>
    </cfRule>
    <cfRule type="expression" priority="25" aboveAverage="0" equalAverage="0" bottom="0" percent="0" rank="0" text="" dxfId="1">
      <formula>$D$223&lt;=0</formula>
    </cfRule>
  </conditionalFormatting>
  <conditionalFormatting sqref="D224">
    <cfRule type="expression" priority="26" aboveAverage="0" equalAverage="0" bottom="0" percent="0" rank="0" text="" dxfId="0">
      <formula>$D$224&gt;0</formula>
    </cfRule>
    <cfRule type="expression" priority="27" aboveAverage="0" equalAverage="0" bottom="0" percent="0" rank="0" text="" dxfId="1">
      <formula>$D$224&lt;=0</formula>
    </cfRule>
  </conditionalFormatting>
  <conditionalFormatting sqref="D225">
    <cfRule type="expression" priority="28" aboveAverage="0" equalAverage="0" bottom="0" percent="0" rank="0" text="" dxfId="0">
      <formula>$D$225&gt;0</formula>
    </cfRule>
    <cfRule type="expression" priority="29" aboveAverage="0" equalAverage="0" bottom="0" percent="0" rank="0" text="" dxfId="1">
      <formula>$D$225&lt;=0</formula>
    </cfRule>
  </conditionalFormatting>
  <conditionalFormatting sqref="D226">
    <cfRule type="expression" priority="30" aboveAverage="0" equalAverage="0" bottom="0" percent="0" rank="0" text="" dxfId="0">
      <formula>$D$226&gt;0</formula>
    </cfRule>
    <cfRule type="expression" priority="31" aboveAverage="0" equalAverage="0" bottom="0" percent="0" rank="0" text="" dxfId="1">
      <formula>$D$226&lt;=0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xmlns:r="http://schemas.openxmlformats.org/officeDocument/2006/relationships" r:id="rId2"/>
  <mc:AlternateContent xmlns:mc="http://schemas.openxmlformats.org/markup-compatibility/2006">
    <mc:Choice xmlns:x14="http://schemas.microsoft.com/office/spreadsheetml/2009/9/main" xmlns:xdr="http://schemas.openxmlformats.org/drawingml/2006/spreadsheetDrawing" xmlns:r="http://schemas.openxmlformats.org/officeDocument/2006/relationships" Requires="x14">
      <controls>
        <mc:AlternateContent xmlns:mc="http://schemas.openxmlformats.org/markup-compatibility/2006">
          <mc:Choice Requires="x14">
            <control shapeId="1061" r:id="rId3" name="Scroll Bar 37">
              <controlPr defaultSize="0" autoLine="0" autoPict="0" altText="" linkedCell="'03-DCF-乐观'!$H$133" print="0">
                <anchor moveWithCells="1" sizeWithCells="0">
                  <from>
                    <xdr:col>2</xdr:col>
                    <xdr:colOff>19050</xdr:colOff>
                    <xdr:row>132</xdr:row>
                    <xdr:rowOff>25400</xdr:rowOff>
                  </from>
                  <to>
                    <xdr:col>7</xdr:col>
                    <xdr:colOff>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" name="Scroll Bar 38">
              <controlPr defaultSize="0" autoLine="0" autoPict="0" altText="" linkedCell="'03-DCF-乐观'!$H$135" print="0">
                <anchor moveWithCells="1" sizeWithCells="0">
                  <from>
                    <xdr:col>2</xdr:col>
                    <xdr:colOff>19050</xdr:colOff>
                    <xdr:row>134</xdr:row>
                    <xdr:rowOff>25400</xdr:rowOff>
                  </from>
                  <to>
                    <xdr:col>7</xdr:col>
                    <xdr:colOff>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5" name="Scroll Bar 39">
              <controlPr defaultSize="0" autoLine="0" autoPict="0" altText="" linkedCell="'03-DCF-乐观'!$H$137" print="0">
                <anchor moveWithCells="1" sizeWithCells="0">
                  <from>
                    <xdr:col>2</xdr:col>
                    <xdr:colOff>19050</xdr:colOff>
                    <xdr:row>136</xdr:row>
                    <xdr:rowOff>25400</xdr:rowOff>
                  </from>
                  <to>
                    <xdr:col>7</xdr:col>
                    <xdr:colOff>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6" name="Scroll Bar 40">
              <controlPr defaultSize="0" autoLine="0" autoPict="0" altText="" linkedCell="'03-DCF-乐观'!$H$139" print="0">
                <anchor moveWithCells="1" sizeWithCells="0">
                  <from>
                    <xdr:col>2</xdr:col>
                    <xdr:colOff>19050</xdr:colOff>
                    <xdr:row>138</xdr:row>
                    <xdr:rowOff>25400</xdr:rowOff>
                  </from>
                  <to>
                    <xdr:col>7</xdr:col>
                    <xdr:colOff>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7" name="Scroll Bar 41">
              <controlPr defaultSize="0" autoLine="0" autoPict="0" altText="" linkedCell="'03-DCF-乐观'!$H$141" print="0">
                <anchor moveWithCells="1" sizeWithCells="0">
                  <from>
                    <xdr:col>2</xdr:col>
                    <xdr:colOff>19050</xdr:colOff>
                    <xdr:row>140</xdr:row>
                    <xdr:rowOff>25400</xdr:rowOff>
                  </from>
                  <to>
                    <xdr:col>7</xdr:col>
                    <xdr:colOff>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8" name="Scroll Bar 42">
              <controlPr defaultSize="0" autoLine="0" autoPict="0" altText="" linkedCell="'03-DCF-乐观'!$H$189" print="0">
                <anchor moveWithCells="1" sizeWithCells="0">
                  <from>
                    <xdr:col>2</xdr:col>
                    <xdr:colOff>19050</xdr:colOff>
                    <xdr:row>188</xdr:row>
                    <xdr:rowOff>25400</xdr:rowOff>
                  </from>
                  <to>
                    <xdr:col>7</xdr:col>
                    <xdr:colOff>0</xdr:colOff>
                    <xdr:row>190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9" name="Scroll Bar 43">
              <controlPr defaultSize="0" autoLine="0" autoPict="0" altText="" linkedCell="'03-DCF-乐观'!$H$191" print="0">
                <anchor moveWithCells="1" sizeWithCells="0">
                  <from>
                    <xdr:col>2</xdr:col>
                    <xdr:colOff>19050</xdr:colOff>
                    <xdr:row>190</xdr:row>
                    <xdr:rowOff>25400</xdr:rowOff>
                  </from>
                  <to>
                    <xdr:col>7</xdr:col>
                    <xdr:colOff>0</xdr:colOff>
                    <xdr:row>192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10" name="Scroll Bar 44">
              <controlPr defaultSize="0" autoLine="0" autoPict="0" altText="" linkedCell="'03-DCF-乐观'!$H$193" print="0">
                <anchor moveWithCells="1" sizeWithCells="0">
                  <from>
                    <xdr:col>2</xdr:col>
                    <xdr:colOff>19050</xdr:colOff>
                    <xdr:row>192</xdr:row>
                    <xdr:rowOff>25400</xdr:rowOff>
                  </from>
                  <to>
                    <xdr:col>7</xdr:col>
                    <xdr:colOff>0</xdr:colOff>
                    <xdr:row>194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1" name="Scroll Bar 45">
              <controlPr defaultSize="0" autoLine="0" autoPict="0" altText="" linkedCell="'03-DCF-乐观'!$H$195" print="0">
                <anchor moveWithCells="1" sizeWithCells="0">
                  <from>
                    <xdr:col>2</xdr:col>
                    <xdr:colOff>19050</xdr:colOff>
                    <xdr:row>194</xdr:row>
                    <xdr:rowOff>25400</xdr:rowOff>
                  </from>
                  <to>
                    <xdr:col>7</xdr:col>
                    <xdr:colOff>0</xdr:colOff>
                    <xdr:row>196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12" name="Scroll Bar 46">
              <controlPr defaultSize="0" autoLine="0" autoPict="0" altText="" linkedCell="'03-DCF-乐观'!$H$197" print="0">
                <anchor moveWithCells="1" sizeWithCells="0">
                  <from>
                    <xdr:col>2</xdr:col>
                    <xdr:colOff>19050</xdr:colOff>
                    <xdr:row>196</xdr:row>
                    <xdr:rowOff>25400</xdr:rowOff>
                  </from>
                  <to>
                    <xdr:col>7</xdr:col>
                    <xdr:colOff>0</xdr:colOff>
                    <xdr:row>198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3" name="Scroll Bar 47">
              <controlPr defaultSize="0" autoLine="0" autoPict="0" altText="" linkedCell="'03-DCF-乐观'!$H$199" print="0">
                <anchor moveWithCells="1" sizeWithCells="0">
                  <from>
                    <xdr:col>2</xdr:col>
                    <xdr:colOff>19050</xdr:colOff>
                    <xdr:row>198</xdr:row>
                    <xdr:rowOff>25400</xdr:rowOff>
                  </from>
                  <to>
                    <xdr:col>7</xdr:col>
                    <xdr:colOff>0</xdr:colOff>
                    <xdr:row>200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14" name="Scroll Bar 48">
              <controlPr defaultSize="0" autoLine="0" autoPict="0" altText="" linkedCell="'03-DCF-乐观'!$H$201" print="0">
                <anchor moveWithCells="1" sizeWithCells="0">
                  <from>
                    <xdr:col>2</xdr:col>
                    <xdr:colOff>19050</xdr:colOff>
                    <xdr:row>200</xdr:row>
                    <xdr:rowOff>25400</xdr:rowOff>
                  </from>
                  <to>
                    <xdr:col>7</xdr:col>
                    <xdr:colOff>0</xdr:colOff>
                    <xdr:row>202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15" name="Scroll Bar 49">
              <controlPr defaultSize="0" autoLine="0" autoPict="0" altText="" linkedCell="'03-DCF-乐观'!$H$203" print="0">
                <anchor moveWithCells="1" sizeWithCells="0">
                  <from>
                    <xdr:col>2</xdr:col>
                    <xdr:colOff>19050</xdr:colOff>
                    <xdr:row>202</xdr:row>
                    <xdr:rowOff>25400</xdr:rowOff>
                  </from>
                  <to>
                    <xdr:col>7</xdr:col>
                    <xdr:colOff>0</xdr:colOff>
                    <xdr:row>204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16" name="Scroll Bar 50">
              <controlPr defaultSize="0" autoLine="0" autoPict="0" altText="" linkedCell="'03-DCF-乐观'!$H$205" print="0">
                <anchor moveWithCells="1" sizeWithCells="0">
                  <from>
                    <xdr:col>2</xdr:col>
                    <xdr:colOff>19050</xdr:colOff>
                    <xdr:row>204</xdr:row>
                    <xdr:rowOff>25400</xdr:rowOff>
                  </from>
                  <to>
                    <xdr:col>7</xdr:col>
                    <xdr:colOff>0</xdr:colOff>
                    <xdr:row>206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17" name="Scroll Bar 51">
              <controlPr defaultSize="0" autoLine="0" autoPict="0" altText="" linkedCell="'03-DCF-乐观'!$H$207" print="0">
                <anchor moveWithCells="1" sizeWithCells="0">
                  <from>
                    <xdr:col>2</xdr:col>
                    <xdr:colOff>19050</xdr:colOff>
                    <xdr:row>206</xdr:row>
                    <xdr:rowOff>25400</xdr:rowOff>
                  </from>
                  <to>
                    <xdr:col>7</xdr:col>
                    <xdr:colOff>0</xdr:colOff>
                    <xdr:row>208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18" name="Scroll Bar 52">
              <controlPr defaultSize="0" autoLine="0" autoPict="0" altText="" linkedCell="'03-DCF-乐观'!$H$209" print="0">
                <anchor moveWithCells="1" sizeWithCells="0">
                  <from>
                    <xdr:col>2</xdr:col>
                    <xdr:colOff>19050</xdr:colOff>
                    <xdr:row>208</xdr:row>
                    <xdr:rowOff>25400</xdr:rowOff>
                  </from>
                  <to>
                    <xdr:col>7</xdr:col>
                    <xdr:colOff>0</xdr:colOff>
                    <xdr:row>210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9" name="Scroll Bar 53">
              <controlPr defaultSize="0" autoLine="0" autoPict="0" altText="" linkedCell="'03-DCF-乐观'!$H$211" print="0">
                <anchor moveWithCells="1" sizeWithCells="0">
                  <from>
                    <xdr:col>2</xdr:col>
                    <xdr:colOff>19050</xdr:colOff>
                    <xdr:row>210</xdr:row>
                    <xdr:rowOff>25400</xdr:rowOff>
                  </from>
                  <to>
                    <xdr:col>7</xdr:col>
                    <xdr:colOff>0</xdr:colOff>
                    <xdr:row>212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20" name="Scroll Bar 54">
              <controlPr defaultSize="0" autoLine="0" autoPict="0" altText="" linkedCell="'03-DCF-乐观'!$H$213" print="0">
                <anchor moveWithCells="1" sizeWithCells="0">
                  <from>
                    <xdr:col>2</xdr:col>
                    <xdr:colOff>19050</xdr:colOff>
                    <xdr:row>212</xdr:row>
                    <xdr:rowOff>25400</xdr:rowOff>
                  </from>
                  <to>
                    <xdr:col>7</xdr:col>
                    <xdr:colOff>0</xdr:colOff>
                    <xdr:row>214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2026-08-26T01:02:18Z</dcterms:created>
  <dc:creator>Oscar</dc:creator>
  <dc:description/>
  <dc:language>en-US</dc:language>
  <cp:lastModifiedBy/>
  <dcterms:modified xsi:type="dcterms:W3CDTF">2026-08-26T01:02:22Z</dcterms:modified>
  <cp:revision>1</cp:revision>
  <dc:subject/>
  <dc:title>MU 现金流折现模型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