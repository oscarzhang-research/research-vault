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9.xml" ContentType="application/vnd.openxmlformats-officedocument.drawingml.chart+xml"/>
  <Override PartName="/xl/charts/chart17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-三表与联动" sheetId="1" state="visible" r:id="rId3"/>
    <sheet name="01-DCF-悲观" sheetId="2" state="visible" r:id="rId4"/>
    <sheet name="02-DCF-基准" sheetId="3" state="visible" r:id="rId5"/>
    <sheet name="03-DCF-乐观" sheetId="4" state="visible" r:id="rId6"/>
  </sheet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<sst xmlns="http://schemas.openxmlformats.org/spreadsheetml/2006/main" count="1523" uniqueCount="660">
  <si>
    <r>
      <rPr>
        <b val="true"/>
        <sz val="16"/>
        <color rgb="FFFFFFFF"/>
        <rFont val="Arial"/>
        <family val="0"/>
        <charset val="1"/>
      </rPr>
      <t xml:space="preserve">SNDK · Sandisk Corporation —— </t>
    </r>
    <r>
      <rPr>
        <b val="true"/>
        <sz val="16"/>
        <color rgb="FFFFFFFF"/>
        <rFont val="Noto Sans CJK SC"/>
        <family val="2"/>
      </rPr>
      <t xml:space="preserve">三表与联动</t>
    </r>
  </si>
  <si>
    <r>
      <rPr>
        <i val="true"/>
        <sz val="9"/>
        <color rgb="FF7A7A7A"/>
        <rFont val="Noto Sans CJK SC"/>
        <family val="2"/>
      </rPr>
      <t xml:space="preserve">单位：百万美元  </t>
    </r>
    <r>
      <rPr>
        <i val="true"/>
        <sz val="9"/>
        <color rgb="FF7A7A7A"/>
        <rFont val="Arial"/>
        <family val="0"/>
        <charset val="1"/>
      </rPr>
      <t xml:space="preserve">|  </t>
    </r>
    <r>
      <rPr>
        <i val="true"/>
        <sz val="9"/>
        <color rgb="FF7A7A7A"/>
        <rFont val="Noto Sans CJK SC"/>
        <family val="2"/>
      </rPr>
      <t xml:space="preserve">财年截止约每年 </t>
    </r>
    <r>
      <rPr>
        <i val="true"/>
        <sz val="9"/>
        <color rgb="FF7A7A7A"/>
        <rFont val="Arial"/>
        <family val="0"/>
        <charset val="1"/>
      </rPr>
      <t xml:space="preserve">7 </t>
    </r>
    <r>
      <rPr>
        <i val="true"/>
        <sz val="9"/>
        <color rgb="FF7A7A7A"/>
        <rFont val="Noto Sans CJK SC"/>
        <family val="2"/>
      </rPr>
      <t xml:space="preserve">月初  </t>
    </r>
    <r>
      <rPr>
        <i val="true"/>
        <sz val="9"/>
        <color rgb="FF7A7A7A"/>
        <rFont val="Arial"/>
        <family val="0"/>
        <charset val="1"/>
      </rPr>
      <t xml:space="preserve">|  </t>
    </r>
    <r>
      <rPr>
        <i val="true"/>
        <sz val="9"/>
        <color rgb="FF7A7A7A"/>
        <rFont val="Noto Sans CJK SC"/>
        <family val="2"/>
      </rPr>
      <t xml:space="preserve">数据源：公司 </t>
    </r>
    <r>
      <rPr>
        <i val="true"/>
        <sz val="9"/>
        <color rgb="FF7A7A7A"/>
        <rFont val="Arial"/>
        <family val="0"/>
        <charset val="1"/>
      </rPr>
      <t xml:space="preserve">FY26 Q2/Q3/Q4 </t>
    </r>
    <r>
      <rPr>
        <i val="true"/>
        <sz val="9"/>
        <color rgb="FF7A7A7A"/>
        <rFont val="Noto Sans CJK SC"/>
        <family val="2"/>
      </rPr>
      <t xml:space="preserve">财报原文  </t>
    </r>
    <r>
      <rPr>
        <i val="true"/>
        <sz val="9"/>
        <color rgb="FF7A7A7A"/>
        <rFont val="Arial"/>
        <family val="0"/>
        <charset val="1"/>
      </rPr>
      <t xml:space="preserve">|  FY26 Q4 </t>
    </r>
    <r>
      <rPr>
        <i val="true"/>
        <sz val="9"/>
        <color rgb="FF7A7A7A"/>
        <rFont val="Noto Sans CJK SC"/>
        <family val="2"/>
      </rPr>
      <t xml:space="preserve">止于 </t>
    </r>
    <r>
      <rPr>
        <i val="true"/>
        <sz val="9"/>
        <color rgb="FF7A7A7A"/>
        <rFont val="Arial"/>
        <family val="0"/>
        <charset val="1"/>
      </rPr>
      <t xml:space="preserve">2026-07-03</t>
    </r>
  </si>
  <si>
    <r>
      <rPr>
        <b val="true"/>
        <sz val="11"/>
        <color rgb="FFFFFFFF"/>
        <rFont val="Arial"/>
        <family val="0"/>
        <charset val="1"/>
      </rPr>
      <t xml:space="preserve">00  </t>
    </r>
    <r>
      <rPr>
        <b val="true"/>
        <sz val="11"/>
        <color rgb="FFFFFFFF"/>
        <rFont val="Noto Sans CJK SC"/>
        <family val="2"/>
      </rPr>
      <t xml:space="preserve">公司速览与估值锚点</t>
    </r>
  </si>
  <si>
    <t xml:space="preserve">项目</t>
  </si>
  <si>
    <t xml:space="preserve">数值</t>
  </si>
  <si>
    <t xml:space="preserve">口径与说明</t>
  </si>
  <si>
    <r>
      <rPr>
        <b val="true"/>
        <sz val="9"/>
        <color rgb="FF000000"/>
        <rFont val="Noto Sans CJK SC"/>
        <family val="2"/>
      </rPr>
      <t xml:space="preserve">现价（</t>
    </r>
    <r>
      <rPr>
        <b val="true"/>
        <sz val="9"/>
        <color rgb="FF000000"/>
        <rFont val="Arial"/>
        <family val="0"/>
        <charset val="1"/>
      </rPr>
      <t xml:space="preserve">2026-08-26</t>
    </r>
    <r>
      <rPr>
        <b val="true"/>
        <sz val="9"/>
        <color rgb="FF000000"/>
        <rFont val="Noto Sans CJK SC"/>
        <family val="2"/>
      </rPr>
      <t xml:space="preserve">）</t>
    </r>
  </si>
  <si>
    <r>
      <rPr>
        <sz val="9"/>
        <color rgb="FF404040"/>
        <rFont val="Arial"/>
        <family val="0"/>
        <charset val="1"/>
      </rPr>
      <t xml:space="preserve">Yahoo Finance </t>
    </r>
    <r>
      <rPr>
        <sz val="9"/>
        <color rgb="FF404040"/>
        <rFont val="Noto Sans CJK SC"/>
        <family val="2"/>
      </rPr>
      <t xml:space="preserve">盘中价</t>
    </r>
  </si>
  <si>
    <t xml:space="preserve">市值</t>
  </si>
  <si>
    <r>
      <rPr>
        <sz val="9"/>
        <color rgb="FF404040"/>
        <rFont val="Noto Sans CJK SC"/>
        <family val="2"/>
      </rPr>
      <t xml:space="preserve">＝ 现价 </t>
    </r>
    <r>
      <rPr>
        <sz val="9"/>
        <color rgb="FF404040"/>
        <rFont val="Arial"/>
        <family val="0"/>
        <charset val="1"/>
      </rPr>
      <t xml:space="preserve">× </t>
    </r>
    <r>
      <rPr>
        <sz val="9"/>
        <color rgb="FF404040"/>
        <rFont val="Noto Sans CJK SC"/>
        <family val="2"/>
      </rPr>
      <t xml:space="preserve">基本股数</t>
    </r>
  </si>
  <si>
    <t xml:space="preserve">基本股数（百万股）</t>
  </si>
  <si>
    <r>
      <rPr>
        <sz val="9"/>
        <color rgb="FF404040"/>
        <rFont val="Noto Sans CJK SC"/>
        <family val="2"/>
      </rPr>
      <t xml:space="preserve">回购后；</t>
    </r>
    <r>
      <rPr>
        <sz val="9"/>
        <color rgb="FF404040"/>
        <rFont val="Arial"/>
        <family val="0"/>
        <charset val="1"/>
      </rPr>
      <t xml:space="preserve">FY26</t>
    </r>
    <r>
      <rPr>
        <sz val="9"/>
        <color rgb="FF404040"/>
        <rFont val="Noto Sans CJK SC"/>
        <family val="2"/>
      </rPr>
      <t xml:space="preserve">末为 </t>
    </r>
    <r>
      <rPr>
        <sz val="9"/>
        <color rgb="FF404040"/>
        <rFont val="Arial"/>
        <family val="0"/>
        <charset val="1"/>
      </rPr>
      <t xml:space="preserve">149M</t>
    </r>
    <r>
      <rPr>
        <sz val="9"/>
        <color rgb="FF404040"/>
        <rFont val="Noto Sans CJK SC"/>
        <family val="2"/>
      </rPr>
      <t xml:space="preserve">，其后继续回购</t>
    </r>
  </si>
  <si>
    <t xml:space="preserve">摊薄股数（百万股）</t>
  </si>
  <si>
    <r>
      <rPr>
        <sz val="9"/>
        <color rgb="FF404040"/>
        <rFont val="Noto Sans CJK SC"/>
        <family val="2"/>
      </rPr>
      <t xml:space="preserve">公司 </t>
    </r>
    <r>
      <rPr>
        <sz val="9"/>
        <color rgb="FF404040"/>
        <rFont val="Arial"/>
        <family val="0"/>
        <charset val="1"/>
      </rPr>
      <t xml:space="preserve">FY27 Q1 </t>
    </r>
    <r>
      <rPr>
        <sz val="9"/>
        <color rgb="FF404040"/>
        <rFont val="Noto Sans CJK SC"/>
        <family val="2"/>
      </rPr>
      <t xml:space="preserve">指引「约 </t>
    </r>
    <r>
      <rPr>
        <sz val="9"/>
        <color rgb="FF404040"/>
        <rFont val="Arial"/>
        <family val="0"/>
        <charset val="1"/>
      </rPr>
      <t xml:space="preserve">155</t>
    </r>
    <r>
      <rPr>
        <sz val="9"/>
        <color rgb="FF404040"/>
        <rFont val="Noto Sans CJK SC"/>
        <family val="2"/>
      </rPr>
      <t xml:space="preserve">」</t>
    </r>
  </si>
  <si>
    <t xml:space="preserve">货币资金</t>
  </si>
  <si>
    <r>
      <rPr>
        <sz val="9"/>
        <color rgb="FF404040"/>
        <rFont val="Arial"/>
        <family val="0"/>
        <charset val="1"/>
      </rPr>
      <t xml:space="preserve">FY26 Q4</t>
    </r>
    <r>
      <rPr>
        <sz val="9"/>
        <color rgb="FF404040"/>
        <rFont val="Noto Sans CJK SC"/>
        <family val="2"/>
      </rPr>
      <t xml:space="preserve">末资产负债表</t>
    </r>
  </si>
  <si>
    <t xml:space="preserve">可交易权益证券</t>
  </si>
  <si>
    <r>
      <rPr>
        <sz val="9"/>
        <color rgb="FF404040"/>
        <rFont val="Arial"/>
        <family val="0"/>
        <charset val="1"/>
      </rPr>
      <t xml:space="preserve">Q4 </t>
    </r>
    <r>
      <rPr>
        <sz val="9"/>
        <color rgb="FF404040"/>
        <rFont val="Noto Sans CJK SC"/>
        <family val="2"/>
      </rPr>
      <t xml:space="preserve">新增；当季确认 </t>
    </r>
    <r>
      <rPr>
        <sz val="9"/>
        <color rgb="FF404040"/>
        <rFont val="Arial"/>
        <family val="0"/>
        <charset val="1"/>
      </rPr>
      <t xml:space="preserve">$804M </t>
    </r>
    <r>
      <rPr>
        <sz val="9"/>
        <color rgb="FF404040"/>
        <rFont val="Noto Sans CJK SC"/>
        <family val="2"/>
      </rPr>
      <t xml:space="preserve">公允价值收益</t>
    </r>
  </si>
  <si>
    <t xml:space="preserve">有息负债</t>
  </si>
  <si>
    <r>
      <rPr>
        <sz val="9"/>
        <color rgb="FF404040"/>
        <rFont val="Arial"/>
        <family val="0"/>
        <charset val="1"/>
      </rPr>
      <t xml:space="preserve">★ FY26 Q3 </t>
    </r>
    <r>
      <rPr>
        <sz val="9"/>
        <color rgb="FF404040"/>
        <rFont val="Noto Sans CJK SC"/>
        <family val="2"/>
      </rPr>
      <t xml:space="preserve">起已清零，公司为净现金结构</t>
    </r>
  </si>
  <si>
    <r>
      <rPr>
        <b val="true"/>
        <sz val="9"/>
        <color rgb="FF000000"/>
        <rFont val="Noto Sans CJK SC"/>
        <family val="2"/>
      </rPr>
      <t xml:space="preserve">无风险利率 </t>
    </r>
    <r>
      <rPr>
        <b val="true"/>
        <sz val="9"/>
        <color rgb="FF000000"/>
        <rFont val="Arial"/>
        <family val="0"/>
        <charset val="1"/>
      </rPr>
      <t xml:space="preserve">Rf</t>
    </r>
  </si>
  <si>
    <r>
      <rPr>
        <sz val="9"/>
        <color rgb="FF404040"/>
        <rFont val="Arial"/>
        <family val="0"/>
        <charset val="1"/>
      </rPr>
      <t xml:space="preserve">10 </t>
    </r>
    <r>
      <rPr>
        <sz val="9"/>
        <color rgb="FF404040"/>
        <rFont val="Noto Sans CJK SC"/>
        <family val="2"/>
      </rPr>
      <t xml:space="preserve">年期美国国债收益率</t>
    </r>
  </si>
  <si>
    <r>
      <rPr>
        <b val="true"/>
        <sz val="9"/>
        <color rgb="FF000000"/>
        <rFont val="Noto Sans CJK SC"/>
        <family val="2"/>
      </rPr>
      <t xml:space="preserve">股权风险溢价 </t>
    </r>
    <r>
      <rPr>
        <b val="true"/>
        <sz val="9"/>
        <color rgb="FF000000"/>
        <rFont val="Arial"/>
        <family val="0"/>
        <charset val="1"/>
      </rPr>
      <t xml:space="preserve">ERP</t>
    </r>
  </si>
  <si>
    <t xml:space="preserve">美国成熟市场长期股权风险溢价</t>
  </si>
  <si>
    <r>
      <rPr>
        <b val="true"/>
        <sz val="11"/>
        <color rgb="FFFFFFFF"/>
        <rFont val="Arial"/>
        <family val="0"/>
        <charset val="1"/>
      </rPr>
      <t xml:space="preserve">01  </t>
    </r>
    <r>
      <rPr>
        <b val="true"/>
        <sz val="11"/>
        <color rgb="FFFFFFFF"/>
        <rFont val="Noto Sans CJK SC"/>
        <family val="2"/>
      </rPr>
      <t xml:space="preserve">三情形估值对比（数字实时链接自后面三张 </t>
    </r>
    <r>
      <rPr>
        <b val="true"/>
        <sz val="11"/>
        <color rgb="FFFFFFFF"/>
        <rFont val="Arial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表）</t>
    </r>
  </si>
  <si>
    <t xml:space="preserve">情形</t>
  </si>
  <si>
    <t xml:space="preserve">每股内在价值</t>
  </si>
  <si>
    <t xml:space="preserve">相对现价</t>
  </si>
  <si>
    <r>
      <rPr>
        <b val="true"/>
        <sz val="9"/>
        <color rgb="FF16305B"/>
        <rFont val="Noto Sans CJK SC"/>
        <family val="2"/>
      </rPr>
      <t xml:space="preserve">终值占 </t>
    </r>
    <r>
      <rPr>
        <b val="true"/>
        <sz val="9"/>
        <color rgb="FF16305B"/>
        <rFont val="Arial"/>
        <family val="0"/>
        <charset val="1"/>
      </rPr>
      <t xml:space="preserve">EV</t>
    </r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</si>
  <si>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</si>
  <si>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毛利率</t>
    </r>
  </si>
  <si>
    <r>
      <rPr>
        <b val="true"/>
        <sz val="9"/>
        <color rgb="FF16305B"/>
        <rFont val="Arial"/>
        <family val="0"/>
        <charset val="1"/>
      </rPr>
      <t xml:space="preserve">FY32 </t>
    </r>
    <r>
      <rPr>
        <b val="true"/>
        <sz val="9"/>
        <color rgb="FF16305B"/>
        <rFont val="Noto Sans CJK SC"/>
        <family val="2"/>
      </rPr>
      <t xml:space="preserve">毛利率</t>
    </r>
  </si>
  <si>
    <t xml:space="preserve">WACC</t>
  </si>
  <si>
    <r>
      <rPr>
        <b val="true"/>
        <sz val="9"/>
        <color rgb="FF16305B"/>
        <rFont val="Noto Sans CJK SC"/>
        <family val="2"/>
      </rPr>
      <t xml:space="preserve">永续 </t>
    </r>
    <r>
      <rPr>
        <b val="true"/>
        <sz val="9"/>
        <color rgb="FF16305B"/>
        <rFont val="Arial"/>
        <family val="0"/>
        <charset val="1"/>
      </rPr>
      <t xml:space="preserve">g</t>
    </r>
  </si>
  <si>
    <t xml:space="preserve">一句话论点</t>
  </si>
  <si>
    <t xml:space="preserve">悲观</t>
  </si>
  <si>
    <r>
      <rPr>
        <sz val="9"/>
        <color rgb="FF303030"/>
        <rFont val="Arial"/>
        <family val="0"/>
        <charset val="1"/>
      </rPr>
      <t xml:space="preserve">NAND 2027 </t>
    </r>
    <r>
      <rPr>
        <sz val="9"/>
        <color rgb="FF303030"/>
        <rFont val="Noto Sans CJK SC"/>
        <family val="2"/>
      </rPr>
      <t xml:space="preserve">年转过剩，价格与毛利率回到历史中枢</t>
    </r>
  </si>
  <si>
    <t xml:space="preserve">基准</t>
  </si>
  <si>
    <r>
      <rPr>
        <sz val="9"/>
        <color rgb="FF303030"/>
        <rFont val="Noto Sans CJK SC"/>
        <family val="2"/>
      </rPr>
      <t xml:space="preserve">周期见顶但不崩塌，</t>
    </r>
    <r>
      <rPr>
        <sz val="9"/>
        <color rgb="FF303030"/>
        <rFont val="Arial"/>
        <family val="0"/>
        <charset val="1"/>
      </rPr>
      <t xml:space="preserve">AI </t>
    </r>
    <r>
      <rPr>
        <sz val="9"/>
        <color rgb="FF303030"/>
        <rFont val="Noto Sans CJK SC"/>
        <family val="2"/>
      </rPr>
      <t xml:space="preserve">数据中心把毛利率中枢抬到 </t>
    </r>
    <r>
      <rPr>
        <sz val="9"/>
        <color rgb="FF303030"/>
        <rFont val="Arial"/>
        <family val="0"/>
        <charset val="1"/>
      </rPr>
      <t xml:space="preserve">68%–72%</t>
    </r>
  </si>
  <si>
    <t xml:space="preserve">乐观</t>
  </si>
  <si>
    <r>
      <rPr>
        <sz val="9"/>
        <color rgb="FF303030"/>
        <rFont val="Arial"/>
        <family val="0"/>
        <charset val="1"/>
      </rPr>
      <t xml:space="preserve">NBM </t>
    </r>
    <r>
      <rPr>
        <sz val="9"/>
        <color rgb="FF303030"/>
        <rFont val="Noto Sans CJK SC"/>
        <family val="2"/>
      </rPr>
      <t xml:space="preserve">长约把存储合约化，管理层 </t>
    </r>
    <r>
      <rPr>
        <sz val="9"/>
        <color rgb="FF303030"/>
        <rFont val="Arial"/>
        <family val="0"/>
        <charset val="1"/>
      </rPr>
      <t xml:space="preserve">FY28–30 </t>
    </r>
    <r>
      <rPr>
        <sz val="9"/>
        <color rgb="FF303030"/>
        <rFont val="Noto Sans CJK SC"/>
        <family val="2"/>
      </rPr>
      <t xml:space="preserve">框架成立</t>
    </r>
  </si>
  <si>
    <r>
      <rPr>
        <b val="true"/>
        <sz val="9"/>
        <color rgb="FF000000"/>
        <rFont val="Noto Sans CJK SC"/>
        <family val="2"/>
      </rPr>
      <t xml:space="preserve">当前股价（</t>
    </r>
    <r>
      <rPr>
        <b val="true"/>
        <sz val="9"/>
        <color rgb="FF000000"/>
        <rFont val="Arial"/>
        <family val="0"/>
        <charset val="1"/>
      </rPr>
      <t xml:space="preserve">2026-08-26</t>
    </r>
    <r>
      <rPr>
        <b val="true"/>
        <sz val="9"/>
        <color rgb="FF000000"/>
        <rFont val="Noto Sans CJK SC"/>
        <family val="2"/>
      </rPr>
      <t xml:space="preserve">）</t>
    </r>
  </si>
  <si>
    <r>
      <rPr>
        <sz val="9"/>
        <color rgb="FF404040"/>
        <rFont val="Arial"/>
        <family val="0"/>
        <charset val="1"/>
      </rPr>
      <t xml:space="preserve">52 </t>
    </r>
    <r>
      <rPr>
        <sz val="9"/>
        <color rgb="FF404040"/>
        <rFont val="Noto Sans CJK SC"/>
        <family val="2"/>
      </rPr>
      <t xml:space="preserve">周区间 </t>
    </r>
    <r>
      <rPr>
        <sz val="9"/>
        <color rgb="FF404040"/>
        <rFont val="Arial"/>
        <family val="0"/>
        <charset val="1"/>
      </rPr>
      <t xml:space="preserve">$46.75 – $2,354.39</t>
    </r>
    <r>
      <rPr>
        <sz val="9"/>
        <color rgb="FF404040"/>
        <rFont val="Noto Sans CJK SC"/>
        <family val="2"/>
      </rPr>
      <t xml:space="preserve">；距峰值已回撤约 </t>
    </r>
    <r>
      <rPr>
        <sz val="9"/>
        <color rgb="FF404040"/>
        <rFont val="Arial"/>
        <family val="0"/>
        <charset val="1"/>
      </rPr>
      <t xml:space="preserve">37%</t>
    </r>
  </si>
  <si>
    <t xml:space="preserve">卖方一致目标价</t>
  </si>
  <si>
    <r>
      <rPr>
        <sz val="9"/>
        <color rgb="FF404040"/>
        <rFont val="Arial"/>
        <family val="0"/>
        <charset val="1"/>
      </rPr>
      <t xml:space="preserve">S&amp;P Global </t>
    </r>
    <r>
      <rPr>
        <sz val="9"/>
        <color rgb="FF404040"/>
        <rFont val="Noto Sans CJK SC"/>
        <family val="2"/>
      </rPr>
      <t xml:space="preserve">汇总 </t>
    </r>
    <r>
      <rPr>
        <sz val="9"/>
        <color rgb="FF404040"/>
        <rFont val="Arial"/>
        <family val="0"/>
        <charset val="1"/>
      </rPr>
      <t xml:space="preserve">24 </t>
    </r>
    <r>
      <rPr>
        <sz val="9"/>
        <color rgb="FF404040"/>
        <rFont val="Noto Sans CJK SC"/>
        <family val="2"/>
      </rPr>
      <t xml:space="preserve">家机构，评级「买入」；最低 </t>
    </r>
    <r>
      <rPr>
        <sz val="9"/>
        <color rgb="FF404040"/>
        <rFont val="Arial"/>
        <family val="0"/>
        <charset val="1"/>
      </rPr>
      <t xml:space="preserve">$1,000</t>
    </r>
    <r>
      <rPr>
        <sz val="9"/>
        <color rgb="FF404040"/>
        <rFont val="Noto Sans CJK SC"/>
        <family val="2"/>
      </rPr>
      <t xml:space="preserve">、最高 </t>
    </r>
    <r>
      <rPr>
        <sz val="9"/>
        <color rgb="FF404040"/>
        <rFont val="Arial"/>
        <family val="0"/>
        <charset val="1"/>
      </rPr>
      <t xml:space="preserve">$3,600</t>
    </r>
    <r>
      <rPr>
        <sz val="9"/>
        <color rgb="FF404040"/>
        <rFont val="Noto Sans CJK SC"/>
        <family val="2"/>
      </rPr>
      <t xml:space="preserve">。区间跨度本身说明分歧极大</t>
    </r>
  </si>
  <si>
    <r>
      <rPr>
        <sz val="9"/>
        <color rgb="FF3D3D3D"/>
        <rFont val="Noto Sans CJK SC"/>
        <family val="2"/>
      </rPr>
      <t xml:space="preserve">★ 三个情形的每股价值跨度是 </t>
    </r>
    <r>
      <rPr>
        <sz val="9"/>
        <color rgb="FF3D3D3D"/>
        <rFont val="Arial"/>
        <family val="0"/>
        <charset val="1"/>
      </rPr>
      <t xml:space="preserve">$484 → $4,087</t>
    </r>
    <r>
      <rPr>
        <sz val="9"/>
        <color rgb="FF3D3D3D"/>
        <rFont val="Noto Sans CJK SC"/>
        <family val="2"/>
      </rPr>
      <t xml:space="preserve">，相差 </t>
    </r>
    <r>
      <rPr>
        <sz val="9"/>
        <color rgb="FF3D3D3D"/>
        <rFont val="Arial"/>
        <family val="0"/>
        <charset val="1"/>
      </rPr>
      <t xml:space="preserve">8.4 </t>
    </r>
    <r>
      <rPr>
        <sz val="9"/>
        <color rgb="FF3D3D3D"/>
        <rFont val="Noto Sans CJK SC"/>
        <family val="2"/>
      </rPr>
      <t xml:space="preserve">倍。这不是模型不精确，而是这个行业在这个时点上真实的不确定性——卖方目标价从 </t>
    </r>
    <r>
      <rPr>
        <sz val="9"/>
        <color rgb="FF3D3D3D"/>
        <rFont val="Arial"/>
        <family val="0"/>
        <charset val="1"/>
      </rPr>
      <t xml:space="preserve">$1,000 </t>
    </r>
    <r>
      <rPr>
        <sz val="9"/>
        <color rgb="FF3D3D3D"/>
        <rFont val="Noto Sans CJK SC"/>
        <family val="2"/>
      </rPr>
      <t xml:space="preserve">到 </t>
    </r>
    <r>
      <rPr>
        <sz val="9"/>
        <color rgb="FF3D3D3D"/>
        <rFont val="Arial"/>
        <family val="0"/>
        <charset val="1"/>
      </rPr>
      <t xml:space="preserve">$3,600 </t>
    </r>
    <r>
      <rPr>
        <sz val="9"/>
        <color rgb="FF3D3D3D"/>
        <rFont val="Noto Sans CJK SC"/>
        <family val="2"/>
      </rPr>
      <t xml:space="preserve">的分布，说明专业机构之间的分歧同样巨大。把任何单一情形当作「答案」都是误用；正确的用法是问：什么样的证据会让我在三者之间移动。</t>
    </r>
  </si>
  <si>
    <r>
      <rPr>
        <sz val="9"/>
        <color rgb="FF3D3D3D"/>
        <rFont val="Noto Sans CJK SC"/>
        <family val="2"/>
      </rPr>
      <t xml:space="preserve">★ 读这张表之前必须知道的三件事：① </t>
    </r>
    <r>
      <rPr>
        <sz val="9"/>
        <color rgb="FF3D3D3D"/>
        <rFont val="Arial"/>
        <family val="0"/>
        <charset val="1"/>
      </rPr>
      <t xml:space="preserve">SNDK </t>
    </r>
    <r>
      <rPr>
        <sz val="9"/>
        <color rgb="FF3D3D3D"/>
        <rFont val="Noto Sans CJK SC"/>
        <family val="2"/>
      </rPr>
      <t xml:space="preserve">于 </t>
    </r>
    <r>
      <rPr>
        <sz val="9"/>
        <color rgb="FF3D3D3D"/>
        <rFont val="Arial"/>
        <family val="0"/>
        <charset val="1"/>
      </rPr>
      <t xml:space="preserve">2025-02-21 </t>
    </r>
    <r>
      <rPr>
        <sz val="9"/>
        <color rgb="FF3D3D3D"/>
        <rFont val="Noto Sans CJK SC"/>
        <family val="2"/>
      </rPr>
      <t xml:space="preserve">从西部数据（</t>
    </r>
    <r>
      <rPr>
        <sz val="9"/>
        <color rgb="FF3D3D3D"/>
        <rFont val="Arial"/>
        <family val="0"/>
        <charset val="1"/>
      </rPr>
      <t xml:space="preserve">WDC</t>
    </r>
    <r>
      <rPr>
        <sz val="9"/>
        <color rgb="FF3D3D3D"/>
        <rFont val="Noto Sans CJK SC"/>
        <family val="2"/>
      </rPr>
      <t xml:space="preserve">）分拆独立，</t>
    </r>
    <r>
      <rPr>
        <sz val="9"/>
        <color rgb="FF3D3D3D"/>
        <rFont val="Arial"/>
        <family val="0"/>
        <charset val="1"/>
      </rPr>
      <t xml:space="preserve">2025-02-21 </t>
    </r>
    <r>
      <rPr>
        <sz val="9"/>
        <color rgb="FF3D3D3D"/>
        <rFont val="Noto Sans CJK SC"/>
        <family val="2"/>
      </rPr>
      <t xml:space="preserve">之前为「视同独立」的划分报表，可比性有限；② 公司晶圆厂在与铠侠合资的 </t>
    </r>
    <r>
      <rPr>
        <sz val="9"/>
        <color rgb="FF3D3D3D"/>
        <rFont val="Arial"/>
        <family val="0"/>
        <charset val="1"/>
      </rPr>
      <t xml:space="preserve">Flash Ventures </t>
    </r>
    <r>
      <rPr>
        <sz val="9"/>
        <color rgb="FF3D3D3D"/>
        <rFont val="Noto Sans CJK SC"/>
        <family val="2"/>
      </rPr>
      <t xml:space="preserve">里，因此账面资本开支极低（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仅 </t>
    </r>
    <r>
      <rPr>
        <sz val="9"/>
        <color rgb="FF3D3D3D"/>
        <rFont val="Arial"/>
        <family val="0"/>
        <charset val="1"/>
      </rPr>
      <t xml:space="preserve">$177M</t>
    </r>
    <r>
      <rPr>
        <sz val="9"/>
        <color rgb="FF3D3D3D"/>
        <rFont val="Noto Sans CJK SC"/>
        <family val="2"/>
      </rPr>
      <t xml:space="preserve">），真实的产能投入走「向 </t>
    </r>
    <r>
      <rPr>
        <sz val="9"/>
        <color rgb="FF3D3D3D"/>
        <rFont val="Arial"/>
        <family val="0"/>
        <charset val="1"/>
      </rPr>
      <t xml:space="preserve">Flash Ventures </t>
    </r>
    <r>
      <rPr>
        <sz val="9"/>
        <color rgb="FF3D3D3D"/>
        <rFont val="Noto Sans CJK SC"/>
        <family val="2"/>
      </rPr>
      <t xml:space="preserve">发放票据」这条投资活动科目——做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时必须把它算作资本开支，否则会系统性高估自由现金流；③ 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是存储超级周期的顶点，</t>
    </r>
    <r>
      <rPr>
        <sz val="9"/>
        <color rgb="FF3D3D3D"/>
        <rFont val="Arial"/>
        <family val="0"/>
        <charset val="1"/>
      </rPr>
      <t xml:space="preserve">Q4 </t>
    </r>
    <r>
      <rPr>
        <sz val="9"/>
        <color rgb="FF3D3D3D"/>
        <rFont val="Noto Sans CJK SC"/>
        <family val="2"/>
      </rPr>
      <t xml:space="preserve">毛利率 </t>
    </r>
    <r>
      <rPr>
        <sz val="9"/>
        <color rgb="FF3D3D3D"/>
        <rFont val="Arial"/>
        <family val="0"/>
        <charset val="1"/>
      </rPr>
      <t xml:space="preserve">84.6%</t>
    </r>
    <r>
      <rPr>
        <sz val="9"/>
        <color rgb="FF3D3D3D"/>
        <rFont val="Noto Sans CJK SC"/>
        <family val="2"/>
      </rPr>
      <t xml:space="preserve">，把这个盈利水平外推是本模型最大的风险来源。</t>
    </r>
  </si>
  <si>
    <r>
      <rPr>
        <b val="true"/>
        <sz val="11"/>
        <color rgb="FFFFFFFF"/>
        <rFont val="Arial"/>
        <family val="0"/>
        <charset val="1"/>
      </rPr>
      <t xml:space="preserve">02  </t>
    </r>
    <r>
      <rPr>
        <b val="true"/>
        <sz val="11"/>
        <color rgb="FFFFFFFF"/>
        <rFont val="Noto Sans CJK SC"/>
        <family val="2"/>
      </rPr>
      <t xml:space="preserve">合并利润表（季度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年度）</t>
    </r>
  </si>
  <si>
    <t xml:space="preserve">科目（百万美元）</t>
  </si>
  <si>
    <t xml:space="preserve">FY26 Q1</t>
  </si>
  <si>
    <t xml:space="preserve">FY26 Q2</t>
  </si>
  <si>
    <t xml:space="preserve">FY26 Q3</t>
  </si>
  <si>
    <t xml:space="preserve">FY26 Q4</t>
  </si>
  <si>
    <t xml:space="preserve">FY2026</t>
  </si>
  <si>
    <t xml:space="preserve">FY2025</t>
  </si>
  <si>
    <r>
      <rPr>
        <b val="true"/>
        <sz val="9"/>
        <color rgb="FF16305B"/>
        <rFont val="Arial"/>
        <family val="0"/>
        <charset val="1"/>
      </rPr>
      <t xml:space="preserve">Q4 </t>
    </r>
    <r>
      <rPr>
        <b val="true"/>
        <sz val="9"/>
        <color rgb="FF16305B"/>
        <rFont val="Noto Sans CJK SC"/>
        <family val="2"/>
      </rPr>
      <t xml:space="preserve">环比</t>
    </r>
  </si>
  <si>
    <r>
      <rPr>
        <b val="true"/>
        <sz val="9"/>
        <color rgb="FF16305B"/>
        <rFont val="Arial"/>
        <family val="0"/>
        <charset val="1"/>
      </rPr>
      <t xml:space="preserve">Q4 </t>
    </r>
    <r>
      <rPr>
        <b val="true"/>
        <sz val="9"/>
        <color rgb="FF16305B"/>
        <rFont val="Noto Sans CJK SC"/>
        <family val="2"/>
      </rPr>
      <t xml:space="preserve">同比</t>
    </r>
  </si>
  <si>
    <r>
      <rPr>
        <b val="true"/>
        <sz val="9"/>
        <color rgb="FF16305B"/>
        <rFont val="Arial"/>
        <family val="0"/>
        <charset val="1"/>
      </rPr>
      <t xml:space="preserve">FY26 </t>
    </r>
    <r>
      <rPr>
        <b val="true"/>
        <sz val="9"/>
        <color rgb="FF16305B"/>
        <rFont val="Noto Sans CJK SC"/>
        <family val="2"/>
      </rPr>
      <t xml:space="preserve">同比</t>
    </r>
  </si>
  <si>
    <t xml:space="preserve">备注</t>
  </si>
  <si>
    <r>
      <rPr>
        <sz val="9"/>
        <color rgb="FF000000"/>
        <rFont val="Noto Sans CJK SC"/>
        <family val="2"/>
      </rPr>
      <t xml:space="preserve">营业收入 </t>
    </r>
    <r>
      <rPr>
        <sz val="9"/>
        <color rgb="FF000000"/>
        <rFont val="Arial"/>
        <family val="0"/>
        <charset val="1"/>
      </rPr>
      <t xml:space="preserve">Revenue, net</t>
    </r>
  </si>
  <si>
    <r>
      <rPr>
        <sz val="9"/>
        <color rgb="FF000000"/>
        <rFont val="Noto Sans CJK SC"/>
        <family val="2"/>
      </rPr>
      <t xml:space="preserve">营业成本 </t>
    </r>
    <r>
      <rPr>
        <sz val="9"/>
        <color rgb="FF000000"/>
        <rFont val="Arial"/>
        <family val="0"/>
        <charset val="1"/>
      </rPr>
      <t xml:space="preserve">Cost of revenue</t>
    </r>
  </si>
  <si>
    <r>
      <rPr>
        <b val="true"/>
        <sz val="9"/>
        <color rgb="FF16305B"/>
        <rFont val="Noto Sans CJK SC"/>
        <family val="2"/>
      </rPr>
      <t xml:space="preserve">毛利 </t>
    </r>
    <r>
      <rPr>
        <b val="true"/>
        <sz val="9"/>
        <color rgb="FF16305B"/>
        <rFont val="Arial"/>
        <family val="0"/>
        <charset val="1"/>
      </rPr>
      <t xml:space="preserve">Gross profit</t>
    </r>
  </si>
  <si>
    <r>
      <rPr>
        <sz val="9"/>
        <color rgb="FF000000"/>
        <rFont val="Noto Sans CJK SC"/>
        <family val="2"/>
      </rPr>
      <t xml:space="preserve">研发费用 </t>
    </r>
    <r>
      <rPr>
        <sz val="9"/>
        <color rgb="FF000000"/>
        <rFont val="Arial"/>
        <family val="0"/>
        <charset val="1"/>
      </rPr>
      <t xml:space="preserve">R&amp;D</t>
    </r>
  </si>
  <si>
    <r>
      <rPr>
        <sz val="9"/>
        <color rgb="FF000000"/>
        <rFont val="Noto Sans CJK SC"/>
        <family val="2"/>
      </rPr>
      <t xml:space="preserve">销售管理费用 </t>
    </r>
    <r>
      <rPr>
        <sz val="9"/>
        <color rgb="FF000000"/>
        <rFont val="Arial"/>
        <family val="0"/>
        <charset val="1"/>
      </rPr>
      <t xml:space="preserve">SG&amp;A</t>
    </r>
  </si>
  <si>
    <r>
      <rPr>
        <sz val="9"/>
        <color rgb="FF000000"/>
        <rFont val="Noto Sans CJK SC"/>
        <family val="2"/>
      </rPr>
      <t xml:space="preserve">商誉减值 </t>
    </r>
    <r>
      <rPr>
        <sz val="9"/>
        <color rgb="FF000000"/>
        <rFont val="Arial"/>
        <family val="0"/>
        <charset val="1"/>
      </rPr>
      <t xml:space="preserve">Goodwill impairment</t>
    </r>
  </si>
  <si>
    <r>
      <rPr>
        <sz val="9"/>
        <color rgb="FF000000"/>
        <rFont val="Noto Sans CJK SC"/>
        <family val="2"/>
      </rPr>
      <t xml:space="preserve">债务清偿损失 </t>
    </r>
    <r>
      <rPr>
        <sz val="9"/>
        <color rgb="FF000000"/>
        <rFont val="Arial"/>
        <family val="0"/>
        <charset val="1"/>
      </rPr>
      <t xml:space="preserve">Loss on debt exting.</t>
    </r>
  </si>
  <si>
    <r>
      <rPr>
        <sz val="9"/>
        <color rgb="FF000000"/>
        <rFont val="Noto Sans CJK SC"/>
        <family val="2"/>
      </rPr>
      <t xml:space="preserve">分拆费用 </t>
    </r>
    <r>
      <rPr>
        <sz val="9"/>
        <color rgb="FF000000"/>
        <rFont val="Arial"/>
        <family val="0"/>
        <charset val="1"/>
      </rPr>
      <t xml:space="preserve">Business separation costs</t>
    </r>
  </si>
  <si>
    <r>
      <rPr>
        <sz val="9"/>
        <color rgb="FF000000"/>
        <rFont val="Noto Sans CJK SC"/>
        <family val="2"/>
      </rPr>
      <t xml:space="preserve">裁员及其他 </t>
    </r>
    <r>
      <rPr>
        <sz val="9"/>
        <color rgb="FF000000"/>
        <rFont val="Arial"/>
        <family val="0"/>
        <charset val="1"/>
      </rPr>
      <t xml:space="preserve">Employee term. &amp; other</t>
    </r>
  </si>
  <si>
    <r>
      <rPr>
        <sz val="9"/>
        <color rgb="FF000000"/>
        <rFont val="Noto Sans CJK SC"/>
        <family val="2"/>
      </rPr>
      <t xml:space="preserve">业务处置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收益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损失 </t>
    </r>
    <r>
      <rPr>
        <sz val="9"/>
        <color rgb="FF000000"/>
        <rFont val="Arial"/>
        <family val="0"/>
        <charset val="1"/>
      </rPr>
      <t xml:space="preserve">Divestiture</t>
    </r>
  </si>
  <si>
    <r>
      <rPr>
        <b val="true"/>
        <sz val="9"/>
        <color rgb="FF16305B"/>
        <rFont val="Noto Sans CJK SC"/>
        <family val="2"/>
      </rPr>
      <t xml:space="preserve">营业费用合计 </t>
    </r>
    <r>
      <rPr>
        <b val="true"/>
        <sz val="9"/>
        <color rgb="FF16305B"/>
        <rFont val="Arial"/>
        <family val="0"/>
        <charset val="1"/>
      </rPr>
      <t xml:space="preserve">Total opex</t>
    </r>
  </si>
  <si>
    <r>
      <rPr>
        <b val="true"/>
        <sz val="9"/>
        <color rgb="FF16305B"/>
        <rFont val="Noto Sans CJK SC"/>
        <family val="2"/>
      </rPr>
      <t xml:space="preserve">营业利润 </t>
    </r>
    <r>
      <rPr>
        <b val="true"/>
        <sz val="9"/>
        <color rgb="FF16305B"/>
        <rFont val="Arial"/>
        <family val="0"/>
        <charset val="1"/>
      </rPr>
      <t xml:space="preserve">Operating income</t>
    </r>
  </si>
  <si>
    <r>
      <rPr>
        <sz val="9"/>
        <color rgb="FF000000"/>
        <rFont val="Noto Sans CJK SC"/>
        <family val="2"/>
      </rPr>
      <t xml:space="preserve">权益证券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收益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损失 </t>
    </r>
    <r>
      <rPr>
        <sz val="9"/>
        <color rgb="FF000000"/>
        <rFont val="Arial"/>
        <family val="0"/>
        <charset val="1"/>
      </rPr>
      <t xml:space="preserve">Equity securities</t>
    </r>
  </si>
  <si>
    <r>
      <rPr>
        <sz val="9"/>
        <color rgb="FF000000"/>
        <rFont val="Noto Sans CJK SC"/>
        <family val="2"/>
      </rPr>
      <t xml:space="preserve">利息收入 </t>
    </r>
    <r>
      <rPr>
        <sz val="9"/>
        <color rgb="FF000000"/>
        <rFont val="Arial"/>
        <family val="0"/>
        <charset val="1"/>
      </rPr>
      <t xml:space="preserve">Interest income</t>
    </r>
  </si>
  <si>
    <r>
      <rPr>
        <sz val="9"/>
        <color rgb="FF000000"/>
        <rFont val="Noto Sans CJK SC"/>
        <family val="2"/>
      </rPr>
      <t xml:space="preserve">利息支出 </t>
    </r>
    <r>
      <rPr>
        <sz val="9"/>
        <color rgb="FF000000"/>
        <rFont val="Arial"/>
        <family val="0"/>
        <charset val="1"/>
      </rPr>
      <t xml:space="preserve">Interest expense</t>
    </r>
  </si>
  <si>
    <r>
      <rPr>
        <sz val="9"/>
        <color rgb="FF000000"/>
        <rFont val="Noto Sans CJK SC"/>
        <family val="2"/>
      </rPr>
      <t xml:space="preserve">其他收支净额 </t>
    </r>
    <r>
      <rPr>
        <sz val="9"/>
        <color rgb="FF000000"/>
        <rFont val="Arial"/>
        <family val="0"/>
        <charset val="1"/>
      </rPr>
      <t xml:space="preserve">Other income (exp.), net</t>
    </r>
  </si>
  <si>
    <r>
      <rPr>
        <b val="true"/>
        <sz val="9"/>
        <color rgb="FF16305B"/>
        <rFont val="Noto Sans CJK SC"/>
        <family val="2"/>
      </rPr>
      <t xml:space="preserve">利息及其他净额 </t>
    </r>
    <r>
      <rPr>
        <b val="true"/>
        <sz val="9"/>
        <color rgb="FF16305B"/>
        <rFont val="Arial"/>
        <family val="0"/>
        <charset val="1"/>
      </rPr>
      <t xml:space="preserve">Total int. &amp; other</t>
    </r>
  </si>
  <si>
    <r>
      <rPr>
        <b val="true"/>
        <sz val="9"/>
        <color rgb="FF16305B"/>
        <rFont val="Noto Sans CJK SC"/>
        <family val="2"/>
      </rPr>
      <t xml:space="preserve">税前利润 </t>
    </r>
    <r>
      <rPr>
        <b val="true"/>
        <sz val="9"/>
        <color rgb="FF16305B"/>
        <rFont val="Arial"/>
        <family val="0"/>
        <charset val="1"/>
      </rPr>
      <t xml:space="preserve">Income before taxes</t>
    </r>
  </si>
  <si>
    <r>
      <rPr>
        <sz val="9"/>
        <color rgb="FF000000"/>
        <rFont val="Noto Sans CJK SC"/>
        <family val="2"/>
      </rPr>
      <t xml:space="preserve">所得税费用 </t>
    </r>
    <r>
      <rPr>
        <sz val="9"/>
        <color rgb="FF000000"/>
        <rFont val="Arial"/>
        <family val="0"/>
        <charset val="1"/>
      </rPr>
      <t xml:space="preserve">Income tax expense</t>
    </r>
  </si>
  <si>
    <r>
      <rPr>
        <b val="true"/>
        <sz val="9"/>
        <color rgb="FF16305B"/>
        <rFont val="Noto Sans CJK SC"/>
        <family val="2"/>
      </rPr>
      <t xml:space="preserve">净利润 </t>
    </r>
    <r>
      <rPr>
        <b val="true"/>
        <sz val="9"/>
        <color rgb="FF16305B"/>
        <rFont val="Arial"/>
        <family val="0"/>
        <charset val="1"/>
      </rPr>
      <t xml:space="preserve">Net income</t>
    </r>
  </si>
  <si>
    <r>
      <rPr>
        <b val="true"/>
        <sz val="9"/>
        <color rgb="FFB3202C"/>
        <rFont val="Noto Sans CJK SC"/>
        <family val="2"/>
      </rPr>
      <t xml:space="preserve">毛利率 </t>
    </r>
    <r>
      <rPr>
        <b val="true"/>
        <sz val="9"/>
        <color rgb="FFB3202C"/>
        <rFont val="Arial"/>
        <family val="0"/>
        <charset val="1"/>
      </rPr>
      <t xml:space="preserve">Gross margin</t>
    </r>
  </si>
  <si>
    <r>
      <rPr>
        <b val="true"/>
        <sz val="9"/>
        <color rgb="FFB3202C"/>
        <rFont val="Noto Sans CJK SC"/>
        <family val="2"/>
      </rPr>
      <t xml:space="preserve">营业利润率 </t>
    </r>
    <r>
      <rPr>
        <b val="true"/>
        <sz val="9"/>
        <color rgb="FFB3202C"/>
        <rFont val="Arial"/>
        <family val="0"/>
        <charset val="1"/>
      </rPr>
      <t xml:space="preserve">Operating margin</t>
    </r>
  </si>
  <si>
    <r>
      <rPr>
        <b val="true"/>
        <sz val="9"/>
        <color rgb="FFB3202C"/>
        <rFont val="Noto Sans CJK SC"/>
        <family val="2"/>
      </rPr>
      <t xml:space="preserve">净利率 </t>
    </r>
    <r>
      <rPr>
        <b val="true"/>
        <sz val="9"/>
        <color rgb="FFB3202C"/>
        <rFont val="Arial"/>
        <family val="0"/>
        <charset val="1"/>
      </rPr>
      <t xml:space="preserve">Net margin</t>
    </r>
  </si>
  <si>
    <r>
      <rPr>
        <b val="true"/>
        <sz val="9"/>
        <color rgb="FFB3202C"/>
        <rFont val="Noto Sans CJK SC"/>
        <family val="2"/>
      </rPr>
      <t xml:space="preserve">费用率 </t>
    </r>
    <r>
      <rPr>
        <b val="true"/>
        <sz val="9"/>
        <color rgb="FFB3202C"/>
        <rFont val="Arial"/>
        <family val="0"/>
        <charset val="1"/>
      </rPr>
      <t xml:space="preserve">Opex % of revenue</t>
    </r>
  </si>
  <si>
    <r>
      <rPr>
        <b val="true"/>
        <sz val="9"/>
        <color rgb="FF000000"/>
        <rFont val="Noto Sans CJK SC"/>
        <family val="2"/>
      </rPr>
      <t xml:space="preserve">摊薄每股收益 </t>
    </r>
    <r>
      <rPr>
        <b val="true"/>
        <sz val="9"/>
        <color rgb="FF000000"/>
        <rFont val="Arial"/>
        <family val="0"/>
        <charset val="1"/>
      </rPr>
      <t xml:space="preserve">Diluted EPS ($)</t>
    </r>
  </si>
  <si>
    <r>
      <rPr>
        <b val="true"/>
        <sz val="9"/>
        <color rgb="FF000000"/>
        <rFont val="Noto Sans CJK SC"/>
        <family val="2"/>
      </rPr>
      <t xml:space="preserve">基本每股收益 </t>
    </r>
    <r>
      <rPr>
        <b val="true"/>
        <sz val="9"/>
        <color rgb="FF000000"/>
        <rFont val="Arial"/>
        <family val="0"/>
        <charset val="1"/>
      </rPr>
      <t xml:space="preserve">Basic EPS ($)</t>
    </r>
  </si>
  <si>
    <r>
      <rPr>
        <b val="true"/>
        <sz val="9"/>
        <color rgb="FF000000"/>
        <rFont val="Noto Sans CJK SC"/>
        <family val="2"/>
      </rPr>
      <t xml:space="preserve">摊薄股数 </t>
    </r>
    <r>
      <rPr>
        <b val="true"/>
        <sz val="9"/>
        <color rgb="FF000000"/>
        <rFont val="Arial"/>
        <family val="0"/>
        <charset val="1"/>
      </rPr>
      <t xml:space="preserve">Diluted shares (M)</t>
    </r>
  </si>
  <si>
    <r>
      <rPr>
        <b val="true"/>
        <sz val="9"/>
        <color rgb="FF000000"/>
        <rFont val="Noto Sans CJK SC"/>
        <family val="2"/>
      </rPr>
      <t xml:space="preserve">基本股数 </t>
    </r>
    <r>
      <rPr>
        <b val="true"/>
        <sz val="9"/>
        <color rgb="FF000000"/>
        <rFont val="Arial"/>
        <family val="0"/>
        <charset val="1"/>
      </rPr>
      <t xml:space="preserve">Basic shares (M)</t>
    </r>
  </si>
  <si>
    <r>
      <rPr>
        <sz val="9"/>
        <color rgb="FF3D3D3D"/>
        <rFont val="Noto Sans CJK SC"/>
        <family val="2"/>
      </rPr>
      <t xml:space="preserve">★ 四个季度的毛利率路径是 </t>
    </r>
    <r>
      <rPr>
        <sz val="9"/>
        <color rgb="FF3D3D3D"/>
        <rFont val="Arial"/>
        <family val="0"/>
        <charset val="1"/>
      </rPr>
      <t xml:space="preserve">29.8% → 50.9% → 78.4% → 84.6%</t>
    </r>
    <r>
      <rPr>
        <sz val="9"/>
        <color rgb="FF3D3D3D"/>
        <rFont val="Noto Sans CJK SC"/>
        <family val="2"/>
      </rPr>
      <t xml:space="preserve">。这不是经营改善，是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合约价在四个季度里翻了数倍——营业成本几乎没动（</t>
    </r>
    <r>
      <rPr>
        <sz val="9"/>
        <color rgb="FF3D3D3D"/>
        <rFont val="Arial"/>
        <family val="0"/>
        <charset val="1"/>
      </rPr>
      <t xml:space="preserve">1,621 → 1,383</t>
    </r>
    <r>
      <rPr>
        <sz val="9"/>
        <color rgb="FF3D3D3D"/>
        <rFont val="Noto Sans CJK SC"/>
        <family val="2"/>
      </rPr>
      <t xml:space="preserve">），收入却涨了 </t>
    </r>
    <r>
      <rPr>
        <sz val="9"/>
        <color rgb="FF3D3D3D"/>
        <rFont val="Arial"/>
        <family val="0"/>
        <charset val="1"/>
      </rPr>
      <t xml:space="preserve">3.9 </t>
    </r>
    <r>
      <rPr>
        <sz val="9"/>
        <color rgb="FF3D3D3D"/>
        <rFont val="Noto Sans CJK SC"/>
        <family val="2"/>
      </rPr>
      <t xml:space="preserve">倍。做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时，「毛利率能不能维持」几乎等价于「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价格能不能维持」。</t>
    </r>
  </si>
  <si>
    <r>
      <rPr>
        <b val="true"/>
        <sz val="11"/>
        <color rgb="FFFFFFFF"/>
        <rFont val="Arial"/>
        <family val="0"/>
        <charset val="1"/>
      </rPr>
      <t xml:space="preserve">03  </t>
    </r>
    <r>
      <rPr>
        <b val="true"/>
        <sz val="11"/>
        <color rgb="FFFFFFFF"/>
        <rFont val="Noto Sans CJK SC"/>
        <family val="2"/>
      </rPr>
      <t xml:space="preserve">分市场收入</t>
    </r>
  </si>
  <si>
    <t xml:space="preserve">终端市场</t>
  </si>
  <si>
    <r>
      <rPr>
        <b val="true"/>
        <sz val="9"/>
        <color rgb="FF16305B"/>
        <rFont val="Arial"/>
        <family val="0"/>
        <charset val="1"/>
      </rPr>
      <t xml:space="preserve">FY26 </t>
    </r>
    <r>
      <rPr>
        <b val="true"/>
        <sz val="9"/>
        <color rgb="FF16305B"/>
        <rFont val="Noto Sans CJK SC"/>
        <family val="2"/>
      </rPr>
      <t xml:space="preserve">占比</t>
    </r>
  </si>
  <si>
    <r>
      <rPr>
        <b val="true"/>
        <sz val="9"/>
        <color rgb="FF000000"/>
        <rFont val="Noto Sans CJK SC"/>
        <family val="2"/>
      </rPr>
      <t xml:space="preserve">数据中心 </t>
    </r>
    <r>
      <rPr>
        <b val="true"/>
        <sz val="9"/>
        <color rgb="FF000000"/>
        <rFont val="Arial"/>
        <family val="0"/>
        <charset val="1"/>
      </rPr>
      <t xml:space="preserve">Datacenter</t>
    </r>
  </si>
  <si>
    <r>
      <rPr>
        <b val="true"/>
        <sz val="9"/>
        <color rgb="FF000000"/>
        <rFont val="Noto Sans CJK SC"/>
        <family val="2"/>
      </rPr>
      <t xml:space="preserve">边缘 </t>
    </r>
    <r>
      <rPr>
        <b val="true"/>
        <sz val="9"/>
        <color rgb="FF000000"/>
        <rFont val="Arial"/>
        <family val="0"/>
        <charset val="1"/>
      </rPr>
      <t xml:space="preserve">Edge</t>
    </r>
  </si>
  <si>
    <r>
      <rPr>
        <b val="true"/>
        <sz val="9"/>
        <color rgb="FF000000"/>
        <rFont val="Noto Sans CJK SC"/>
        <family val="2"/>
      </rPr>
      <t xml:space="preserve">消费 </t>
    </r>
    <r>
      <rPr>
        <b val="true"/>
        <sz val="9"/>
        <color rgb="FF000000"/>
        <rFont val="Arial"/>
        <family val="0"/>
        <charset val="1"/>
      </rPr>
      <t xml:space="preserve">Consumer</t>
    </r>
  </si>
  <si>
    <t xml:space="preserve">合计（应等于营业收入）</t>
  </si>
  <si>
    <r>
      <rPr>
        <sz val="9"/>
        <color rgb="FF3D3D3D"/>
        <rFont val="Noto Sans CJK SC"/>
        <family val="2"/>
      </rPr>
      <t xml:space="preserve">数据中心收入 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同比 </t>
    </r>
    <r>
      <rPr>
        <sz val="9"/>
        <color rgb="FF3D3D3D"/>
        <rFont val="Arial"/>
        <family val="0"/>
        <charset val="1"/>
      </rPr>
      <t xml:space="preserve">+437%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Q4 </t>
    </r>
    <r>
      <rPr>
        <sz val="9"/>
        <color rgb="FF3D3D3D"/>
        <rFont val="Noto Sans CJK SC"/>
        <family val="2"/>
      </rPr>
      <t xml:space="preserve">单季 </t>
    </r>
    <r>
      <rPr>
        <sz val="9"/>
        <color rgb="FF3D3D3D"/>
        <rFont val="Arial"/>
        <family val="0"/>
        <charset val="1"/>
      </rPr>
      <t xml:space="preserve">$2,977M</t>
    </r>
    <r>
      <rPr>
        <sz val="9"/>
        <color rgb="FF3D3D3D"/>
        <rFont val="Noto Sans CJK SC"/>
        <family val="2"/>
      </rPr>
      <t xml:space="preserve">；而消费业务 </t>
    </r>
    <r>
      <rPr>
        <sz val="9"/>
        <color rgb="FF3D3D3D"/>
        <rFont val="Arial"/>
        <family val="0"/>
        <charset val="1"/>
      </rPr>
      <t xml:space="preserve">Q4 </t>
    </r>
    <r>
      <rPr>
        <sz val="9"/>
        <color rgb="FF3D3D3D"/>
        <rFont val="Noto Sans CJK SC"/>
        <family val="2"/>
      </rPr>
      <t xml:space="preserve">环比 −</t>
    </r>
    <r>
      <rPr>
        <sz val="9"/>
        <color rgb="FF3D3D3D"/>
        <rFont val="Arial"/>
        <family val="0"/>
        <charset val="1"/>
      </rPr>
      <t xml:space="preserve">32%——</t>
    </r>
    <r>
      <rPr>
        <sz val="9"/>
        <color rgb="FF3D3D3D"/>
        <rFont val="Noto Sans CJK SC"/>
        <family val="2"/>
      </rPr>
      <t xml:space="preserve">公司在主动把产能从消费端转向数据中心。这正是《缺口的算术》里说的「需求被重新分配给出得起价的买家」在单个公司报表上的样子。</t>
    </r>
  </si>
  <si>
    <r>
      <rPr>
        <b val="true"/>
        <sz val="11"/>
        <color rgb="FFFFFFFF"/>
        <rFont val="Arial"/>
        <family val="0"/>
        <charset val="1"/>
      </rPr>
      <t xml:space="preserve">04  </t>
    </r>
    <r>
      <rPr>
        <b val="true"/>
        <sz val="11"/>
        <color rgb="FFFFFFFF"/>
        <rFont val="Noto Sans CJK SC"/>
        <family val="2"/>
      </rPr>
      <t xml:space="preserve">合并资产负债表（四个时点）</t>
    </r>
  </si>
  <si>
    <r>
      <rPr>
        <b val="true"/>
        <sz val="9"/>
        <color rgb="FF16305B"/>
        <rFont val="Arial"/>
        <family val="0"/>
        <charset val="1"/>
      </rPr>
      <t xml:space="preserve">2025-06-27
(FY25</t>
    </r>
    <r>
      <rPr>
        <b val="true"/>
        <sz val="9"/>
        <color rgb="FF16305B"/>
        <rFont val="Noto Sans CJK SC"/>
        <family val="2"/>
      </rPr>
      <t xml:space="preserve">末</t>
    </r>
    <r>
      <rPr>
        <b val="true"/>
        <sz val="9"/>
        <color rgb="FF16305B"/>
        <rFont val="Arial"/>
        <family val="0"/>
        <charset val="1"/>
      </rPr>
      <t xml:space="preserve">)</t>
    </r>
  </si>
  <si>
    <r>
      <rPr>
        <b val="true"/>
        <sz val="9"/>
        <color rgb="FF16305B"/>
        <rFont val="Arial"/>
        <family val="0"/>
        <charset val="1"/>
      </rPr>
      <t xml:space="preserve">2026-01-02
(FY26 Q2</t>
    </r>
    <r>
      <rPr>
        <b val="true"/>
        <sz val="9"/>
        <color rgb="FF16305B"/>
        <rFont val="Noto Sans CJK SC"/>
        <family val="2"/>
      </rPr>
      <t xml:space="preserve">末</t>
    </r>
    <r>
      <rPr>
        <b val="true"/>
        <sz val="9"/>
        <color rgb="FF16305B"/>
        <rFont val="Arial"/>
        <family val="0"/>
        <charset val="1"/>
      </rPr>
      <t xml:space="preserve">)</t>
    </r>
  </si>
  <si>
    <r>
      <rPr>
        <b val="true"/>
        <sz val="9"/>
        <color rgb="FF16305B"/>
        <rFont val="Arial"/>
        <family val="0"/>
        <charset val="1"/>
      </rPr>
      <t xml:space="preserve">2026-04-03
(FY26 Q3</t>
    </r>
    <r>
      <rPr>
        <b val="true"/>
        <sz val="9"/>
        <color rgb="FF16305B"/>
        <rFont val="Noto Sans CJK SC"/>
        <family val="2"/>
      </rPr>
      <t xml:space="preserve">末</t>
    </r>
    <r>
      <rPr>
        <b val="true"/>
        <sz val="9"/>
        <color rgb="FF16305B"/>
        <rFont val="Arial"/>
        <family val="0"/>
        <charset val="1"/>
      </rPr>
      <t xml:space="preserve">)</t>
    </r>
  </si>
  <si>
    <r>
      <rPr>
        <b val="true"/>
        <sz val="9"/>
        <color rgb="FF16305B"/>
        <rFont val="Arial"/>
        <family val="0"/>
        <charset val="1"/>
      </rPr>
      <t xml:space="preserve">2026-07-03
(FY26 Q4</t>
    </r>
    <r>
      <rPr>
        <b val="true"/>
        <sz val="9"/>
        <color rgb="FF16305B"/>
        <rFont val="Noto Sans CJK SC"/>
        <family val="2"/>
      </rPr>
      <t xml:space="preserve">末</t>
    </r>
    <r>
      <rPr>
        <b val="true"/>
        <sz val="9"/>
        <color rgb="FF16305B"/>
        <rFont val="Arial"/>
        <family val="0"/>
        <charset val="1"/>
      </rPr>
      <t xml:space="preserve">)</t>
    </r>
  </si>
  <si>
    <r>
      <rPr>
        <b val="true"/>
        <sz val="9"/>
        <color rgb="FF16305B"/>
        <rFont val="Arial"/>
        <family val="0"/>
        <charset val="1"/>
      </rPr>
      <t xml:space="preserve">Q4 </t>
    </r>
    <r>
      <rPr>
        <b val="true"/>
        <sz val="9"/>
        <color rgb="FF16305B"/>
        <rFont val="Noto Sans CJK SC"/>
        <family val="2"/>
      </rPr>
      <t xml:space="preserve">较 </t>
    </r>
    <r>
      <rPr>
        <b val="true"/>
        <sz val="9"/>
        <color rgb="FF16305B"/>
        <rFont val="Arial"/>
        <family val="0"/>
        <charset val="1"/>
      </rPr>
      <t xml:space="preserve">FY25</t>
    </r>
    <r>
      <rPr>
        <b val="true"/>
        <sz val="9"/>
        <color rgb="FF16305B"/>
        <rFont val="Noto Sans CJK SC"/>
        <family val="2"/>
      </rPr>
      <t xml:space="preserve">末</t>
    </r>
  </si>
  <si>
    <t xml:space="preserve">变动率</t>
  </si>
  <si>
    <t xml:space="preserve">【资产】</t>
  </si>
  <si>
    <r>
      <rPr>
        <sz val="9"/>
        <color rgb="FF000000"/>
        <rFont val="Noto Sans CJK SC"/>
        <family val="2"/>
      </rPr>
      <t xml:space="preserve">货币资金 </t>
    </r>
    <r>
      <rPr>
        <sz val="9"/>
        <color rgb="FF000000"/>
        <rFont val="Arial"/>
        <family val="0"/>
        <charset val="1"/>
      </rPr>
      <t xml:space="preserve">Cash &amp; equivalents</t>
    </r>
  </si>
  <si>
    <r>
      <rPr>
        <sz val="9"/>
        <color rgb="FF000000"/>
        <rFont val="Noto Sans CJK SC"/>
        <family val="2"/>
      </rPr>
      <t xml:space="preserve">应收账款净额 </t>
    </r>
    <r>
      <rPr>
        <sz val="9"/>
        <color rgb="FF000000"/>
        <rFont val="Arial"/>
        <family val="0"/>
        <charset val="1"/>
      </rPr>
      <t xml:space="preserve">Accounts receivable, net</t>
    </r>
  </si>
  <si>
    <r>
      <rPr>
        <sz val="9"/>
        <color rgb="FF000000"/>
        <rFont val="Noto Sans CJK SC"/>
        <family val="2"/>
      </rPr>
      <t xml:space="preserve">存货 </t>
    </r>
    <r>
      <rPr>
        <sz val="9"/>
        <color rgb="FF000000"/>
        <rFont val="Arial"/>
        <family val="0"/>
        <charset val="1"/>
      </rPr>
      <t xml:space="preserve">Inventories</t>
    </r>
  </si>
  <si>
    <r>
      <rPr>
        <sz val="9"/>
        <color rgb="FF000000"/>
        <rFont val="Noto Sans CJK SC"/>
        <family val="2"/>
      </rPr>
      <t xml:space="preserve">应收所得税 </t>
    </r>
    <r>
      <rPr>
        <sz val="9"/>
        <color rgb="FF000000"/>
        <rFont val="Arial"/>
        <family val="0"/>
        <charset val="1"/>
      </rPr>
      <t xml:space="preserve">Income tax receivable</t>
    </r>
  </si>
  <si>
    <r>
      <rPr>
        <sz val="9"/>
        <color rgb="FF000000"/>
        <rFont val="Noto Sans CJK SC"/>
        <family val="2"/>
      </rPr>
      <t xml:space="preserve">其他流动资产 </t>
    </r>
    <r>
      <rPr>
        <sz val="9"/>
        <color rgb="FF000000"/>
        <rFont val="Arial"/>
        <family val="0"/>
        <charset val="1"/>
      </rPr>
      <t xml:space="preserve">Other current assets</t>
    </r>
  </si>
  <si>
    <r>
      <rPr>
        <b val="true"/>
        <sz val="9"/>
        <color rgb="FF16305B"/>
        <rFont val="Noto Sans CJK SC"/>
        <family val="2"/>
      </rPr>
      <t xml:space="preserve">流动资产合计 </t>
    </r>
    <r>
      <rPr>
        <b val="true"/>
        <sz val="9"/>
        <color rgb="FF16305B"/>
        <rFont val="Arial"/>
        <family val="0"/>
        <charset val="1"/>
      </rPr>
      <t xml:space="preserve">Total current assets</t>
    </r>
  </si>
  <si>
    <r>
      <rPr>
        <sz val="9"/>
        <color rgb="FF000000"/>
        <rFont val="Noto Sans CJK SC"/>
        <family val="2"/>
      </rPr>
      <t xml:space="preserve">可交易权益证券 </t>
    </r>
    <r>
      <rPr>
        <sz val="9"/>
        <color rgb="FF000000"/>
        <rFont val="Arial"/>
        <family val="0"/>
        <charset val="1"/>
      </rPr>
      <t xml:space="preserve">Marketable equity securities</t>
    </r>
  </si>
  <si>
    <r>
      <rPr>
        <sz val="9"/>
        <color rgb="FF000000"/>
        <rFont val="Noto Sans CJK SC"/>
        <family val="2"/>
      </rPr>
      <t xml:space="preserve">固定资产净额 </t>
    </r>
    <r>
      <rPr>
        <sz val="9"/>
        <color rgb="FF000000"/>
        <rFont val="Arial"/>
        <family val="0"/>
        <charset val="1"/>
      </rPr>
      <t xml:space="preserve">PP&amp;E, net</t>
    </r>
  </si>
  <si>
    <r>
      <rPr>
        <sz val="9"/>
        <color rgb="FF000000"/>
        <rFont val="Arial"/>
        <family val="0"/>
        <charset val="1"/>
      </rPr>
      <t xml:space="preserve">Flash Ventures </t>
    </r>
    <r>
      <rPr>
        <sz val="9"/>
        <color rgb="FF000000"/>
        <rFont val="Noto Sans CJK SC"/>
        <family val="2"/>
      </rPr>
      <t xml:space="preserve">应收票据及投资</t>
    </r>
  </si>
  <si>
    <r>
      <rPr>
        <sz val="9"/>
        <color rgb="FF000000"/>
        <rFont val="Noto Sans CJK SC"/>
        <family val="2"/>
      </rPr>
      <t xml:space="preserve">商誉 </t>
    </r>
    <r>
      <rPr>
        <sz val="9"/>
        <color rgb="FF000000"/>
        <rFont val="Arial"/>
        <family val="0"/>
        <charset val="1"/>
      </rPr>
      <t xml:space="preserve">Goodwill</t>
    </r>
  </si>
  <si>
    <r>
      <rPr>
        <sz val="9"/>
        <color rgb="FF000000"/>
        <rFont val="Noto Sans CJK SC"/>
        <family val="2"/>
      </rPr>
      <t xml:space="preserve">非流动应收所得税 </t>
    </r>
    <r>
      <rPr>
        <sz val="9"/>
        <color rgb="FF000000"/>
        <rFont val="Arial"/>
        <family val="0"/>
        <charset val="1"/>
      </rPr>
      <t xml:space="preserve">Income tax receivable, NC</t>
    </r>
  </si>
  <si>
    <r>
      <rPr>
        <sz val="9"/>
        <color rgb="FF000000"/>
        <rFont val="Noto Sans CJK SC"/>
        <family val="2"/>
      </rPr>
      <t xml:space="preserve">递延所得税资产 </t>
    </r>
    <r>
      <rPr>
        <sz val="9"/>
        <color rgb="FF000000"/>
        <rFont val="Arial"/>
        <family val="0"/>
        <charset val="1"/>
      </rPr>
      <t xml:space="preserve">Deferred tax assets</t>
    </r>
  </si>
  <si>
    <r>
      <rPr>
        <sz val="9"/>
        <color rgb="FF000000"/>
        <rFont val="Noto Sans CJK SC"/>
        <family val="2"/>
      </rPr>
      <t xml:space="preserve">其他非流动资产 </t>
    </r>
    <r>
      <rPr>
        <sz val="9"/>
        <color rgb="FF000000"/>
        <rFont val="Arial"/>
        <family val="0"/>
        <charset val="1"/>
      </rPr>
      <t xml:space="preserve">Other non-current assets</t>
    </r>
  </si>
  <si>
    <r>
      <rPr>
        <b val="true"/>
        <sz val="9"/>
        <color rgb="FF16305B"/>
        <rFont val="Noto Sans CJK SC"/>
        <family val="2"/>
      </rPr>
      <t xml:space="preserve">资产总计 </t>
    </r>
    <r>
      <rPr>
        <b val="true"/>
        <sz val="9"/>
        <color rgb="FF16305B"/>
        <rFont val="Arial"/>
        <family val="0"/>
        <charset val="1"/>
      </rPr>
      <t xml:space="preserve">Total assets</t>
    </r>
  </si>
  <si>
    <t xml:space="preserve">【负债】</t>
  </si>
  <si>
    <r>
      <rPr>
        <sz val="9"/>
        <color rgb="FF000000"/>
        <rFont val="Noto Sans CJK SC"/>
        <family val="2"/>
      </rPr>
      <t xml:space="preserve">应付账款 </t>
    </r>
    <r>
      <rPr>
        <sz val="9"/>
        <color rgb="FF000000"/>
        <rFont val="Arial"/>
        <family val="0"/>
        <charset val="1"/>
      </rPr>
      <t xml:space="preserve">Accounts payable</t>
    </r>
  </si>
  <si>
    <r>
      <rPr>
        <sz val="9"/>
        <color rgb="FF000000"/>
        <rFont val="Noto Sans CJK SC"/>
        <family val="2"/>
      </rPr>
      <t xml:space="preserve">应付关联方 </t>
    </r>
    <r>
      <rPr>
        <sz val="9"/>
        <color rgb="FF000000"/>
        <rFont val="Arial"/>
        <family val="0"/>
        <charset val="1"/>
      </rPr>
      <t xml:space="preserve">AP to related parties</t>
    </r>
  </si>
  <si>
    <r>
      <rPr>
        <sz val="9"/>
        <color rgb="FF000000"/>
        <rFont val="Noto Sans CJK SC"/>
        <family val="2"/>
      </rPr>
      <t xml:space="preserve">应计费用 </t>
    </r>
    <r>
      <rPr>
        <sz val="9"/>
        <color rgb="FF000000"/>
        <rFont val="Arial"/>
        <family val="0"/>
        <charset val="1"/>
      </rPr>
      <t xml:space="preserve">Accrued expenses</t>
    </r>
  </si>
  <si>
    <r>
      <rPr>
        <sz val="9"/>
        <color rgb="FF000000"/>
        <rFont val="Noto Sans CJK SC"/>
        <family val="2"/>
      </rPr>
      <t xml:space="preserve">应计薪酬 </t>
    </r>
    <r>
      <rPr>
        <sz val="9"/>
        <color rgb="FF000000"/>
        <rFont val="Arial"/>
        <family val="0"/>
        <charset val="1"/>
      </rPr>
      <t xml:space="preserve">Accrued compensation</t>
    </r>
  </si>
  <si>
    <r>
      <rPr>
        <sz val="9"/>
        <color rgb="FF000000"/>
        <rFont val="Noto Sans CJK SC"/>
        <family val="2"/>
      </rPr>
      <t xml:space="preserve">退款负债 </t>
    </r>
    <r>
      <rPr>
        <sz val="9"/>
        <color rgb="FF000000"/>
        <rFont val="Arial"/>
        <family val="0"/>
        <charset val="1"/>
      </rPr>
      <t xml:space="preserve">Refund liabilities</t>
    </r>
  </si>
  <si>
    <r>
      <rPr>
        <sz val="9"/>
        <color rgb="FF000000"/>
        <rFont val="Noto Sans CJK SC"/>
        <family val="2"/>
      </rPr>
      <t xml:space="preserve">合同负债 </t>
    </r>
    <r>
      <rPr>
        <sz val="9"/>
        <color rgb="FF000000"/>
        <rFont val="Arial"/>
        <family val="0"/>
        <charset val="1"/>
      </rPr>
      <t xml:space="preserve">Contract liabilities</t>
    </r>
  </si>
  <si>
    <r>
      <rPr>
        <sz val="9"/>
        <color rgb="FF000000"/>
        <rFont val="Noto Sans CJK SC"/>
        <family val="2"/>
      </rPr>
      <t xml:space="preserve">应交所得税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流动</t>
    </r>
    <r>
      <rPr>
        <sz val="9"/>
        <color rgb="FF000000"/>
        <rFont val="Arial"/>
        <family val="0"/>
        <charset val="1"/>
      </rPr>
      <t xml:space="preserve">) Income tax payable</t>
    </r>
  </si>
  <si>
    <r>
      <rPr>
        <sz val="9"/>
        <color rgb="FF000000"/>
        <rFont val="Noto Sans CJK SC"/>
        <family val="2"/>
      </rPr>
      <t xml:space="preserve">一年内到期长期债务 </t>
    </r>
    <r>
      <rPr>
        <sz val="9"/>
        <color rgb="FF000000"/>
        <rFont val="Arial"/>
        <family val="0"/>
        <charset val="1"/>
      </rPr>
      <t xml:space="preserve">Current LTD</t>
    </r>
  </si>
  <si>
    <r>
      <rPr>
        <b val="true"/>
        <sz val="9"/>
        <color rgb="FF16305B"/>
        <rFont val="Noto Sans CJK SC"/>
        <family val="2"/>
      </rPr>
      <t xml:space="preserve">流动负债合计 </t>
    </r>
    <r>
      <rPr>
        <b val="true"/>
        <sz val="9"/>
        <color rgb="FF16305B"/>
        <rFont val="Arial"/>
        <family val="0"/>
        <charset val="1"/>
      </rPr>
      <t xml:space="preserve">Total current liabilities</t>
    </r>
  </si>
  <si>
    <r>
      <rPr>
        <sz val="9"/>
        <color rgb="FF000000"/>
        <rFont val="Noto Sans CJK SC"/>
        <family val="2"/>
      </rPr>
      <t xml:space="preserve">递延所得税负债 </t>
    </r>
    <r>
      <rPr>
        <sz val="9"/>
        <color rgb="FF000000"/>
        <rFont val="Arial"/>
        <family val="0"/>
        <charset val="1"/>
      </rPr>
      <t xml:space="preserve">Deferred tax liabilities</t>
    </r>
  </si>
  <si>
    <r>
      <rPr>
        <sz val="9"/>
        <color rgb="FF000000"/>
        <rFont val="Noto Sans CJK SC"/>
        <family val="2"/>
      </rPr>
      <t xml:space="preserve">应交所得税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非流动</t>
    </r>
    <r>
      <rPr>
        <sz val="9"/>
        <color rgb="FF000000"/>
        <rFont val="Arial"/>
        <family val="0"/>
        <charset val="1"/>
      </rPr>
      <t xml:space="preserve">) Income tax payable, NC</t>
    </r>
  </si>
  <si>
    <r>
      <rPr>
        <sz val="9"/>
        <color rgb="FF000000"/>
        <rFont val="Noto Sans CJK SC"/>
        <family val="2"/>
      </rPr>
      <t xml:space="preserve">长期债务 </t>
    </r>
    <r>
      <rPr>
        <sz val="9"/>
        <color rgb="FF000000"/>
        <rFont val="Arial"/>
        <family val="0"/>
        <charset val="1"/>
      </rPr>
      <t xml:space="preserve">Long-term debt</t>
    </r>
  </si>
  <si>
    <r>
      <rPr>
        <sz val="9"/>
        <color rgb="FF000000"/>
        <rFont val="Noto Sans CJK SC"/>
        <family val="2"/>
      </rPr>
      <t xml:space="preserve">非流动合同负债 </t>
    </r>
    <r>
      <rPr>
        <sz val="9"/>
        <color rgb="FF000000"/>
        <rFont val="Arial"/>
        <family val="0"/>
        <charset val="1"/>
      </rPr>
      <t xml:space="preserve">Non-current contract liab.</t>
    </r>
  </si>
  <si>
    <r>
      <rPr>
        <sz val="9"/>
        <color rgb="FF000000"/>
        <rFont val="Noto Sans CJK SC"/>
        <family val="2"/>
      </rPr>
      <t xml:space="preserve">其他负债 </t>
    </r>
    <r>
      <rPr>
        <sz val="9"/>
        <color rgb="FF000000"/>
        <rFont val="Arial"/>
        <family val="0"/>
        <charset val="1"/>
      </rPr>
      <t xml:space="preserve">Other liabilities</t>
    </r>
  </si>
  <si>
    <r>
      <rPr>
        <b val="true"/>
        <sz val="9"/>
        <color rgb="FF16305B"/>
        <rFont val="Noto Sans CJK SC"/>
        <family val="2"/>
      </rPr>
      <t xml:space="preserve">负债合计 </t>
    </r>
    <r>
      <rPr>
        <b val="true"/>
        <sz val="9"/>
        <color rgb="FF16305B"/>
        <rFont val="Arial"/>
        <family val="0"/>
        <charset val="1"/>
      </rPr>
      <t xml:space="preserve">Total liabilities</t>
    </r>
  </si>
  <si>
    <t xml:space="preserve">【股东权益】</t>
  </si>
  <si>
    <r>
      <rPr>
        <sz val="9"/>
        <color rgb="FF000000"/>
        <rFont val="Noto Sans CJK SC"/>
        <family val="2"/>
      </rPr>
      <t xml:space="preserve">普通股 </t>
    </r>
    <r>
      <rPr>
        <sz val="9"/>
        <color rgb="FF000000"/>
        <rFont val="Arial"/>
        <family val="0"/>
        <charset val="1"/>
      </rPr>
      <t xml:space="preserve">Common stock</t>
    </r>
  </si>
  <si>
    <r>
      <rPr>
        <sz val="9"/>
        <color rgb="FF000000"/>
        <rFont val="Noto Sans CJK SC"/>
        <family val="2"/>
      </rPr>
      <t xml:space="preserve">库存股 </t>
    </r>
    <r>
      <rPr>
        <sz val="9"/>
        <color rgb="FF000000"/>
        <rFont val="Arial"/>
        <family val="0"/>
        <charset val="1"/>
      </rPr>
      <t xml:space="preserve">Treasury stock</t>
    </r>
  </si>
  <si>
    <r>
      <rPr>
        <sz val="9"/>
        <color rgb="FF000000"/>
        <rFont val="Noto Sans CJK SC"/>
        <family val="2"/>
      </rPr>
      <t xml:space="preserve">资本公积 </t>
    </r>
    <r>
      <rPr>
        <sz val="9"/>
        <color rgb="FF000000"/>
        <rFont val="Arial"/>
        <family val="0"/>
        <charset val="1"/>
      </rPr>
      <t xml:space="preserve">Additional paid-in capital</t>
    </r>
  </si>
  <si>
    <r>
      <rPr>
        <sz val="9"/>
        <color rgb="FF000000"/>
        <rFont val="Noto Sans CJK SC"/>
        <family val="2"/>
      </rPr>
      <t xml:space="preserve">累计其他综合损失 </t>
    </r>
    <r>
      <rPr>
        <sz val="9"/>
        <color rgb="FF000000"/>
        <rFont val="Arial"/>
        <family val="0"/>
        <charset val="1"/>
      </rPr>
      <t xml:space="preserve">AOCI</t>
    </r>
  </si>
  <si>
    <r>
      <rPr>
        <sz val="9"/>
        <color rgb="FF000000"/>
        <rFont val="Noto Sans CJK SC"/>
        <family val="2"/>
      </rPr>
      <t xml:space="preserve">留存收益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累计亏损</t>
    </r>
    <r>
      <rPr>
        <sz val="9"/>
        <color rgb="FF000000"/>
        <rFont val="Arial"/>
        <family val="0"/>
        <charset val="1"/>
      </rPr>
      <t xml:space="preserve">) Retained earnings</t>
    </r>
  </si>
  <si>
    <r>
      <rPr>
        <b val="true"/>
        <sz val="9"/>
        <color rgb="FF16305B"/>
        <rFont val="Noto Sans CJK SC"/>
        <family val="2"/>
      </rPr>
      <t xml:space="preserve">股东权益合计 </t>
    </r>
    <r>
      <rPr>
        <b val="true"/>
        <sz val="9"/>
        <color rgb="FF16305B"/>
        <rFont val="Arial"/>
        <family val="0"/>
        <charset val="1"/>
      </rPr>
      <t xml:space="preserve">Total shareholders' equity</t>
    </r>
  </si>
  <si>
    <r>
      <rPr>
        <sz val="9"/>
        <color rgb="FF3D3D3D"/>
        <rFont val="Noto Sans CJK SC"/>
        <family val="2"/>
      </rPr>
      <t xml:space="preserve">口径提示：应计费用 </t>
    </r>
    <r>
      <rPr>
        <sz val="9"/>
        <color rgb="FF3D3D3D"/>
        <rFont val="Arial"/>
        <family val="0"/>
        <charset val="1"/>
      </rPr>
      <t xml:space="preserve">/ </t>
    </r>
    <r>
      <rPr>
        <sz val="9"/>
        <color rgb="FF3D3D3D"/>
        <rFont val="Noto Sans CJK SC"/>
        <family val="2"/>
      </rPr>
      <t xml:space="preserve">退款负债 </t>
    </r>
    <r>
      <rPr>
        <sz val="9"/>
        <color rgb="FF3D3D3D"/>
        <rFont val="Arial"/>
        <family val="0"/>
        <charset val="1"/>
      </rPr>
      <t xml:space="preserve">/ </t>
    </r>
    <r>
      <rPr>
        <sz val="9"/>
        <color rgb="FF3D3D3D"/>
        <rFont val="Noto Sans CJK SC"/>
        <family val="2"/>
      </rPr>
      <t xml:space="preserve">合同负债 三行在不同季度的财报里做过重分类（</t>
    </r>
    <r>
      <rPr>
        <sz val="9"/>
        <color rgb="FF3D3D3D"/>
        <rFont val="Arial"/>
        <family val="0"/>
        <charset val="1"/>
      </rPr>
      <t xml:space="preserve">FY25</t>
    </r>
    <r>
      <rPr>
        <sz val="9"/>
        <color rgb="FF3D3D3D"/>
        <rFont val="Noto Sans CJK SC"/>
        <family val="2"/>
      </rPr>
      <t xml:space="preserve">末的应计费用在 </t>
    </r>
    <r>
      <rPr>
        <sz val="9"/>
        <color rgb="FF3D3D3D"/>
        <rFont val="Arial"/>
        <family val="0"/>
        <charset val="1"/>
      </rPr>
      <t xml:space="preserve">Q2 </t>
    </r>
    <r>
      <rPr>
        <sz val="9"/>
        <color rgb="FF3D3D3D"/>
        <rFont val="Noto Sans CJK SC"/>
        <family val="2"/>
      </rPr>
      <t xml:space="preserve">财报中列示为 </t>
    </r>
    <r>
      <rPr>
        <sz val="9"/>
        <color rgb="FF3D3D3D"/>
        <rFont val="Arial"/>
        <family val="0"/>
        <charset val="1"/>
      </rPr>
      <t xml:space="preserve">425</t>
    </r>
    <r>
      <rPr>
        <sz val="9"/>
        <color rgb="FF3D3D3D"/>
        <rFont val="Noto Sans CJK SC"/>
        <family val="2"/>
      </rPr>
      <t xml:space="preserve">，在 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年报中拆分为应计费用 </t>
    </r>
    <r>
      <rPr>
        <sz val="9"/>
        <color rgb="FF3D3D3D"/>
        <rFont val="Arial"/>
        <family val="0"/>
        <charset val="1"/>
      </rPr>
      <t xml:space="preserve">274 + </t>
    </r>
    <r>
      <rPr>
        <sz val="9"/>
        <color rgb="FF3D3D3D"/>
        <rFont val="Noto Sans CJK SC"/>
        <family val="2"/>
      </rPr>
      <t xml:space="preserve">退款负债 </t>
    </r>
    <r>
      <rPr>
        <sz val="9"/>
        <color rgb="FF3D3D3D"/>
        <rFont val="Arial"/>
        <family val="0"/>
        <charset val="1"/>
      </rPr>
      <t xml:space="preserve">126 + </t>
    </r>
    <r>
      <rPr>
        <sz val="9"/>
        <color rgb="FF3D3D3D"/>
        <rFont val="Noto Sans CJK SC"/>
        <family val="2"/>
      </rPr>
      <t xml:space="preserve">合同负债 </t>
    </r>
    <r>
      <rPr>
        <sz val="9"/>
        <color rgb="FF3D3D3D"/>
        <rFont val="Arial"/>
        <family val="0"/>
        <charset val="1"/>
      </rPr>
      <t xml:space="preserve">25</t>
    </r>
    <r>
      <rPr>
        <sz val="9"/>
        <color rgb="FF3D3D3D"/>
        <rFont val="Noto Sans CJK SC"/>
        <family val="2"/>
      </rPr>
      <t xml:space="preserve">）。本表统一采用 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年报（最新）的列示口径，四个时点的资产 </t>
    </r>
    <r>
      <rPr>
        <sz val="9"/>
        <color rgb="FF3D3D3D"/>
        <rFont val="Arial"/>
        <family val="0"/>
        <charset val="1"/>
      </rPr>
      <t xml:space="preserve">= </t>
    </r>
    <r>
      <rPr>
        <sz val="9"/>
        <color rgb="FF3D3D3D"/>
        <rFont val="Noto Sans CJK SC"/>
        <family val="2"/>
      </rPr>
      <t xml:space="preserve">负债 </t>
    </r>
    <r>
      <rPr>
        <sz val="9"/>
        <color rgb="FF3D3D3D"/>
        <rFont val="Arial"/>
        <family val="0"/>
        <charset val="1"/>
      </rPr>
      <t xml:space="preserve">+ </t>
    </r>
    <r>
      <rPr>
        <sz val="9"/>
        <color rgb="FF3D3D3D"/>
        <rFont val="Noto Sans CJK SC"/>
        <family val="2"/>
      </rPr>
      <t xml:space="preserve">权益均已逐列校验平衡。</t>
    </r>
  </si>
  <si>
    <r>
      <rPr>
        <b val="true"/>
        <sz val="11"/>
        <color rgb="FFFFFFFF"/>
        <rFont val="Arial"/>
        <family val="0"/>
        <charset val="1"/>
      </rPr>
      <t xml:space="preserve">05  </t>
    </r>
    <r>
      <rPr>
        <b val="true"/>
        <sz val="11"/>
        <color rgb="FFFFFFFF"/>
        <rFont val="Noto Sans CJK SC"/>
        <family val="2"/>
      </rPr>
      <t xml:space="preserve">合并现金流量表（季度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年度）</t>
    </r>
  </si>
  <si>
    <t xml:space="preserve">占收入比</t>
  </si>
  <si>
    <t xml:space="preserve">【经营活动】</t>
  </si>
  <si>
    <r>
      <rPr>
        <b val="true"/>
        <sz val="9"/>
        <color rgb="FF008000"/>
        <rFont val="Noto Sans CJK SC"/>
        <family val="2"/>
      </rPr>
      <t xml:space="preserve">净利润 </t>
    </r>
    <r>
      <rPr>
        <b val="true"/>
        <sz val="9"/>
        <color rgb="FF008000"/>
        <rFont val="Arial"/>
        <family val="0"/>
        <charset val="1"/>
      </rPr>
      <t xml:space="preserve">Net income</t>
    </r>
  </si>
  <si>
    <r>
      <rPr>
        <sz val="9"/>
        <color rgb="FF000000"/>
        <rFont val="Noto Sans CJK SC"/>
        <family val="2"/>
      </rPr>
      <t xml:space="preserve">折旧与摊销 </t>
    </r>
    <r>
      <rPr>
        <sz val="9"/>
        <color rgb="FF000000"/>
        <rFont val="Arial"/>
        <family val="0"/>
        <charset val="1"/>
      </rPr>
      <t xml:space="preserve">D&amp;A</t>
    </r>
  </si>
  <si>
    <r>
      <rPr>
        <sz val="9"/>
        <color rgb="FF000000"/>
        <rFont val="Noto Sans CJK SC"/>
        <family val="2"/>
      </rPr>
      <t xml:space="preserve">股份支付 </t>
    </r>
    <r>
      <rPr>
        <sz val="9"/>
        <color rgb="FF000000"/>
        <rFont val="Arial"/>
        <family val="0"/>
        <charset val="1"/>
      </rPr>
      <t xml:space="preserve">Stock-based compensation</t>
    </r>
  </si>
  <si>
    <r>
      <rPr>
        <sz val="9"/>
        <color rgb="FF000000"/>
        <rFont val="Noto Sans CJK SC"/>
        <family val="2"/>
      </rPr>
      <t xml:space="preserve">递延所得税 </t>
    </r>
    <r>
      <rPr>
        <sz val="9"/>
        <color rgb="FF000000"/>
        <rFont val="Arial"/>
        <family val="0"/>
        <charset val="1"/>
      </rPr>
      <t xml:space="preserve">Deferred income taxes</t>
    </r>
  </si>
  <si>
    <r>
      <rPr>
        <sz val="9"/>
        <color rgb="FF000000"/>
        <rFont val="Noto Sans CJK SC"/>
        <family val="2"/>
      </rPr>
      <t xml:space="preserve">权益证券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收益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损失 </t>
    </r>
    <r>
      <rPr>
        <sz val="9"/>
        <color rgb="FF000000"/>
        <rFont val="Arial"/>
        <family val="0"/>
        <charset val="1"/>
      </rPr>
      <t xml:space="preserve">(Gain) on equity sec.</t>
    </r>
  </si>
  <si>
    <r>
      <rPr>
        <sz val="9"/>
        <color rgb="FF000000"/>
        <rFont val="Noto Sans CJK SC"/>
        <family val="2"/>
      </rPr>
      <t xml:space="preserve">汇兑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收益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损失 </t>
    </r>
    <r>
      <rPr>
        <sz val="9"/>
        <color rgb="FF000000"/>
        <rFont val="Arial"/>
        <family val="0"/>
        <charset val="1"/>
      </rPr>
      <t xml:space="preserve">Unrealized FX</t>
    </r>
  </si>
  <si>
    <r>
      <rPr>
        <sz val="9"/>
        <color rgb="FF000000"/>
        <rFont val="Noto Sans CJK SC"/>
        <family val="2"/>
      </rPr>
      <t xml:space="preserve">债务清偿损失 </t>
    </r>
    <r>
      <rPr>
        <sz val="9"/>
        <color rgb="FF000000"/>
        <rFont val="Arial"/>
        <family val="0"/>
        <charset val="1"/>
      </rPr>
      <t xml:space="preserve">Loss on debt extinguishment</t>
    </r>
  </si>
  <si>
    <r>
      <rPr>
        <sz val="9"/>
        <color rgb="FF000000"/>
        <rFont val="Noto Sans CJK SC"/>
        <family val="2"/>
      </rPr>
      <t xml:space="preserve">投资损益及其他 </t>
    </r>
    <r>
      <rPr>
        <sz val="9"/>
        <color rgb="FF000000"/>
        <rFont val="Arial"/>
        <family val="0"/>
        <charset val="1"/>
      </rPr>
      <t xml:space="preserve">Equity loss in investees &amp; other</t>
    </r>
  </si>
  <si>
    <r>
      <rPr>
        <sz val="9"/>
        <color rgb="FF000000"/>
        <rFont val="Noto Sans CJK SC"/>
        <family val="2"/>
      </rPr>
      <t xml:space="preserve">应收账款变动 </t>
    </r>
    <r>
      <rPr>
        <sz val="9"/>
        <color rgb="FF000000"/>
        <rFont val="Arial"/>
        <family val="0"/>
        <charset val="1"/>
      </rPr>
      <t xml:space="preserve">Δ Accounts receivable</t>
    </r>
  </si>
  <si>
    <r>
      <rPr>
        <sz val="9"/>
        <color rgb="FF000000"/>
        <rFont val="Noto Sans CJK SC"/>
        <family val="2"/>
      </rPr>
      <t xml:space="preserve">存货变动 </t>
    </r>
    <r>
      <rPr>
        <sz val="9"/>
        <color rgb="FF000000"/>
        <rFont val="Arial"/>
        <family val="0"/>
        <charset val="1"/>
      </rPr>
      <t xml:space="preserve">Δ Inventories</t>
    </r>
  </si>
  <si>
    <r>
      <rPr>
        <sz val="9"/>
        <color rgb="FF000000"/>
        <rFont val="Noto Sans CJK SC"/>
        <family val="2"/>
      </rPr>
      <t xml:space="preserve">应付账款变动 </t>
    </r>
    <r>
      <rPr>
        <sz val="9"/>
        <color rgb="FF000000"/>
        <rFont val="Arial"/>
        <family val="0"/>
        <charset val="1"/>
      </rPr>
      <t xml:space="preserve">Δ Accounts payable(</t>
    </r>
    <r>
      <rPr>
        <sz val="9"/>
        <color rgb="FF000000"/>
        <rFont val="Noto Sans CJK SC"/>
        <family val="2"/>
      </rPr>
      <t xml:space="preserve">含关联方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</si>
  <si>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应计费用变动 </t>
    </r>
    <r>
      <rPr>
        <sz val="9"/>
        <color rgb="FF000000"/>
        <rFont val="Arial"/>
        <family val="0"/>
        <charset val="1"/>
      </rPr>
      <t xml:space="preserve">Δ Accrued expenses</t>
    </r>
  </si>
  <si>
    <r>
      <rPr>
        <sz val="9"/>
        <color rgb="FF000000"/>
        <rFont val="Noto Sans CJK SC"/>
        <family val="2"/>
      </rPr>
      <t xml:space="preserve">应计薪酬变动 </t>
    </r>
    <r>
      <rPr>
        <sz val="9"/>
        <color rgb="FF000000"/>
        <rFont val="Arial"/>
        <family val="0"/>
        <charset val="1"/>
      </rPr>
      <t xml:space="preserve">Δ Accrued compensation</t>
    </r>
  </si>
  <si>
    <r>
      <rPr>
        <sz val="9"/>
        <color rgb="FF000000"/>
        <rFont val="Noto Sans CJK SC"/>
        <family val="2"/>
      </rPr>
      <t xml:space="preserve">退款负债变动 </t>
    </r>
    <r>
      <rPr>
        <sz val="9"/>
        <color rgb="FF000000"/>
        <rFont val="Arial"/>
        <family val="0"/>
        <charset val="1"/>
      </rPr>
      <t xml:space="preserve">Δ Refund liability</t>
    </r>
  </si>
  <si>
    <r>
      <rPr>
        <sz val="9"/>
        <color rgb="FF000000"/>
        <rFont val="Noto Sans CJK SC"/>
        <family val="2"/>
      </rPr>
      <t xml:space="preserve">合同负债变动 </t>
    </r>
    <r>
      <rPr>
        <sz val="9"/>
        <color rgb="FF000000"/>
        <rFont val="Arial"/>
        <family val="0"/>
        <charset val="1"/>
      </rPr>
      <t xml:space="preserve">Δ Contract liabilities</t>
    </r>
  </si>
  <si>
    <r>
      <rPr>
        <sz val="9"/>
        <color rgb="FF000000"/>
        <rFont val="Noto Sans CJK SC"/>
        <family val="2"/>
      </rPr>
      <t xml:space="preserve">应交所得税变动 </t>
    </r>
    <r>
      <rPr>
        <sz val="9"/>
        <color rgb="FF000000"/>
        <rFont val="Arial"/>
        <family val="0"/>
        <charset val="1"/>
      </rPr>
      <t xml:space="preserve">Δ Income taxes payable</t>
    </r>
  </si>
  <si>
    <r>
      <rPr>
        <sz val="9"/>
        <color rgb="FF000000"/>
        <rFont val="Noto Sans CJK SC"/>
        <family val="2"/>
      </rPr>
      <t xml:space="preserve">其他资产负债变动 </t>
    </r>
    <r>
      <rPr>
        <sz val="9"/>
        <color rgb="FF000000"/>
        <rFont val="Arial"/>
        <family val="0"/>
        <charset val="1"/>
      </rPr>
      <t xml:space="preserve">Δ Other assets &amp; liabilities</t>
    </r>
  </si>
  <si>
    <r>
      <rPr>
        <b val="true"/>
        <sz val="9"/>
        <color rgb="FF16305B"/>
        <rFont val="Noto Sans CJK SC"/>
        <family val="2"/>
      </rPr>
      <t xml:space="preserve">经营活动现金流净额 </t>
    </r>
    <r>
      <rPr>
        <b val="true"/>
        <sz val="9"/>
        <color rgb="FF16305B"/>
        <rFont val="Arial"/>
        <family val="0"/>
        <charset val="1"/>
      </rPr>
      <t xml:space="preserve">Net cash from operating</t>
    </r>
  </si>
  <si>
    <t xml:space="preserve">【投资活动】</t>
  </si>
  <si>
    <r>
      <rPr>
        <sz val="9"/>
        <color rgb="FF000000"/>
        <rFont val="Noto Sans CJK SC"/>
        <family val="2"/>
      </rPr>
      <t xml:space="preserve">购建固定资产 </t>
    </r>
    <r>
      <rPr>
        <sz val="9"/>
        <color rgb="FF000000"/>
        <rFont val="Arial"/>
        <family val="0"/>
        <charset val="1"/>
      </rPr>
      <t xml:space="preserve">Purchases of PP&amp;E</t>
    </r>
  </si>
  <si>
    <r>
      <rPr>
        <sz val="9"/>
        <color rgb="FF000000"/>
        <rFont val="Noto Sans CJK SC"/>
        <family val="2"/>
      </rPr>
      <t xml:space="preserve">购买可交易权益证券 </t>
    </r>
    <r>
      <rPr>
        <sz val="9"/>
        <color rgb="FF000000"/>
        <rFont val="Arial"/>
        <family val="0"/>
        <charset val="1"/>
      </rPr>
      <t xml:space="preserve">Purchase of equity sec.</t>
    </r>
  </si>
  <si>
    <r>
      <rPr>
        <sz val="9"/>
        <color rgb="FF000000"/>
        <rFont val="Noto Sans CJK SC"/>
        <family val="2"/>
      </rPr>
      <t xml:space="preserve">处置业务收到现金 </t>
    </r>
    <r>
      <rPr>
        <sz val="9"/>
        <color rgb="FF000000"/>
        <rFont val="Arial"/>
        <family val="0"/>
        <charset val="1"/>
      </rPr>
      <t xml:space="preserve">Proceeds from dispositions</t>
    </r>
  </si>
  <si>
    <r>
      <rPr>
        <sz val="9"/>
        <color rgb="FF000000"/>
        <rFont val="Noto Sans CJK SC"/>
        <family val="2"/>
      </rPr>
      <t xml:space="preserve">向 </t>
    </r>
    <r>
      <rPr>
        <sz val="9"/>
        <color rgb="FF000000"/>
        <rFont val="Arial"/>
        <family val="0"/>
        <charset val="1"/>
      </rPr>
      <t xml:space="preserve">Flash Ventures </t>
    </r>
    <r>
      <rPr>
        <sz val="9"/>
        <color rgb="FF000000"/>
        <rFont val="Noto Sans CJK SC"/>
        <family val="2"/>
      </rPr>
      <t xml:space="preserve">发放票据 </t>
    </r>
    <r>
      <rPr>
        <sz val="9"/>
        <color rgb="FF000000"/>
        <rFont val="Arial"/>
        <family val="0"/>
        <charset val="1"/>
      </rPr>
      <t xml:space="preserve">Notes issuances</t>
    </r>
  </si>
  <si>
    <r>
      <rPr>
        <sz val="9"/>
        <color rgb="FF000000"/>
        <rFont val="Arial"/>
        <family val="0"/>
        <charset val="1"/>
      </rPr>
      <t xml:space="preserve">Flash Ventures </t>
    </r>
    <r>
      <rPr>
        <sz val="9"/>
        <color rgb="FF000000"/>
        <rFont val="Noto Sans CJK SC"/>
        <family val="2"/>
      </rPr>
      <t xml:space="preserve">票据回收 </t>
    </r>
    <r>
      <rPr>
        <sz val="9"/>
        <color rgb="FF000000"/>
        <rFont val="Arial"/>
        <family val="0"/>
        <charset val="1"/>
      </rPr>
      <t xml:space="preserve">Notes proceeds</t>
    </r>
  </si>
  <si>
    <r>
      <rPr>
        <sz val="9"/>
        <color rgb="FF000000"/>
        <rFont val="Noto Sans CJK SC"/>
        <family val="2"/>
      </rPr>
      <t xml:space="preserve">战略投资及其他 </t>
    </r>
    <r>
      <rPr>
        <sz val="9"/>
        <color rgb="FF000000"/>
        <rFont val="Arial"/>
        <family val="0"/>
        <charset val="1"/>
      </rPr>
      <t xml:space="preserve">Strategic investments, net</t>
    </r>
  </si>
  <si>
    <r>
      <rPr>
        <b val="true"/>
        <sz val="9"/>
        <color rgb="FF16305B"/>
        <rFont val="Noto Sans CJK SC"/>
        <family val="2"/>
      </rPr>
      <t xml:space="preserve">投资活动现金流净额 </t>
    </r>
    <r>
      <rPr>
        <b val="true"/>
        <sz val="9"/>
        <color rgb="FF16305B"/>
        <rFont val="Arial"/>
        <family val="0"/>
        <charset val="1"/>
      </rPr>
      <t xml:space="preserve">Net cash from investing</t>
    </r>
  </si>
  <si>
    <t xml:space="preserve">【筹资活动】</t>
  </si>
  <si>
    <r>
      <rPr>
        <sz val="9"/>
        <color rgb="FF000000"/>
        <rFont val="Noto Sans CJK SC"/>
        <family val="2"/>
      </rPr>
      <t xml:space="preserve">员工持股计划发行 </t>
    </r>
    <r>
      <rPr>
        <sz val="9"/>
        <color rgb="FF000000"/>
        <rFont val="Arial"/>
        <family val="0"/>
        <charset val="1"/>
      </rPr>
      <t xml:space="preserve">Issuance of stock</t>
    </r>
  </si>
  <si>
    <r>
      <rPr>
        <sz val="9"/>
        <color rgb="FF000000"/>
        <rFont val="Noto Sans CJK SC"/>
        <family val="2"/>
      </rPr>
      <t xml:space="preserve">股权激励代扣税 </t>
    </r>
    <r>
      <rPr>
        <sz val="9"/>
        <color rgb="FF000000"/>
        <rFont val="Arial"/>
        <family val="0"/>
        <charset val="1"/>
      </rPr>
      <t xml:space="preserve">Taxes on vested stock awards</t>
    </r>
  </si>
  <si>
    <r>
      <rPr>
        <sz val="9"/>
        <color rgb="FF000000"/>
        <rFont val="Noto Sans CJK SC"/>
        <family val="2"/>
      </rPr>
      <t xml:space="preserve">股票回购 </t>
    </r>
    <r>
      <rPr>
        <sz val="9"/>
        <color rgb="FF000000"/>
        <rFont val="Arial"/>
        <family val="0"/>
        <charset val="1"/>
      </rPr>
      <t xml:space="preserve">Repurchases of common stock</t>
    </r>
  </si>
  <si>
    <r>
      <rPr>
        <sz val="9"/>
        <color rgb="FF000000"/>
        <rFont val="Noto Sans CJK SC"/>
        <family val="2"/>
      </rPr>
      <t xml:space="preserve">偿还债务 </t>
    </r>
    <r>
      <rPr>
        <sz val="9"/>
        <color rgb="FF000000"/>
        <rFont val="Arial"/>
        <family val="0"/>
        <charset val="1"/>
      </rPr>
      <t xml:space="preserve">Repayment of debt</t>
    </r>
  </si>
  <si>
    <r>
      <rPr>
        <b val="true"/>
        <sz val="9"/>
        <color rgb="FF16305B"/>
        <rFont val="Noto Sans CJK SC"/>
        <family val="2"/>
      </rPr>
      <t xml:space="preserve">筹资活动现金流净额 </t>
    </r>
    <r>
      <rPr>
        <b val="true"/>
        <sz val="9"/>
        <color rgb="FF16305B"/>
        <rFont val="Arial"/>
        <family val="0"/>
        <charset val="1"/>
      </rPr>
      <t xml:space="preserve">Net cash from financing</t>
    </r>
  </si>
  <si>
    <r>
      <rPr>
        <sz val="9"/>
        <color rgb="FF000000"/>
        <rFont val="Noto Sans CJK SC"/>
        <family val="2"/>
      </rPr>
      <t xml:space="preserve">汇率影响 </t>
    </r>
    <r>
      <rPr>
        <sz val="9"/>
        <color rgb="FF000000"/>
        <rFont val="Arial"/>
        <family val="0"/>
        <charset val="1"/>
      </rPr>
      <t xml:space="preserve">Effect of exchange rate</t>
    </r>
  </si>
  <si>
    <r>
      <rPr>
        <b val="true"/>
        <sz val="9"/>
        <color rgb="FF16305B"/>
        <rFont val="Noto Sans CJK SC"/>
        <family val="2"/>
      </rPr>
      <t xml:space="preserve">现金净变动 </t>
    </r>
    <r>
      <rPr>
        <b val="true"/>
        <sz val="9"/>
        <color rgb="FF16305B"/>
        <rFont val="Arial"/>
        <family val="0"/>
        <charset val="1"/>
      </rPr>
      <t xml:space="preserve">Net change in cash</t>
    </r>
  </si>
  <si>
    <r>
      <rPr>
        <sz val="9"/>
        <color rgb="FF000000"/>
        <rFont val="Noto Sans CJK SC"/>
        <family val="2"/>
      </rPr>
      <t xml:space="preserve">期初现金 </t>
    </r>
    <r>
      <rPr>
        <sz val="9"/>
        <color rgb="FF000000"/>
        <rFont val="Arial"/>
        <family val="0"/>
        <charset val="1"/>
      </rPr>
      <t xml:space="preserve">Cash, beginning</t>
    </r>
  </si>
  <si>
    <r>
      <rPr>
        <b val="true"/>
        <sz val="9"/>
        <color rgb="FF008000"/>
        <rFont val="Noto Sans CJK SC"/>
        <family val="2"/>
      </rPr>
      <t xml:space="preserve">期末现金 </t>
    </r>
    <r>
      <rPr>
        <b val="true"/>
        <sz val="9"/>
        <color rgb="FF008000"/>
        <rFont val="Arial"/>
        <family val="0"/>
        <charset val="1"/>
      </rPr>
      <t xml:space="preserve">Cash, end</t>
    </r>
  </si>
  <si>
    <r>
      <rPr>
        <b val="true"/>
        <sz val="9"/>
        <color rgb="FF16305B"/>
        <rFont val="Noto Sans CJK SC"/>
        <family val="2"/>
      </rPr>
      <t xml:space="preserve">自由现金流（口径一：</t>
    </r>
    <r>
      <rPr>
        <b val="true"/>
        <sz val="9"/>
        <color rgb="FF16305B"/>
        <rFont val="Arial"/>
        <family val="0"/>
        <charset val="1"/>
      </rPr>
      <t xml:space="preserve">OCF − </t>
    </r>
    <r>
      <rPr>
        <b val="true"/>
        <sz val="9"/>
        <color rgb="FF16305B"/>
        <rFont val="Noto Sans CJK SC"/>
        <family val="2"/>
      </rPr>
      <t xml:space="preserve">账面资本开支）</t>
    </r>
  </si>
  <si>
    <r>
      <rPr>
        <sz val="8"/>
        <color rgb="FF404040"/>
        <rFont val="Noto Sans CJK SC"/>
        <family val="2"/>
      </rPr>
      <t xml:space="preserve">公司口径。</t>
    </r>
    <r>
      <rPr>
        <sz val="8"/>
        <color rgb="FF404040"/>
        <rFont val="Arial"/>
        <family val="0"/>
        <charset val="1"/>
      </rPr>
      <t xml:space="preserve">FY26 = $11,494M</t>
    </r>
    <r>
      <rPr>
        <sz val="8"/>
        <color rgb="FF404040"/>
        <rFont val="Noto Sans CJK SC"/>
        <family val="2"/>
      </rPr>
      <t xml:space="preserve">。但它低估了真实资本投入，因为晶圆厂在合资公司里。</t>
    </r>
  </si>
  <si>
    <r>
      <rPr>
        <b val="true"/>
        <sz val="9"/>
        <color rgb="FF16305B"/>
        <rFont val="Arial"/>
        <family val="0"/>
        <charset val="1"/>
      </rPr>
      <t xml:space="preserve">Flash Ventures </t>
    </r>
    <r>
      <rPr>
        <b val="true"/>
        <sz val="9"/>
        <color rgb="FF16305B"/>
        <rFont val="Noto Sans CJK SC"/>
        <family val="2"/>
      </rPr>
      <t xml:space="preserve">净投入</t>
    </r>
  </si>
  <si>
    <r>
      <rPr>
        <sz val="8"/>
        <color rgb="FF404040"/>
        <rFont val="Noto Sans CJK SC"/>
        <family val="2"/>
      </rPr>
      <t xml:space="preserve">向合资厂发放票据 − 回收票据。这是 </t>
    </r>
    <r>
      <rPr>
        <sz val="8"/>
        <color rgb="FF404040"/>
        <rFont val="Arial"/>
        <family val="0"/>
        <charset val="1"/>
      </rPr>
      <t xml:space="preserve">SNDK </t>
    </r>
    <r>
      <rPr>
        <sz val="8"/>
        <color rgb="FF404040"/>
        <rFont val="Noto Sans CJK SC"/>
        <family val="2"/>
      </rPr>
      <t xml:space="preserve">真正的产能投入。</t>
    </r>
  </si>
  <si>
    <r>
      <rPr>
        <b val="true"/>
        <sz val="9"/>
        <color rgb="FF16305B"/>
        <rFont val="Noto Sans CJK SC"/>
        <family val="2"/>
      </rPr>
      <t xml:space="preserve">调整后自由现金流（口径二：扣 </t>
    </r>
    <r>
      <rPr>
        <b val="true"/>
        <sz val="9"/>
        <color rgb="FF16305B"/>
        <rFont val="Arial"/>
        <family val="0"/>
        <charset val="1"/>
      </rPr>
      <t xml:space="preserve">FV </t>
    </r>
    <r>
      <rPr>
        <b val="true"/>
        <sz val="9"/>
        <color rgb="FF16305B"/>
        <rFont val="Noto Sans CJK SC"/>
        <family val="2"/>
      </rPr>
      <t xml:space="preserve">投入）</t>
    </r>
  </si>
  <si>
    <r>
      <rPr>
        <sz val="8"/>
        <color rgb="FF404040"/>
        <rFont val="Noto Sans CJK SC"/>
        <family val="2"/>
      </rPr>
      <t xml:space="preserve">★ 本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采用的口径。</t>
    </r>
    <r>
      <rPr>
        <sz val="8"/>
        <color rgb="FF404040"/>
        <rFont val="Arial"/>
        <family val="0"/>
        <charset val="1"/>
      </rPr>
      <t xml:space="preserve">FY26 = $11,219M</t>
    </r>
    <r>
      <rPr>
        <sz val="8"/>
        <color rgb="FF404040"/>
        <rFont val="Noto Sans CJK SC"/>
        <family val="2"/>
      </rPr>
      <t xml:space="preserve">，比公司口径低 </t>
    </r>
    <r>
      <rPr>
        <sz val="8"/>
        <color rgb="FF404040"/>
        <rFont val="Arial"/>
        <family val="0"/>
        <charset val="1"/>
      </rPr>
      <t xml:space="preserve">$275M</t>
    </r>
    <r>
      <rPr>
        <sz val="8"/>
        <color rgb="FF404040"/>
        <rFont val="Noto Sans CJK SC"/>
        <family val="2"/>
      </rPr>
      <t xml:space="preserve">。</t>
    </r>
  </si>
  <si>
    <r>
      <rPr>
        <b val="true"/>
        <sz val="11"/>
        <color rgb="FFFFFFFF"/>
        <rFont val="Arial"/>
        <family val="0"/>
        <charset val="1"/>
      </rPr>
      <t xml:space="preserve">06  </t>
    </r>
    <r>
      <rPr>
        <b val="true"/>
        <sz val="11"/>
        <color rgb="FFFFFFFF"/>
        <rFont val="Noto Sans CJK SC"/>
        <family val="2"/>
      </rPr>
      <t xml:space="preserve">三表勾稽校验（全部为活公式，改任一数据即时报警）</t>
    </r>
  </si>
  <si>
    <t xml:space="preserve">三表不是三张独立的表，而是同一套账的三个切面。下面五条勾稽关系把它们锁在一起：利润表的净利润是现金流量表的起点；现金流量表的期末现金必须等于资产负债表的货币资金；资产负债表必须恒等平衡；留存收益的滚动必须由净利润驱动。</t>
  </si>
  <si>
    <t xml:space="preserve">勾稽关系</t>
  </si>
  <si>
    <t xml:space="preserve">公式</t>
  </si>
  <si>
    <t xml:space="preserve">Q1</t>
  </si>
  <si>
    <t xml:space="preserve">Q2</t>
  </si>
  <si>
    <t xml:space="preserve">Q3</t>
  </si>
  <si>
    <t xml:space="preserve">Q4</t>
  </si>
  <si>
    <t xml:space="preserve">判定</t>
  </si>
  <si>
    <t xml:space="preserve">含义</t>
  </si>
  <si>
    <t xml:space="preserve">① 利润表 → 现金流量表</t>
  </si>
  <si>
    <t xml:space="preserve">现金流量表净利润 − 利润表净利润</t>
  </si>
  <si>
    <t xml:space="preserve">现金流量表以净利润为起点，两者必须完全相同</t>
  </si>
  <si>
    <t xml:space="preserve">② 现金流量表 → 资产负债表</t>
  </si>
  <si>
    <t xml:space="preserve">现金流量表期末现金 − 资产负债表货币资金</t>
  </si>
  <si>
    <t xml:space="preserve">n/a</t>
  </si>
  <si>
    <r>
      <rPr>
        <sz val="8"/>
        <color rgb="FF404040"/>
        <rFont val="Noto Sans CJK SC"/>
        <family val="2"/>
      </rPr>
      <t xml:space="preserve">期末现金必须等于资产负债表上的货币资金（仅 </t>
    </r>
    <r>
      <rPr>
        <sz val="8"/>
        <color rgb="FF404040"/>
        <rFont val="Arial"/>
        <family val="0"/>
        <charset val="1"/>
      </rPr>
      <t xml:space="preserve">Q2/Q3/Q4 </t>
    </r>
    <r>
      <rPr>
        <sz val="8"/>
        <color rgb="FF404040"/>
        <rFont val="Noto Sans CJK SC"/>
        <family val="2"/>
      </rPr>
      <t xml:space="preserve">可比）</t>
    </r>
  </si>
  <si>
    <t xml:space="preserve">③ 资产负债表恒等</t>
  </si>
  <si>
    <r>
      <rPr>
        <sz val="8"/>
        <color rgb="FF404040"/>
        <rFont val="Noto Sans CJK SC"/>
        <family val="2"/>
      </rPr>
      <t xml:space="preserve">资产总计 − </t>
    </r>
    <r>
      <rPr>
        <sz val="8"/>
        <color rgb="FF404040"/>
        <rFont val="Arial"/>
        <family val="0"/>
        <charset val="1"/>
      </rPr>
      <t xml:space="preserve">(</t>
    </r>
    <r>
      <rPr>
        <sz val="8"/>
        <color rgb="FF404040"/>
        <rFont val="Noto Sans CJK SC"/>
        <family val="2"/>
      </rPr>
      <t xml:space="preserve">负债合计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权益合计</t>
    </r>
    <r>
      <rPr>
        <sz val="8"/>
        <color rgb="FF404040"/>
        <rFont val="Arial"/>
        <family val="0"/>
        <charset val="1"/>
      </rPr>
      <t xml:space="preserve">)</t>
    </r>
  </si>
  <si>
    <r>
      <rPr>
        <sz val="8"/>
        <color rgb="FF404040"/>
        <rFont val="Noto Sans CJK SC"/>
        <family val="2"/>
      </rPr>
      <t xml:space="preserve">会计恒等式，任何时点都必须为 </t>
    </r>
    <r>
      <rPr>
        <sz val="8"/>
        <color rgb="FF404040"/>
        <rFont val="Arial"/>
        <family val="0"/>
        <charset val="1"/>
      </rPr>
      <t xml:space="preserve">0</t>
    </r>
  </si>
  <si>
    <t xml:space="preserve">④ 三大活动 → 现金净变动</t>
  </si>
  <si>
    <r>
      <rPr>
        <sz val="8"/>
        <color rgb="FF404040"/>
        <rFont val="Noto Sans CJK SC"/>
        <family val="2"/>
      </rPr>
      <t xml:space="preserve">经营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投资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筹资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汇率 − 现金净变动</t>
    </r>
  </si>
  <si>
    <t xml:space="preserve">现金流量表内部自洽</t>
  </si>
  <si>
    <t xml:space="preserve">⑤ 利润表 → 资产负债表</t>
  </si>
  <si>
    <r>
      <rPr>
        <sz val="8"/>
        <color rgb="FF404040"/>
        <rFont val="Noto Sans CJK SC"/>
        <family val="2"/>
      </rPr>
      <t xml:space="preserve">期末留存收益 − </t>
    </r>
    <r>
      <rPr>
        <sz val="8"/>
        <color rgb="FF404040"/>
        <rFont val="Arial"/>
        <family val="0"/>
        <charset val="1"/>
      </rPr>
      <t xml:space="preserve">(</t>
    </r>
    <r>
      <rPr>
        <sz val="8"/>
        <color rgb="FF404040"/>
        <rFont val="Noto Sans CJK SC"/>
        <family val="2"/>
      </rPr>
      <t xml:space="preserve">期初留存收益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累计净利润</t>
    </r>
    <r>
      <rPr>
        <sz val="8"/>
        <color rgb="FF404040"/>
        <rFont val="Arial"/>
        <family val="0"/>
        <charset val="1"/>
      </rPr>
      <t xml:space="preserve">)</t>
    </r>
  </si>
  <si>
    <t xml:space="preserve">留存收益只能由净利润驱动（本期无分红）</t>
  </si>
  <si>
    <r>
      <rPr>
        <sz val="9"/>
        <color rgb="FF3D3D3D"/>
        <rFont val="Noto Sans CJK SC"/>
        <family val="2"/>
      </rPr>
      <t xml:space="preserve">第 ⑤ 条的 </t>
    </r>
    <r>
      <rPr>
        <sz val="9"/>
        <color rgb="FF3D3D3D"/>
        <rFont val="Arial"/>
        <family val="0"/>
        <charset val="1"/>
      </rPr>
      <t xml:space="preserve">Q4 </t>
    </r>
    <r>
      <rPr>
        <sz val="9"/>
        <color rgb="FF3D3D3D"/>
        <rFont val="Noto Sans CJK SC"/>
        <family val="2"/>
      </rPr>
      <t xml:space="preserve">列包含库存股影响：</t>
    </r>
    <r>
      <rPr>
        <sz val="9"/>
        <color rgb="FF3D3D3D"/>
        <rFont val="Arial"/>
        <family val="0"/>
        <charset val="1"/>
      </rPr>
      <t xml:space="preserve">FY26 Q4 </t>
    </r>
    <r>
      <rPr>
        <sz val="9"/>
        <color rgb="FF3D3D3D"/>
        <rFont val="Noto Sans CJK SC"/>
        <family val="2"/>
      </rPr>
      <t xml:space="preserve">回购了 </t>
    </r>
    <r>
      <rPr>
        <sz val="9"/>
        <color rgb="FF3D3D3D"/>
        <rFont val="Arial"/>
        <family val="0"/>
        <charset val="1"/>
      </rPr>
      <t xml:space="preserve">$4,524M </t>
    </r>
    <r>
      <rPr>
        <sz val="9"/>
        <color rgb="FF3D3D3D"/>
        <rFont val="Noto Sans CJK SC"/>
        <family val="2"/>
      </rPr>
      <t xml:space="preserve">股票（计入库存股，不影响留存收益），所以留存收益的滚动仍然只由净利润驱动，但股东权益合计的变动需要同时看库存股与资本公积。</t>
    </r>
  </si>
  <si>
    <r>
      <rPr>
        <b val="true"/>
        <sz val="11"/>
        <color rgb="FFFFFFFF"/>
        <rFont val="Arial"/>
        <family val="0"/>
        <charset val="1"/>
      </rPr>
      <t xml:space="preserve">07  </t>
    </r>
    <r>
      <rPr>
        <b val="true"/>
        <sz val="11"/>
        <color rgb="FFFFFFFF"/>
        <rFont val="Noto Sans CJK SC"/>
        <family val="2"/>
      </rPr>
      <t xml:space="preserve">营运资本与资本强度：三张 </t>
    </r>
    <r>
      <rPr>
        <b val="true"/>
        <sz val="11"/>
        <color rgb="FFFFFFFF"/>
        <rFont val="Arial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表的假设从这里来</t>
    </r>
  </si>
  <si>
    <r>
      <rPr>
        <sz val="9"/>
        <color rgb="FF3D3D3D"/>
        <rFont val="Noto Sans CJK SC"/>
        <family val="2"/>
      </rPr>
      <t xml:space="preserve">做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时最容易出错的两项就是资本开支和营运资本。</t>
    </r>
    <r>
      <rPr>
        <sz val="9"/>
        <color rgb="FF3D3D3D"/>
        <rFont val="Arial"/>
        <family val="0"/>
        <charset val="1"/>
      </rPr>
      <t xml:space="preserve">SNDK </t>
    </r>
    <r>
      <rPr>
        <sz val="9"/>
        <color rgb="FF3D3D3D"/>
        <rFont val="Noto Sans CJK SC"/>
        <family val="2"/>
      </rPr>
      <t xml:space="preserve">尤其特殊：它的晶圆厂装在与铠侠合资的 </t>
    </r>
    <r>
      <rPr>
        <sz val="9"/>
        <color rgb="FF3D3D3D"/>
        <rFont val="Arial"/>
        <family val="0"/>
        <charset val="1"/>
      </rPr>
      <t xml:space="preserve">Flash Ventures </t>
    </r>
    <r>
      <rPr>
        <sz val="9"/>
        <color rgb="FF3D3D3D"/>
        <rFont val="Noto Sans CJK SC"/>
        <family val="2"/>
      </rPr>
      <t xml:space="preserve">里（按权益法核算，双方已于 </t>
    </r>
    <r>
      <rPr>
        <sz val="9"/>
        <color rgb="FF3D3D3D"/>
        <rFont val="Arial"/>
        <family val="0"/>
        <charset val="1"/>
      </rPr>
      <t xml:space="preserve">2026 </t>
    </r>
    <r>
      <rPr>
        <sz val="9"/>
        <color rgb="FF3D3D3D"/>
        <rFont val="Noto Sans CJK SC"/>
        <family val="2"/>
      </rPr>
      <t xml:space="preserve">年把合资框架延长到 </t>
    </r>
    <r>
      <rPr>
        <sz val="9"/>
        <color rgb="FF3D3D3D"/>
        <rFont val="Arial"/>
        <family val="0"/>
        <charset val="1"/>
      </rPr>
      <t xml:space="preserve">2034 </t>
    </r>
    <r>
      <rPr>
        <sz val="9"/>
        <color rgb="FF3D3D3D"/>
        <rFont val="Noto Sans CJK SC"/>
        <family val="2"/>
      </rPr>
      <t xml:space="preserve">年 </t>
    </r>
    <r>
      <rPr>
        <sz val="9"/>
        <color rgb="FF3D3D3D"/>
        <rFont val="Arial"/>
        <family val="0"/>
        <charset val="1"/>
      </rPr>
      <t xml:space="preserve">12 </t>
    </r>
    <r>
      <rPr>
        <sz val="9"/>
        <color rgb="FF3D3D3D"/>
        <rFont val="Noto Sans CJK SC"/>
        <family val="2"/>
      </rPr>
      <t xml:space="preserve">月），所以账面折旧和资本开支都极低，真实产能投入走的是「向 </t>
    </r>
    <r>
      <rPr>
        <sz val="9"/>
        <color rgb="FF3D3D3D"/>
        <rFont val="Arial"/>
        <family val="0"/>
        <charset val="1"/>
      </rPr>
      <t xml:space="preserve">Flash Ventures </t>
    </r>
    <r>
      <rPr>
        <sz val="9"/>
        <color rgb="FF3D3D3D"/>
        <rFont val="Noto Sans CJK SC"/>
        <family val="2"/>
      </rPr>
      <t xml:space="preserve">发放票据」这条投资科目。下面这张表用活公式把历史读数算出来，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表里的假设必须能在这里找到出处。</t>
    </r>
  </si>
  <si>
    <t xml:space="preserve">指标</t>
  </si>
  <si>
    <r>
      <rPr>
        <b val="true"/>
        <sz val="9"/>
        <color rgb="FF16305B"/>
        <rFont val="Arial"/>
        <family val="0"/>
        <charset val="1"/>
      </rPr>
      <t xml:space="preserve">FY25</t>
    </r>
    <r>
      <rPr>
        <b val="true"/>
        <sz val="9"/>
        <color rgb="FF16305B"/>
        <rFont val="Noto Sans CJK SC"/>
        <family val="2"/>
      </rPr>
      <t xml:space="preserve">末
</t>
    </r>
    <r>
      <rPr>
        <b val="true"/>
        <sz val="9"/>
        <color rgb="FF16305B"/>
        <rFont val="Arial"/>
        <family val="0"/>
        <charset val="1"/>
      </rPr>
      <t xml:space="preserve">(</t>
    </r>
    <r>
      <rPr>
        <b val="true"/>
        <sz val="9"/>
        <color rgb="FF16305B"/>
        <rFont val="Noto Sans CJK SC"/>
        <family val="2"/>
      </rPr>
      <t xml:space="preserve">季度数按全年</t>
    </r>
    <r>
      <rPr>
        <b val="true"/>
        <sz val="9"/>
        <color rgb="FF16305B"/>
        <rFont val="Arial"/>
        <family val="0"/>
        <charset val="1"/>
      </rPr>
      <t xml:space="preserve">÷4</t>
    </r>
    <r>
      <rPr>
        <b val="true"/>
        <sz val="9"/>
        <color rgb="FF16305B"/>
        <rFont val="Noto Sans CJK SC"/>
        <family val="2"/>
      </rPr>
      <t xml:space="preserve">近似</t>
    </r>
    <r>
      <rPr>
        <b val="true"/>
        <sz val="9"/>
        <color rgb="FF16305B"/>
        <rFont val="Arial"/>
        <family val="0"/>
        <charset val="1"/>
      </rPr>
      <t xml:space="preserve">)</t>
    </r>
  </si>
  <si>
    <r>
      <rPr>
        <b val="true"/>
        <sz val="9"/>
        <color rgb="FF16305B"/>
        <rFont val="Arial"/>
        <family val="0"/>
        <charset val="1"/>
      </rPr>
      <t xml:space="preserve">FY26 Q2</t>
    </r>
    <r>
      <rPr>
        <b val="true"/>
        <sz val="9"/>
        <color rgb="FF16305B"/>
        <rFont val="Noto Sans CJK SC"/>
        <family val="2"/>
      </rPr>
      <t xml:space="preserve">末</t>
    </r>
  </si>
  <si>
    <r>
      <rPr>
        <b val="true"/>
        <sz val="9"/>
        <color rgb="FF16305B"/>
        <rFont val="Arial"/>
        <family val="0"/>
        <charset val="1"/>
      </rPr>
      <t xml:space="preserve">FY26 Q3</t>
    </r>
    <r>
      <rPr>
        <b val="true"/>
        <sz val="9"/>
        <color rgb="FF16305B"/>
        <rFont val="Noto Sans CJK SC"/>
        <family val="2"/>
      </rPr>
      <t xml:space="preserve">末</t>
    </r>
  </si>
  <si>
    <r>
      <rPr>
        <b val="true"/>
        <sz val="9"/>
        <color rgb="FF16305B"/>
        <rFont val="Arial"/>
        <family val="0"/>
        <charset val="1"/>
      </rPr>
      <t xml:space="preserve">FY26 Q4</t>
    </r>
    <r>
      <rPr>
        <b val="true"/>
        <sz val="9"/>
        <color rgb="FF16305B"/>
        <rFont val="Noto Sans CJK SC"/>
        <family val="2"/>
      </rPr>
      <t xml:space="preserve">末</t>
    </r>
  </si>
  <si>
    <r>
      <rPr>
        <b val="true"/>
        <sz val="9"/>
        <color rgb="FF16305B"/>
        <rFont val="Arial"/>
        <family val="0"/>
        <charset val="1"/>
      </rPr>
      <t xml:space="preserve">FY2026 </t>
    </r>
    <r>
      <rPr>
        <b val="true"/>
        <sz val="9"/>
        <color rgb="FF16305B"/>
        <rFont val="Noto Sans CJK SC"/>
        <family val="2"/>
      </rPr>
      <t xml:space="preserve">全年</t>
    </r>
  </si>
  <si>
    <t xml:space="preserve">读法</t>
  </si>
  <si>
    <r>
      <rPr>
        <b val="true"/>
        <sz val="9"/>
        <color rgb="FF16305B"/>
        <rFont val="Noto Sans CJK SC"/>
        <family val="2"/>
      </rPr>
      <t xml:space="preserve">应收账款周转天数 </t>
    </r>
    <r>
      <rPr>
        <b val="true"/>
        <sz val="9"/>
        <color rgb="FF16305B"/>
        <rFont val="Arial"/>
        <family val="0"/>
        <charset val="1"/>
      </rPr>
      <t xml:space="preserve">DSO</t>
    </r>
  </si>
  <si>
    <r>
      <rPr>
        <sz val="8"/>
        <color rgb="FF404040"/>
        <rFont val="Noto Sans CJK SC"/>
        <family val="2"/>
      </rPr>
      <t xml:space="preserve">＝ 应收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当季收入 </t>
    </r>
    <r>
      <rPr>
        <sz val="8"/>
        <color rgb="FF404040"/>
        <rFont val="Arial"/>
        <family val="0"/>
        <charset val="1"/>
      </rPr>
      <t xml:space="preserve">× 91 </t>
    </r>
    <r>
      <rPr>
        <sz val="8"/>
        <color rgb="FF404040"/>
        <rFont val="Noto Sans CJK SC"/>
        <family val="2"/>
      </rPr>
      <t xml:space="preserve">天。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列因工作簿内无单季数，分母用 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全年 </t>
    </r>
    <r>
      <rPr>
        <sz val="8"/>
        <color rgb="FF404040"/>
        <rFont val="Arial"/>
        <family val="0"/>
        <charset val="1"/>
      </rPr>
      <t xml:space="preserve">÷ 4 </t>
    </r>
    <r>
      <rPr>
        <sz val="8"/>
        <color rgb="FF404040"/>
        <rFont val="Noto Sans CJK SC"/>
        <family val="2"/>
      </rPr>
      <t xml:space="preserve">近似（实际 </t>
    </r>
    <r>
      <rPr>
        <sz val="8"/>
        <color rgb="FF404040"/>
        <rFont val="Arial"/>
        <family val="0"/>
        <charset val="1"/>
      </rPr>
      <t xml:space="preserve">FY25 Q4 </t>
    </r>
    <r>
      <rPr>
        <sz val="8"/>
        <color rgb="FF404040"/>
        <rFont val="Noto Sans CJK SC"/>
        <family val="2"/>
      </rPr>
      <t xml:space="preserve">收入为 </t>
    </r>
    <r>
      <rPr>
        <sz val="8"/>
        <color rgb="FF404040"/>
        <rFont val="Arial"/>
        <family val="0"/>
        <charset val="1"/>
      </rPr>
      <t xml:space="preserve">$1,901M</t>
    </r>
    <r>
      <rPr>
        <sz val="8"/>
        <color rgb="FF404040"/>
        <rFont val="Noto Sans CJK SC"/>
        <family val="2"/>
      </rPr>
      <t xml:space="preserve">，近似值 </t>
    </r>
    <r>
      <rPr>
        <sz val="8"/>
        <color rgb="FF404040"/>
        <rFont val="Arial"/>
        <family val="0"/>
        <charset val="1"/>
      </rPr>
      <t xml:space="preserve">$1,839M</t>
    </r>
    <r>
      <rPr>
        <sz val="8"/>
        <color rgb="FF404040"/>
        <rFont val="Noto Sans CJK SC"/>
        <family val="2"/>
      </rPr>
      <t xml:space="preserve">）</t>
    </r>
  </si>
  <si>
    <r>
      <rPr>
        <b val="true"/>
        <sz val="9"/>
        <color rgb="FF16305B"/>
        <rFont val="Noto Sans CJK SC"/>
        <family val="2"/>
      </rPr>
      <t xml:space="preserve">存货周转天数 </t>
    </r>
    <r>
      <rPr>
        <b val="true"/>
        <sz val="9"/>
        <color rgb="FF16305B"/>
        <rFont val="Arial"/>
        <family val="0"/>
        <charset val="1"/>
      </rPr>
      <t xml:space="preserve">DIO</t>
    </r>
  </si>
  <si>
    <r>
      <rPr>
        <sz val="8"/>
        <color rgb="FF404040"/>
        <rFont val="Noto Sans CJK SC"/>
        <family val="2"/>
      </rPr>
      <t xml:space="preserve">＝ 存货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当季营业成本 </t>
    </r>
    <r>
      <rPr>
        <sz val="8"/>
        <color rgb="FF404040"/>
        <rFont val="Arial"/>
        <family val="0"/>
        <charset val="1"/>
      </rPr>
      <t xml:space="preserve">× 91 </t>
    </r>
    <r>
      <rPr>
        <sz val="8"/>
        <color rgb="FF404040"/>
        <rFont val="Noto Sans CJK SC"/>
        <family val="2"/>
      </rPr>
      <t xml:space="preserve">天。★ 天数看起来暴涨，是因为分母（成本）被超级周期压扁了，不是存货失控</t>
    </r>
  </si>
  <si>
    <r>
      <rPr>
        <b val="true"/>
        <sz val="9"/>
        <color rgb="FF16305B"/>
        <rFont val="Noto Sans CJK SC"/>
        <family val="2"/>
      </rPr>
      <t xml:space="preserve">应付账款周转天数 </t>
    </r>
    <r>
      <rPr>
        <b val="true"/>
        <sz val="9"/>
        <color rgb="FF16305B"/>
        <rFont val="Arial"/>
        <family val="0"/>
        <charset val="1"/>
      </rPr>
      <t xml:space="preserve">DPO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</si>
  <si>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(</t>
    </r>
    <r>
      <rPr>
        <sz val="8"/>
        <color rgb="FF404040"/>
        <rFont val="Noto Sans CJK SC"/>
        <family val="2"/>
      </rPr>
      <t xml:space="preserve">应付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应付关联方</t>
    </r>
    <r>
      <rPr>
        <sz val="8"/>
        <color rgb="FF404040"/>
        <rFont val="Arial"/>
        <family val="0"/>
        <charset val="1"/>
      </rPr>
      <t xml:space="preserve">) ÷ </t>
    </r>
    <r>
      <rPr>
        <sz val="8"/>
        <color rgb="FF404040"/>
        <rFont val="Noto Sans CJK SC"/>
        <family val="2"/>
      </rPr>
      <t xml:space="preserve">当季营业成本 </t>
    </r>
    <r>
      <rPr>
        <sz val="8"/>
        <color rgb="FF404040"/>
        <rFont val="Arial"/>
        <family val="0"/>
        <charset val="1"/>
      </rPr>
      <t xml:space="preserve">× 91 </t>
    </r>
    <r>
      <rPr>
        <sz val="8"/>
        <color rgb="FF404040"/>
        <rFont val="Noto Sans CJK SC"/>
        <family val="2"/>
      </rPr>
      <t xml:space="preserve">天</t>
    </r>
  </si>
  <si>
    <r>
      <rPr>
        <b val="true"/>
        <sz val="9"/>
        <color rgb="FF16305B"/>
        <rFont val="Noto Sans CJK SC"/>
        <family val="2"/>
      </rPr>
      <t xml:space="preserve">营运资本余额 </t>
    </r>
    <r>
      <rPr>
        <b val="true"/>
        <sz val="9"/>
        <color rgb="FF16305B"/>
        <rFont val="Arial"/>
        <family val="0"/>
        <charset val="1"/>
      </rPr>
      <t xml:space="preserve">NWC</t>
    </r>
  </si>
  <si>
    <r>
      <rPr>
        <sz val="8"/>
        <color rgb="FF404040"/>
        <rFont val="Noto Sans CJK SC"/>
        <family val="2"/>
      </rPr>
      <t xml:space="preserve">＝ 应收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存货 − 应付 − 应付关联方。这是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里 </t>
    </r>
    <r>
      <rPr>
        <sz val="8"/>
        <color rgb="FF404040"/>
        <rFont val="Arial"/>
        <family val="0"/>
        <charset val="1"/>
      </rPr>
      <t xml:space="preserve">ΔNWC </t>
    </r>
    <r>
      <rPr>
        <sz val="8"/>
        <color rgb="FF404040"/>
        <rFont val="Noto Sans CJK SC"/>
        <family val="2"/>
      </rPr>
      <t xml:space="preserve">的口径</t>
    </r>
  </si>
  <si>
    <t xml:space="preserve">　当季年化收入</t>
  </si>
  <si>
    <r>
      <rPr>
        <sz val="8"/>
        <color rgb="FF404040"/>
        <rFont val="Noto Sans CJK SC"/>
        <family val="2"/>
      </rPr>
      <t xml:space="preserve">＝ 当季收入 </t>
    </r>
    <r>
      <rPr>
        <sz val="8"/>
        <color rgb="FF404040"/>
        <rFont val="Arial"/>
        <family val="0"/>
        <charset val="1"/>
      </rPr>
      <t xml:space="preserve">× 4</t>
    </r>
  </si>
  <si>
    <r>
      <rPr>
        <b val="true"/>
        <sz val="9"/>
        <color rgb="FFB3202C"/>
        <rFont val="Arial"/>
        <family val="0"/>
        <charset val="1"/>
      </rPr>
      <t xml:space="preserve">★ NWC ÷ </t>
    </r>
    <r>
      <rPr>
        <b val="true"/>
        <sz val="9"/>
        <color rgb="FFB3202C"/>
        <rFont val="Noto Sans CJK SC"/>
        <family val="2"/>
      </rPr>
      <t xml:space="preserve">年化收入</t>
    </r>
  </si>
  <si>
    <r>
      <rPr>
        <sz val="8"/>
        <color rgb="FF404040"/>
        <rFont val="Arial"/>
        <family val="0"/>
        <charset val="1"/>
      </rPr>
      <t xml:space="preserve">★★ DCF </t>
    </r>
    <r>
      <rPr>
        <sz val="8"/>
        <color rgb="FF404040"/>
        <rFont val="Noto Sans CJK SC"/>
        <family val="2"/>
      </rPr>
      <t xml:space="preserve">控制台「营运资本占年化收入比」的直接出处。近三个季度稳定在 </t>
    </r>
    <r>
      <rPr>
        <sz val="8"/>
        <color rgb="FF404040"/>
        <rFont val="Arial"/>
        <family val="0"/>
        <charset val="1"/>
      </rPr>
      <t xml:space="preserve">17%–19%</t>
    </r>
    <r>
      <rPr>
        <sz val="8"/>
        <color rgb="FF404040"/>
        <rFont val="Noto Sans CJK SC"/>
        <family val="2"/>
      </rPr>
      <t xml:space="preserve">，</t>
    </r>
    <r>
      <rPr>
        <sz val="8"/>
        <color rgb="FF404040"/>
        <rFont val="Arial"/>
        <family val="0"/>
        <charset val="1"/>
      </rPr>
      <t xml:space="preserve">FY25Q4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31% </t>
    </r>
    <r>
      <rPr>
        <sz val="8"/>
        <color rgb="FF404040"/>
        <rFont val="Noto Sans CJK SC"/>
        <family val="2"/>
      </rPr>
      <t xml:space="preserve">是收入基数极低造成的</t>
    </r>
  </si>
  <si>
    <r>
      <rPr>
        <b val="true"/>
        <sz val="9"/>
        <color rgb="FF16305B"/>
        <rFont val="Noto Sans CJK SC"/>
        <family val="2"/>
      </rPr>
      <t xml:space="preserve">自有资本开支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</si>
  <si>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仅 </t>
    </r>
    <r>
      <rPr>
        <sz val="8"/>
        <color rgb="FF404040"/>
        <rFont val="Arial"/>
        <family val="0"/>
        <charset val="1"/>
      </rPr>
      <t xml:space="preserve">0.87%</t>
    </r>
    <r>
      <rPr>
        <sz val="8"/>
        <color rgb="FF404040"/>
        <rFont val="Noto Sans CJK SC"/>
        <family val="2"/>
      </rPr>
      <t xml:space="preserve">（</t>
    </r>
    <r>
      <rPr>
        <sz val="8"/>
        <color rgb="FF404040"/>
        <rFont val="Arial"/>
        <family val="0"/>
        <charset val="1"/>
      </rPr>
      <t xml:space="preserve">$177M</t>
    </r>
    <r>
      <rPr>
        <sz val="8"/>
        <color rgb="FF404040"/>
        <rFont val="Noto Sans CJK SC"/>
        <family val="2"/>
      </rPr>
      <t xml:space="preserve">）。这个数字低到不正常，因为 </t>
    </r>
    <r>
      <rPr>
        <sz val="8"/>
        <color rgb="FF404040"/>
        <rFont val="Arial"/>
        <family val="0"/>
        <charset val="1"/>
      </rPr>
      <t xml:space="preserve">12 </t>
    </r>
    <r>
      <rPr>
        <sz val="8"/>
        <color rgb="FF404040"/>
        <rFont val="Noto Sans CJK SC"/>
        <family val="2"/>
      </rPr>
      <t xml:space="preserve">英寸晶圆厂不在 </t>
    </r>
    <r>
      <rPr>
        <sz val="8"/>
        <color rgb="FF404040"/>
        <rFont val="Arial"/>
        <family val="0"/>
        <charset val="1"/>
      </rPr>
      <t xml:space="preserve">SNDK </t>
    </r>
    <r>
      <rPr>
        <sz val="8"/>
        <color rgb="FF404040"/>
        <rFont val="Noto Sans CJK SC"/>
        <family val="2"/>
      </rPr>
      <t xml:space="preserve">表内</t>
    </r>
  </si>
  <si>
    <r>
      <rPr>
        <b val="true"/>
        <sz val="9"/>
        <color rgb="FF16305B"/>
        <rFont val="Arial"/>
        <family val="0"/>
        <charset val="1"/>
      </rPr>
      <t xml:space="preserve">Flash Ventures </t>
    </r>
    <r>
      <rPr>
        <b val="true"/>
        <sz val="9"/>
        <color rgb="FF16305B"/>
        <rFont val="Noto Sans CJK SC"/>
        <family val="2"/>
      </rPr>
      <t xml:space="preserve">净投入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</si>
  <si>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sz val="8"/>
        <color rgb="FF404040"/>
        <rFont val="Arial"/>
        <family val="0"/>
        <charset val="1"/>
      </rPr>
      <t xml:space="preserve">★ FY26 </t>
    </r>
    <r>
      <rPr>
        <sz val="8"/>
        <color rgb="FF404040"/>
        <rFont val="Noto Sans CJK SC"/>
        <family val="2"/>
      </rPr>
      <t xml:space="preserve">＝ 发放 </t>
    </r>
    <r>
      <rPr>
        <sz val="8"/>
        <color rgb="FF404040"/>
        <rFont val="Arial"/>
        <family val="0"/>
        <charset val="1"/>
      </rPr>
      <t xml:space="preserve">462 − </t>
    </r>
    <r>
      <rPr>
        <sz val="8"/>
        <color rgb="FF404040"/>
        <rFont val="Noto Sans CJK SC"/>
        <family val="2"/>
      </rPr>
      <t xml:space="preserve">回收 </t>
    </r>
    <r>
      <rPr>
        <sz val="8"/>
        <color rgb="FF404040"/>
        <rFont val="Arial"/>
        <family val="0"/>
        <charset val="1"/>
      </rPr>
      <t xml:space="preserve">187 </t>
    </r>
    <r>
      <rPr>
        <sz val="8"/>
        <color rgb="FF404040"/>
        <rFont val="Noto Sans CJK SC"/>
        <family val="2"/>
      </rPr>
      <t xml:space="preserve">＝ 净流出 </t>
    </r>
    <r>
      <rPr>
        <sz val="8"/>
        <color rgb="FF404040"/>
        <rFont val="Arial"/>
        <family val="0"/>
        <charset val="1"/>
      </rPr>
      <t xml:space="preserve">275</t>
    </r>
    <r>
      <rPr>
        <sz val="8"/>
        <color rgb="FF404040"/>
        <rFont val="Noto Sans CJK SC"/>
        <family val="2"/>
      </rPr>
      <t xml:space="preserve">，占收入 </t>
    </r>
    <r>
      <rPr>
        <sz val="8"/>
        <color rgb="FF404040"/>
        <rFont val="Arial"/>
        <family val="0"/>
        <charset val="1"/>
      </rPr>
      <t xml:space="preserve">1.36%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是净流入（合资厂在还钱），所以历史均值参考价值有限</t>
    </r>
  </si>
  <si>
    <r>
      <rPr>
        <b val="true"/>
        <sz val="9"/>
        <color rgb="FFB3202C"/>
        <rFont val="Noto Sans CJK SC"/>
        <family val="2"/>
      </rPr>
      <t xml:space="preserve">★ 合计资本强度 </t>
    </r>
    <r>
      <rPr>
        <b val="true"/>
        <sz val="9"/>
        <color rgb="FFB3202C"/>
        <rFont val="Arial"/>
        <family val="0"/>
        <charset val="1"/>
      </rPr>
      <t xml:space="preserve">÷ </t>
    </r>
    <r>
      <rPr>
        <b val="true"/>
        <sz val="9"/>
        <color rgb="FFB3202C"/>
        <rFont val="Noto Sans CJK SC"/>
        <family val="2"/>
      </rPr>
      <t xml:space="preserve">收入</t>
    </r>
  </si>
  <si>
    <r>
      <rPr>
        <sz val="8"/>
        <color rgb="FF404040"/>
        <rFont val="Arial"/>
        <family val="0"/>
        <charset val="1"/>
      </rPr>
      <t xml:space="preserve">★★ FY26 </t>
    </r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2.23%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里三个情形分别用 </t>
    </r>
    <r>
      <rPr>
        <sz val="8"/>
        <color rgb="FF404040"/>
        <rFont val="Arial"/>
        <family val="0"/>
        <charset val="1"/>
      </rPr>
      <t xml:space="preserve">5.5% / 5.0% / 4.5%</t>
    </r>
    <r>
      <rPr>
        <sz val="8"/>
        <color rgb="FF404040"/>
        <rFont val="Noto Sans CJK SC"/>
        <family val="2"/>
      </rPr>
      <t xml:space="preserve">，显著高于历史——因为公司在 </t>
    </r>
    <r>
      <rPr>
        <sz val="8"/>
        <color rgb="FF404040"/>
        <rFont val="Arial"/>
        <family val="0"/>
        <charset val="1"/>
      </rPr>
      <t xml:space="preserve">Q4 </t>
    </r>
    <r>
      <rPr>
        <sz val="8"/>
        <color rgb="FF404040"/>
        <rFont val="Noto Sans CJK SC"/>
        <family val="2"/>
      </rPr>
      <t xml:space="preserve">电话会明确表示为 </t>
    </r>
    <r>
      <rPr>
        <sz val="8"/>
        <color rgb="FF404040"/>
        <rFont val="Arial"/>
        <family val="0"/>
        <charset val="1"/>
      </rPr>
      <t xml:space="preserve">BiCS8/BiCS10 </t>
    </r>
    <r>
      <rPr>
        <sz val="8"/>
        <color rgb="FF404040"/>
        <rFont val="Noto Sans CJK SC"/>
        <family val="2"/>
      </rPr>
      <t xml:space="preserve">扩产要提高资本开支，且合资厂 </t>
    </r>
    <r>
      <rPr>
        <sz val="8"/>
        <color rgb="FF404040"/>
        <rFont val="Arial"/>
        <family val="0"/>
        <charset val="1"/>
      </rPr>
      <t xml:space="preserve">K2 </t>
    </r>
    <r>
      <rPr>
        <sz val="8"/>
        <color rgb="FF404040"/>
        <rFont val="Noto Sans CJK SC"/>
        <family val="2"/>
      </rPr>
      <t xml:space="preserve">新厂已开始量产 </t>
    </r>
    <r>
      <rPr>
        <sz val="8"/>
        <color rgb="FF404040"/>
        <rFont val="Arial"/>
        <family val="0"/>
        <charset val="1"/>
      </rPr>
      <t xml:space="preserve">10 </t>
    </r>
    <r>
      <rPr>
        <sz val="8"/>
        <color rgb="FF404040"/>
        <rFont val="Noto Sans CJK SC"/>
        <family val="2"/>
      </rPr>
      <t xml:space="preserve">代产品。把历史 </t>
    </r>
    <r>
      <rPr>
        <sz val="8"/>
        <color rgb="FF404040"/>
        <rFont val="Arial"/>
        <family val="0"/>
        <charset val="1"/>
      </rPr>
      <t xml:space="preserve">2.2% </t>
    </r>
    <r>
      <rPr>
        <sz val="8"/>
        <color rgb="FF404040"/>
        <rFont val="Noto Sans CJK SC"/>
        <family val="2"/>
      </rPr>
      <t xml:space="preserve">直接外推会高估自由现金流</t>
    </r>
  </si>
  <si>
    <r>
      <rPr>
        <b val="true"/>
        <sz val="9"/>
        <color rgb="FF16305B"/>
        <rFont val="Noto Sans CJK SC"/>
        <family val="2"/>
      </rPr>
      <t xml:space="preserve">折旧摊销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</si>
  <si>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0.74%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沿用这个比例。折旧远低于资本开支，说明大部分资产不在表内</t>
    </r>
  </si>
  <si>
    <r>
      <rPr>
        <b val="true"/>
        <sz val="9"/>
        <color rgb="FF16305B"/>
        <rFont val="Noto Sans CJK SC"/>
        <family val="2"/>
      </rPr>
      <t xml:space="preserve">客户预付款余额（</t>
    </r>
    <r>
      <rPr>
        <b val="true"/>
        <sz val="9"/>
        <color rgb="FF16305B"/>
        <rFont val="Arial"/>
        <family val="0"/>
        <charset val="1"/>
      </rPr>
      <t xml:space="preserve">NBM</t>
    </r>
    <r>
      <rPr>
        <b val="true"/>
        <sz val="9"/>
        <color rgb="FF16305B"/>
        <rFont val="Noto Sans CJK SC"/>
        <family val="2"/>
      </rPr>
      <t xml:space="preserve">）</t>
    </r>
  </si>
  <si>
    <r>
      <rPr>
        <sz val="8"/>
        <color rgb="FF404040"/>
        <rFont val="Arial"/>
        <family val="0"/>
        <charset val="1"/>
      </rPr>
      <t xml:space="preserve">FY26 Q4</t>
    </r>
    <r>
      <rPr>
        <sz val="8"/>
        <color rgb="FF404040"/>
        <rFont val="Noto Sans CJK SC"/>
        <family val="2"/>
      </rPr>
      <t xml:space="preserve">末 ＝ </t>
    </r>
    <r>
      <rPr>
        <sz val="8"/>
        <color rgb="FF404040"/>
        <rFont val="Arial"/>
        <family val="0"/>
        <charset val="1"/>
      </rPr>
      <t xml:space="preserve">2,742</t>
    </r>
    <r>
      <rPr>
        <sz val="8"/>
        <color rgb="FF404040"/>
        <rFont val="Noto Sans CJK SC"/>
        <family val="2"/>
      </rPr>
      <t xml:space="preserve">（退款负债 </t>
    </r>
    <r>
      <rPr>
        <sz val="8"/>
        <color rgb="FF404040"/>
        <rFont val="Arial"/>
        <family val="0"/>
        <charset val="1"/>
      </rPr>
      <t xml:space="preserve">1,500 + </t>
    </r>
    <r>
      <rPr>
        <sz val="8"/>
        <color rgb="FF404040"/>
        <rFont val="Noto Sans CJK SC"/>
        <family val="2"/>
      </rPr>
      <t xml:space="preserve">合同负债 </t>
    </r>
    <r>
      <rPr>
        <sz val="8"/>
        <color rgb="FF404040"/>
        <rFont val="Arial"/>
        <family val="0"/>
        <charset val="1"/>
      </rPr>
      <t xml:space="preserve">849 + </t>
    </r>
    <r>
      <rPr>
        <sz val="8"/>
        <color rgb="FF404040"/>
        <rFont val="Noto Sans CJK SC"/>
        <family val="2"/>
      </rPr>
      <t xml:space="preserve">非流动 </t>
    </r>
    <r>
      <rPr>
        <sz val="8"/>
        <color rgb="FF404040"/>
        <rFont val="Arial"/>
        <family val="0"/>
        <charset val="1"/>
      </rPr>
      <t xml:space="preserve">393</t>
    </r>
    <r>
      <rPr>
        <sz val="8"/>
        <color rgb="FF404040"/>
        <rFont val="Noto Sans CJK SC"/>
        <family val="2"/>
      </rPr>
      <t xml:space="preserve">）。★ 本模型未把它计入营运资本的抵减项——因为它会随产品交付而释放，把它当作永久资金来源会高估自由现金流。公司自己也在「调整后自由现金流」里扣除了 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$2,476M NBM </t>
    </r>
    <r>
      <rPr>
        <sz val="8"/>
        <color rgb="FF404040"/>
        <rFont val="Noto Sans CJK SC"/>
        <family val="2"/>
      </rPr>
      <t xml:space="preserve">预付款</t>
    </r>
  </si>
  <si>
    <r>
      <rPr>
        <sz val="9"/>
        <color rgb="FF3D3D3D"/>
        <rFont val="Noto Sans CJK SC"/>
        <family val="2"/>
      </rPr>
      <t xml:space="preserve">★ 一句话总结这一节：</t>
    </r>
    <r>
      <rPr>
        <sz val="9"/>
        <color rgb="FF3D3D3D"/>
        <rFont val="Arial"/>
        <family val="0"/>
        <charset val="1"/>
      </rPr>
      <t xml:space="preserve">SNDK </t>
    </r>
    <r>
      <rPr>
        <sz val="9"/>
        <color rgb="FF3D3D3D"/>
        <rFont val="Noto Sans CJK SC"/>
        <family val="2"/>
      </rPr>
      <t xml:space="preserve">报表上的资本开支（</t>
    </r>
    <r>
      <rPr>
        <sz val="9"/>
        <color rgb="FF3D3D3D"/>
        <rFont val="Arial"/>
        <family val="0"/>
        <charset val="1"/>
      </rPr>
      <t xml:space="preserve">0.87% of </t>
    </r>
    <r>
      <rPr>
        <sz val="9"/>
        <color rgb="FF3D3D3D"/>
        <rFont val="Noto Sans CJK SC"/>
        <family val="2"/>
      </rPr>
      <t xml:space="preserve">收入）和折旧（</t>
    </r>
    <r>
      <rPr>
        <sz val="9"/>
        <color rgb="FF3D3D3D"/>
        <rFont val="Arial"/>
        <family val="0"/>
        <charset val="1"/>
      </rPr>
      <t xml:space="preserve">0.74%</t>
    </r>
    <r>
      <rPr>
        <sz val="9"/>
        <color rgb="FF3D3D3D"/>
        <rFont val="Noto Sans CJK SC"/>
        <family val="2"/>
      </rPr>
      <t xml:space="preserve">）都不能代表它真实的资本强度，因为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晶圆厂在 </t>
    </r>
    <r>
      <rPr>
        <sz val="9"/>
        <color rgb="FF3D3D3D"/>
        <rFont val="Arial"/>
        <family val="0"/>
        <charset val="1"/>
      </rPr>
      <t xml:space="preserve">Flash Ventures </t>
    </r>
    <r>
      <rPr>
        <sz val="9"/>
        <color rgb="FF3D3D3D"/>
        <rFont val="Noto Sans CJK SC"/>
        <family val="2"/>
      </rPr>
      <t xml:space="preserve">里按权益法核算。真实口径要把「向合资厂发放票据净额」算进去，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合计 </t>
    </r>
    <r>
      <rPr>
        <sz val="9"/>
        <color rgb="FF3D3D3D"/>
        <rFont val="Arial"/>
        <family val="0"/>
        <charset val="1"/>
      </rPr>
      <t xml:space="preserve">2.23%</t>
    </r>
    <r>
      <rPr>
        <sz val="9"/>
        <color rgb="FF3D3D3D"/>
        <rFont val="Noto Sans CJK SC"/>
        <family val="2"/>
      </rPr>
      <t xml:space="preserve">；而向前看，公司已明确要为 </t>
    </r>
    <r>
      <rPr>
        <sz val="9"/>
        <color rgb="FF3D3D3D"/>
        <rFont val="Arial"/>
        <family val="0"/>
        <charset val="1"/>
      </rPr>
      <t xml:space="preserve">BiCS8/BiCS10 </t>
    </r>
    <r>
      <rPr>
        <sz val="9"/>
        <color rgb="FF3D3D3D"/>
        <rFont val="Noto Sans CJK SC"/>
        <family val="2"/>
      </rPr>
      <t xml:space="preserve">提高投入，所以三个情形都用了 </t>
    </r>
    <r>
      <rPr>
        <sz val="9"/>
        <color rgb="FF3D3D3D"/>
        <rFont val="Arial"/>
        <family val="0"/>
        <charset val="1"/>
      </rPr>
      <t xml:space="preserve">4.5%–5.5%</t>
    </r>
    <r>
      <rPr>
        <sz val="9"/>
        <color rgb="FF3D3D3D"/>
        <rFont val="Noto Sans CJK SC"/>
        <family val="2"/>
      </rPr>
      <t xml:space="preserve">。这一项每高估 </t>
    </r>
    <r>
      <rPr>
        <sz val="9"/>
        <color rgb="FF3D3D3D"/>
        <rFont val="Arial"/>
        <family val="0"/>
        <charset val="1"/>
      </rPr>
      <t xml:space="preserve">1pp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FY32 </t>
    </r>
    <r>
      <rPr>
        <sz val="9"/>
        <color rgb="FF3D3D3D"/>
        <rFont val="Noto Sans CJK SC"/>
        <family val="2"/>
      </rPr>
      <t xml:space="preserve">的自由现金流就少约 </t>
    </r>
    <r>
      <rPr>
        <sz val="9"/>
        <color rgb="FF3D3D3D"/>
        <rFont val="Arial"/>
        <family val="0"/>
        <charset val="1"/>
      </rPr>
      <t xml:space="preserve">3 </t>
    </r>
    <r>
      <rPr>
        <sz val="9"/>
        <color rgb="FF3D3D3D"/>
        <rFont val="Noto Sans CJK SC"/>
        <family val="2"/>
      </rPr>
      <t xml:space="preserve">亿美元、每股价值少约 </t>
    </r>
    <r>
      <rPr>
        <sz val="9"/>
        <color rgb="FF3D3D3D"/>
        <rFont val="Arial"/>
        <family val="0"/>
        <charset val="1"/>
      </rPr>
      <t xml:space="preserve">20–40 </t>
    </r>
    <r>
      <rPr>
        <sz val="9"/>
        <color rgb="FF3D3D3D"/>
        <rFont val="Noto Sans CJK SC"/>
        <family val="2"/>
      </rPr>
      <t xml:space="preserve">美元。</t>
    </r>
  </si>
  <si>
    <r>
      <rPr>
        <sz val="9"/>
        <color rgb="FF3D3D3D"/>
        <rFont val="Noto Sans CJK SC"/>
        <family val="2"/>
      </rPr>
      <t xml:space="preserve">图表说明｜图 </t>
    </r>
    <r>
      <rPr>
        <sz val="9"/>
        <color rgb="FF3D3D3D"/>
        <rFont val="Arial"/>
        <family val="0"/>
        <charset val="1"/>
      </rPr>
      <t xml:space="preserve">1</t>
    </r>
    <r>
      <rPr>
        <sz val="9"/>
        <color rgb="FF3D3D3D"/>
        <rFont val="Noto Sans CJK SC"/>
        <family val="2"/>
      </rPr>
      <t xml:space="preserve">：收入柱与成本柱的张口就是这轮周期的全部故事——营业成本从 </t>
    </r>
    <r>
      <rPr>
        <sz val="9"/>
        <color rgb="FF3D3D3D"/>
        <rFont val="Arial"/>
        <family val="0"/>
        <charset val="1"/>
      </rPr>
      <t xml:space="preserve">$1,621M </t>
    </r>
    <r>
      <rPr>
        <sz val="9"/>
        <color rgb="FF3D3D3D"/>
        <rFont val="Noto Sans CJK SC"/>
        <family val="2"/>
      </rPr>
      <t xml:space="preserve">只降到 </t>
    </r>
    <r>
      <rPr>
        <sz val="9"/>
        <color rgb="FF3D3D3D"/>
        <rFont val="Arial"/>
        <family val="0"/>
        <charset val="1"/>
      </rPr>
      <t xml:space="preserve">$1,383M</t>
    </r>
    <r>
      <rPr>
        <sz val="9"/>
        <color rgb="FF3D3D3D"/>
        <rFont val="Noto Sans CJK SC"/>
        <family val="2"/>
      </rPr>
      <t xml:space="preserve">，收入却从 </t>
    </r>
    <r>
      <rPr>
        <sz val="9"/>
        <color rgb="FF3D3D3D"/>
        <rFont val="Arial"/>
        <family val="0"/>
        <charset val="1"/>
      </rPr>
      <t xml:space="preserve">$2,308M </t>
    </r>
    <r>
      <rPr>
        <sz val="9"/>
        <color rgb="FF3D3D3D"/>
        <rFont val="Noto Sans CJK SC"/>
        <family val="2"/>
      </rPr>
      <t xml:space="preserve">涨到 </t>
    </r>
    <r>
      <rPr>
        <sz val="9"/>
        <color rgb="FF3D3D3D"/>
        <rFont val="Arial"/>
        <family val="0"/>
        <charset val="1"/>
      </rPr>
      <t xml:space="preserve">$8,965M</t>
    </r>
    <r>
      <rPr>
        <sz val="9"/>
        <color rgb="FF3D3D3D"/>
        <rFont val="Noto Sans CJK SC"/>
        <family val="2"/>
      </rPr>
      <t xml:space="preserve">。｜图 </t>
    </r>
    <r>
      <rPr>
        <sz val="9"/>
        <color rgb="FF3D3D3D"/>
        <rFont val="Arial"/>
        <family val="0"/>
        <charset val="1"/>
      </rPr>
      <t xml:space="preserve">2</t>
    </r>
    <r>
      <rPr>
        <sz val="9"/>
        <color rgb="FF3D3D3D"/>
        <rFont val="Noto Sans CJK SC"/>
        <family val="2"/>
      </rPr>
      <t xml:space="preserve">：三条利润率曲线同时抬升，说明增量收入几乎全部落到了利润上。｜图 </t>
    </r>
    <r>
      <rPr>
        <sz val="9"/>
        <color rgb="FF3D3D3D"/>
        <rFont val="Arial"/>
        <family val="0"/>
        <charset val="1"/>
      </rPr>
      <t xml:space="preserve">3</t>
    </r>
    <r>
      <rPr>
        <sz val="9"/>
        <color rgb="FF3D3D3D"/>
        <rFont val="Noto Sans CJK SC"/>
        <family val="2"/>
      </rPr>
      <t xml:space="preserve">：堆叠柱按终端市场拆分，深蓝（数据中心）的厚度变化是公司叙事的核心。｜图 </t>
    </r>
    <r>
      <rPr>
        <sz val="9"/>
        <color rgb="FF3D3D3D"/>
        <rFont val="Arial"/>
        <family val="0"/>
        <charset val="1"/>
      </rPr>
      <t xml:space="preserve">4</t>
    </r>
    <r>
      <rPr>
        <sz val="9"/>
        <color rgb="FF3D3D3D"/>
        <rFont val="Noto Sans CJK SC"/>
        <family val="2"/>
      </rPr>
      <t xml:space="preserve">：三根柱分别是经营现金流、公司口径自由现金流、扣除 </t>
    </r>
    <r>
      <rPr>
        <sz val="9"/>
        <color rgb="FF3D3D3D"/>
        <rFont val="Arial"/>
        <family val="0"/>
        <charset val="1"/>
      </rPr>
      <t xml:space="preserve">Flash Ventures </t>
    </r>
    <r>
      <rPr>
        <sz val="9"/>
        <color rgb="FF3D3D3D"/>
        <rFont val="Noto Sans CJK SC"/>
        <family val="2"/>
      </rPr>
      <t xml:space="preserve">投入后的自由现金流——第三根才是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该用的那个。注意 </t>
    </r>
    <r>
      <rPr>
        <sz val="9"/>
        <color rgb="FF3D3D3D"/>
        <rFont val="Arial"/>
        <family val="0"/>
        <charset val="1"/>
      </rPr>
      <t xml:space="preserve">Q4 </t>
    </r>
    <r>
      <rPr>
        <sz val="9"/>
        <color rgb="FF3D3D3D"/>
        <rFont val="Noto Sans CJK SC"/>
        <family val="2"/>
      </rPr>
      <t xml:space="preserve">的经营现金流里有 </t>
    </r>
    <r>
      <rPr>
        <sz val="9"/>
        <color rgb="FF3D3D3D"/>
        <rFont val="Arial"/>
        <family val="0"/>
        <charset val="1"/>
      </rPr>
      <t xml:space="preserve">$1,938M </t>
    </r>
    <r>
      <rPr>
        <sz val="9"/>
        <color rgb="FF3D3D3D"/>
        <rFont val="Noto Sans CJK SC"/>
        <family val="2"/>
      </rPr>
      <t xml:space="preserve">是 </t>
    </r>
    <r>
      <rPr>
        <sz val="9"/>
        <color rgb="FF3D3D3D"/>
        <rFont val="Arial"/>
        <family val="0"/>
        <charset val="1"/>
      </rPr>
      <t xml:space="preserve">NBM </t>
    </r>
    <r>
      <rPr>
        <sz val="9"/>
        <color rgb="FF3D3D3D"/>
        <rFont val="Noto Sans CJK SC"/>
        <family val="2"/>
      </rPr>
      <t xml:space="preserve">预付款，属于一次性。｜图 </t>
    </r>
    <r>
      <rPr>
        <sz val="9"/>
        <color rgb="FF3D3D3D"/>
        <rFont val="Arial"/>
        <family val="0"/>
        <charset val="1"/>
      </rPr>
      <t xml:space="preserve">5</t>
    </r>
    <r>
      <rPr>
        <sz val="9"/>
        <color rgb="FF3D3D3D"/>
        <rFont val="Noto Sans CJK SC"/>
        <family val="2"/>
      </rPr>
      <t xml:space="preserve">：每股收益的形状。</t>
    </r>
  </si>
  <si>
    <r>
      <rPr>
        <b val="true"/>
        <sz val="16"/>
        <color rgb="FFFFFFFF"/>
        <rFont val="Arial"/>
        <family val="0"/>
        <charset val="1"/>
      </rPr>
      <t xml:space="preserve">BEAR · SNDK </t>
    </r>
    <r>
      <rPr>
        <b val="true"/>
        <sz val="16"/>
        <color rgb="FFFFFFFF"/>
        <rFont val="Noto Sans CJK SC"/>
        <family val="2"/>
      </rPr>
      <t xml:space="preserve">现金流折现模型 —— 悲观情形</t>
    </r>
  </si>
  <si>
    <r>
      <rPr>
        <i val="true"/>
        <sz val="9"/>
        <color rgb="FF7A7A7A"/>
        <rFont val="Arial"/>
        <family val="0"/>
        <charset val="1"/>
      </rPr>
      <t xml:space="preserve">FY2027 </t>
    </r>
    <r>
      <rPr>
        <i val="true"/>
        <sz val="9"/>
        <color rgb="FF7A7A7A"/>
        <rFont val="Noto Sans CJK SC"/>
        <family val="2"/>
      </rPr>
      <t xml:space="preserve">分四个季度 → </t>
    </r>
    <r>
      <rPr>
        <i val="true"/>
        <sz val="9"/>
        <color rgb="FF7A7A7A"/>
        <rFont val="Arial"/>
        <family val="0"/>
        <charset val="1"/>
      </rPr>
      <t xml:space="preserve">FY2028–FY2032 </t>
    </r>
    <r>
      <rPr>
        <i val="true"/>
        <sz val="9"/>
        <color rgb="FF7A7A7A"/>
        <rFont val="Noto Sans CJK SC"/>
        <family val="2"/>
      </rPr>
      <t xml:space="preserve">按年 → 永续  </t>
    </r>
    <r>
      <rPr>
        <i val="true"/>
        <sz val="9"/>
        <color rgb="FF7A7A7A"/>
        <rFont val="Arial"/>
        <family val="0"/>
        <charset val="1"/>
      </rPr>
      <t xml:space="preserve">|  </t>
    </r>
    <r>
      <rPr>
        <i val="true"/>
        <sz val="9"/>
        <color rgb="FF7A7A7A"/>
        <rFont val="Noto Sans CJK SC"/>
        <family val="2"/>
      </rPr>
      <t xml:space="preserve">自由现金流口径：</t>
    </r>
    <r>
      <rPr>
        <i val="true"/>
        <sz val="9"/>
        <color rgb="FF7A7A7A"/>
        <rFont val="Arial"/>
        <family val="0"/>
        <charset val="1"/>
      </rPr>
      <t xml:space="preserve">FCFF</t>
    </r>
    <r>
      <rPr>
        <i val="true"/>
        <sz val="9"/>
        <color rgb="FF7A7A7A"/>
        <rFont val="Noto Sans CJK SC"/>
        <family val="2"/>
      </rPr>
      <t xml:space="preserve">（含 </t>
    </r>
    <r>
      <rPr>
        <i val="true"/>
        <sz val="9"/>
        <color rgb="FF7A7A7A"/>
        <rFont val="Arial"/>
        <family val="0"/>
        <charset val="1"/>
      </rPr>
      <t xml:space="preserve">Flash Ventures </t>
    </r>
    <r>
      <rPr>
        <i val="true"/>
        <sz val="9"/>
        <color rgb="FF7A7A7A"/>
        <rFont val="Noto Sans CJK SC"/>
        <family val="2"/>
      </rPr>
      <t xml:space="preserve">投入）  </t>
    </r>
    <r>
      <rPr>
        <i val="true"/>
        <sz val="9"/>
        <color rgb="FF7A7A7A"/>
        <rFont val="Arial"/>
        <family val="0"/>
        <charset val="1"/>
      </rPr>
      <t xml:space="preserve">|  ▼ </t>
    </r>
    <r>
      <rPr>
        <i val="true"/>
        <sz val="9"/>
        <color rgb="FF7A7A7A"/>
        <rFont val="Noto Sans CJK SC"/>
        <family val="2"/>
      </rPr>
      <t xml:space="preserve">全部参数由本表底部的参数控制台滑标驱动</t>
    </r>
  </si>
  <si>
    <r>
      <rPr>
        <b val="true"/>
        <sz val="11"/>
        <color rgb="FFFFFFFF"/>
        <rFont val="Arial"/>
        <family val="0"/>
        <charset val="1"/>
      </rPr>
      <t xml:space="preserve">00  </t>
    </r>
    <r>
      <rPr>
        <b val="true"/>
        <sz val="11"/>
        <color rgb="FFFFFFFF"/>
        <rFont val="Noto Sans CJK SC"/>
        <family val="2"/>
      </rPr>
      <t xml:space="preserve">本情形的论点：这套数字建立在什么判断之上</t>
    </r>
  </si>
  <si>
    <r>
      <rPr>
        <sz val="9"/>
        <color rgb="FF3D3D3D"/>
        <rFont val="Noto Sans CJK SC"/>
        <family val="2"/>
      </rPr>
      <t xml:space="preserve">承接《缺口的算术》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侧的结论：层数堆叠与 </t>
    </r>
    <r>
      <rPr>
        <sz val="9"/>
        <color rgb="FF3D3D3D"/>
        <rFont val="Arial"/>
        <family val="0"/>
        <charset val="1"/>
      </rPr>
      <t xml:space="preserve">QLC </t>
    </r>
    <r>
      <rPr>
        <sz val="9"/>
        <color rgb="FF3D3D3D"/>
        <rFont val="Noto Sans CJK SC"/>
        <family val="2"/>
      </rPr>
      <t xml:space="preserve">让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供给可以在不建厂的情况下快速放大，</t>
    </r>
    <r>
      <rPr>
        <sz val="9"/>
        <color rgb="FF3D3D3D"/>
        <rFont val="Arial"/>
        <family val="0"/>
        <charset val="1"/>
      </rPr>
      <t xml:space="preserve">2027 </t>
    </r>
    <r>
      <rPr>
        <sz val="9"/>
        <color rgb="FF3D3D3D"/>
        <rFont val="Noto Sans CJK SC"/>
        <family val="2"/>
      </rPr>
      <t xml:space="preserve">年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先于 </t>
    </r>
    <r>
      <rPr>
        <sz val="9"/>
        <color rgb="FF3D3D3D"/>
        <rFont val="Arial"/>
        <family val="0"/>
        <charset val="1"/>
      </rPr>
      <t xml:space="preserve">DRAM </t>
    </r>
    <r>
      <rPr>
        <sz val="9"/>
        <color rgb="FF3D3D3D"/>
        <rFont val="Noto Sans CJK SC"/>
        <family val="2"/>
      </rPr>
      <t xml:space="preserve">转向过剩。本情形假设合约价在 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下半年见顶回落，</t>
    </r>
    <r>
      <rPr>
        <sz val="9"/>
        <color rgb="FF3D3D3D"/>
        <rFont val="Arial"/>
        <family val="0"/>
        <charset val="1"/>
      </rPr>
      <t xml:space="preserve">FY28 </t>
    </r>
    <r>
      <rPr>
        <sz val="9"/>
        <color rgb="FF3D3D3D"/>
        <rFont val="Noto Sans CJK SC"/>
        <family val="2"/>
      </rPr>
      <t xml:space="preserve">出现典型的存储下行周期——价格跌幅快于成本，毛利率从 </t>
    </r>
    <r>
      <rPr>
        <sz val="9"/>
        <color rgb="FF3D3D3D"/>
        <rFont val="Arial"/>
        <family val="0"/>
        <charset val="1"/>
      </rPr>
      <t xml:space="preserve">84.6% </t>
    </r>
    <r>
      <rPr>
        <sz val="9"/>
        <color rgb="FF3D3D3D"/>
        <rFont val="Noto Sans CJK SC"/>
        <family val="2"/>
      </rPr>
      <t xml:space="preserve">一路回到 </t>
    </r>
    <r>
      <rPr>
        <sz val="9"/>
        <color rgb="FF3D3D3D"/>
        <rFont val="Arial"/>
        <family val="0"/>
        <charset val="1"/>
      </rPr>
      <t xml:space="preserve">40% </t>
    </r>
    <r>
      <rPr>
        <sz val="9"/>
        <color rgb="FF3D3D3D"/>
        <rFont val="Noto Sans CJK SC"/>
        <family val="2"/>
      </rPr>
      <t xml:space="preserve">出头的历史中枢。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</si>
  <si>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1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FY27 </t>
    </r>
    <r>
      <rPr>
        <sz val="9"/>
        <color rgb="FF303030"/>
        <rFont val="Noto Sans CJK SC"/>
        <family val="2"/>
      </rPr>
      <t xml:space="preserve">下半年合约价环比转负，</t>
    </r>
    <r>
      <rPr>
        <sz val="9"/>
        <color rgb="FF303030"/>
        <rFont val="Arial"/>
        <family val="0"/>
        <charset val="1"/>
      </rPr>
      <t xml:space="preserve">Q4 </t>
    </r>
    <r>
      <rPr>
        <sz val="9"/>
        <color rgb="FF303030"/>
        <rFont val="Noto Sans CJK SC"/>
        <family val="2"/>
      </rPr>
      <t xml:space="preserve">收入回到 </t>
    </r>
    <r>
      <rPr>
        <sz val="9"/>
        <color rgb="FF303030"/>
        <rFont val="Arial"/>
        <family val="0"/>
        <charset val="1"/>
      </rPr>
      <t xml:space="preserve">$7.1B</t>
    </r>
    <r>
      <rPr>
        <sz val="9"/>
        <color rgb="FF303030"/>
        <rFont val="Noto Sans CJK SC"/>
        <family val="2"/>
      </rPr>
      <t xml:space="preserve">（≈ </t>
    </r>
    <r>
      <rPr>
        <sz val="9"/>
        <color rgb="FF303030"/>
        <rFont val="Arial"/>
        <family val="0"/>
        <charset val="1"/>
      </rPr>
      <t xml:space="preserve">FY26 Q4 </t>
    </r>
    <r>
      <rPr>
        <sz val="9"/>
        <color rgb="FF303030"/>
        <rFont val="Noto Sans CJK SC"/>
        <family val="2"/>
      </rPr>
      <t xml:space="preserve">水平的 </t>
    </r>
    <r>
      <rPr>
        <sz val="9"/>
        <color rgb="FF303030"/>
        <rFont val="Arial"/>
        <family val="0"/>
        <charset val="1"/>
      </rPr>
      <t xml:space="preserve">79%</t>
    </r>
    <r>
      <rPr>
        <sz val="9"/>
        <color rgb="FF303030"/>
        <rFont val="Noto Sans CJK SC"/>
        <family val="2"/>
      </rPr>
      <t xml:space="preserve">）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</si>
  <si>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2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FY28 </t>
    </r>
    <r>
      <rPr>
        <sz val="9"/>
        <color rgb="FF303030"/>
        <rFont val="Noto Sans CJK SC"/>
        <family val="2"/>
      </rPr>
      <t xml:space="preserve">收入 −</t>
    </r>
    <r>
      <rPr>
        <sz val="9"/>
        <color rgb="FF303030"/>
        <rFont val="Arial"/>
        <family val="0"/>
        <charset val="1"/>
      </rPr>
      <t xml:space="preserve">34%</t>
    </r>
    <r>
      <rPr>
        <sz val="9"/>
        <color rgb="FF303030"/>
        <rFont val="Noto Sans CJK SC"/>
        <family val="2"/>
      </rPr>
      <t xml:space="preserve">、毛利率回到 </t>
    </r>
    <r>
      <rPr>
        <sz val="9"/>
        <color rgb="FF303030"/>
        <rFont val="Arial"/>
        <family val="0"/>
        <charset val="1"/>
      </rPr>
      <t xml:space="preserve">42%——</t>
    </r>
    <r>
      <rPr>
        <sz val="9"/>
        <color rgb="FF303030"/>
        <rFont val="Noto Sans CJK SC"/>
        <family val="2"/>
      </rPr>
      <t xml:space="preserve">接近 </t>
    </r>
    <r>
      <rPr>
        <sz val="9"/>
        <color rgb="FF303030"/>
        <rFont val="Arial"/>
        <family val="0"/>
        <charset val="1"/>
      </rPr>
      <t xml:space="preserve">SNDK </t>
    </r>
    <r>
      <rPr>
        <sz val="9"/>
        <color rgb="FF303030"/>
        <rFont val="Noto Sans CJK SC"/>
        <family val="2"/>
      </rPr>
      <t xml:space="preserve">分拆前的正常年份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</si>
  <si>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3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NBM </t>
    </r>
    <r>
      <rPr>
        <sz val="9"/>
        <color rgb="FF303030"/>
        <rFont val="Noto Sans CJK SC"/>
        <family val="2"/>
      </rPr>
      <t xml:space="preserve">长约只锁量不锁价，价格下行时无法保护利润率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</si>
  <si>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4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WACC </t>
    </r>
    <r>
      <rPr>
        <sz val="9"/>
        <color rgb="FF303030"/>
        <rFont val="Noto Sans CJK SC"/>
        <family val="2"/>
      </rPr>
      <t xml:space="preserve">用 </t>
    </r>
    <r>
      <rPr>
        <sz val="9"/>
        <color rgb="FF303030"/>
        <rFont val="Arial"/>
        <family val="0"/>
        <charset val="1"/>
      </rPr>
      <t xml:space="preserve">14%</t>
    </r>
    <r>
      <rPr>
        <sz val="9"/>
        <color rgb="FF303030"/>
        <rFont val="Noto Sans CJK SC"/>
        <family val="2"/>
      </rPr>
      <t xml:space="preserve">（周期底部风险溢价上升），永续增长 </t>
    </r>
    <r>
      <rPr>
        <sz val="9"/>
        <color rgb="FF303030"/>
        <rFont val="Arial"/>
        <family val="0"/>
        <charset val="1"/>
      </rPr>
      <t xml:space="preserve">2.5%</t>
    </r>
  </si>
  <si>
    <r>
      <rPr>
        <b val="true"/>
        <sz val="11"/>
        <color rgb="FFFFFFFF"/>
        <rFont val="Arial"/>
        <family val="0"/>
        <charset val="1"/>
      </rPr>
      <t xml:space="preserve">01  FY2027 </t>
    </r>
    <r>
      <rPr>
        <b val="true"/>
        <sz val="11"/>
        <color rgb="FFFFFFFF"/>
        <rFont val="Noto Sans CJK SC"/>
        <family val="2"/>
      </rPr>
      <t xml:space="preserve">季度预测（</t>
    </r>
    <r>
      <rPr>
        <b val="true"/>
        <sz val="11"/>
        <color rgb="FFFFFFFF"/>
        <rFont val="Arial"/>
        <family val="0"/>
        <charset val="1"/>
      </rPr>
      <t xml:space="preserve">SNDK </t>
    </r>
    <r>
      <rPr>
        <b val="true"/>
        <sz val="11"/>
        <color rgb="FFFFFFFF"/>
        <rFont val="Noto Sans CJK SC"/>
        <family val="2"/>
      </rPr>
      <t xml:space="preserve">分拆才一年半，先用季度把最近的可见度做实）</t>
    </r>
  </si>
  <si>
    <t xml:space="preserve">FY27 Q1</t>
  </si>
  <si>
    <t xml:space="preserve">FY27 Q2</t>
  </si>
  <si>
    <t xml:space="preserve">FY27 Q3</t>
  </si>
  <si>
    <t xml:space="preserve">FY27 Q4</t>
  </si>
  <si>
    <r>
      <rPr>
        <b val="true"/>
        <sz val="9"/>
        <color rgb="FF16305B"/>
        <rFont val="Arial"/>
        <family val="0"/>
        <charset val="1"/>
      </rPr>
      <t xml:space="preserve">FY2027 </t>
    </r>
    <r>
      <rPr>
        <b val="true"/>
        <sz val="9"/>
        <color rgb="FF16305B"/>
        <rFont val="Noto Sans CJK SC"/>
        <family val="2"/>
      </rPr>
      <t xml:space="preserve">合计</t>
    </r>
  </si>
  <si>
    <t xml:space="preserve">变量怎么来的</t>
  </si>
  <si>
    <t xml:space="preserve">营业收入</t>
  </si>
  <si>
    <r>
      <rPr>
        <sz val="8"/>
        <color rgb="FF404040"/>
        <rFont val="Arial"/>
        <family val="0"/>
        <charset val="1"/>
      </rPr>
      <t xml:space="preserve">Q1 </t>
    </r>
    <r>
      <rPr>
        <sz val="8"/>
        <color rgb="FF404040"/>
        <rFont val="Noto Sans CJK SC"/>
        <family val="2"/>
      </rPr>
      <t xml:space="preserve">＝ 控制台滑标（官方指引 </t>
    </r>
    <r>
      <rPr>
        <sz val="8"/>
        <color rgb="FF404040"/>
        <rFont val="Arial"/>
        <family val="0"/>
        <charset val="1"/>
      </rPr>
      <t xml:space="preserve">$10.3–10.8B</t>
    </r>
    <r>
      <rPr>
        <sz val="8"/>
        <color rgb="FF404040"/>
        <rFont val="Noto Sans CJK SC"/>
        <family val="2"/>
      </rPr>
      <t xml:space="preserve">）；</t>
    </r>
    <r>
      <rPr>
        <sz val="8"/>
        <color rgb="FF404040"/>
        <rFont val="Arial"/>
        <family val="0"/>
        <charset val="1"/>
      </rPr>
      <t xml:space="preserve">Q2–Q4 </t>
    </r>
    <r>
      <rPr>
        <sz val="8"/>
        <color rgb="FF404040"/>
        <rFont val="Noto Sans CJK SC"/>
        <family val="2"/>
      </rPr>
      <t xml:space="preserve">＝ 上一季 </t>
    </r>
    <r>
      <rPr>
        <sz val="8"/>
        <color rgb="FF404040"/>
        <rFont val="Arial"/>
        <family val="0"/>
        <charset val="1"/>
      </rPr>
      <t xml:space="preserve">×(1 + </t>
    </r>
    <r>
      <rPr>
        <sz val="8"/>
        <color rgb="FF404040"/>
        <rFont val="Noto Sans CJK SC"/>
        <family val="2"/>
      </rPr>
      <t xml:space="preserve">情形环比增速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滑标平移</t>
    </r>
    <r>
      <rPr>
        <sz val="8"/>
        <color rgb="FF40404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</si>
  <si>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　环比增速 </t>
    </r>
    <r>
      <rPr>
        <sz val="9"/>
        <color rgb="FF000000"/>
        <rFont val="Arial"/>
        <family val="0"/>
        <charset val="1"/>
      </rPr>
      <t xml:space="preserve">QoQ</t>
    </r>
  </si>
  <si>
    <r>
      <rPr>
        <sz val="8"/>
        <color rgb="FF404040"/>
        <rFont val="Arial"/>
        <family val="0"/>
        <charset val="1"/>
      </rPr>
      <t xml:space="preserve">Q1 </t>
    </r>
    <r>
      <rPr>
        <sz val="8"/>
        <color rgb="FF404040"/>
        <rFont val="Noto Sans CJK SC"/>
        <family val="2"/>
      </rPr>
      <t xml:space="preserve">的环比基数是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$8,965M</t>
    </r>
    <r>
      <rPr>
        <sz val="8"/>
        <color rgb="FF404040"/>
        <rFont val="Noto Sans CJK SC"/>
        <family val="2"/>
      </rPr>
      <t xml:space="preserve">（不是 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全年）；</t>
    </r>
    <r>
      <rPr>
        <sz val="8"/>
        <color rgb="FF404040"/>
        <rFont val="Arial"/>
        <family val="0"/>
        <charset val="1"/>
      </rPr>
      <t xml:space="preserve">Q2–Q4 </t>
    </r>
    <r>
      <rPr>
        <sz val="8"/>
        <color rgb="FF404040"/>
        <rFont val="Noto Sans CJK SC"/>
        <family val="2"/>
      </rPr>
      <t xml:space="preserve">为上一季</t>
    </r>
  </si>
  <si>
    <t xml:space="preserve">毛利率</t>
  </si>
  <si>
    <r>
      <rPr>
        <sz val="8"/>
        <color rgb="FF404040"/>
        <rFont val="Noto Sans CJK SC"/>
        <family val="2"/>
      </rPr>
      <t xml:space="preserve">情形设定的季度毛利率路径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控制台「毛利率平移」，上下限锁在 </t>
    </r>
    <r>
      <rPr>
        <sz val="8"/>
        <color rgb="FF404040"/>
        <rFont val="Arial"/>
        <family val="0"/>
        <charset val="1"/>
      </rPr>
      <t xml:space="preserve">5%–92%</t>
    </r>
  </si>
  <si>
    <t xml:space="preserve">毛利</t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</si>
  <si>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毛利率</t>
    </r>
  </si>
  <si>
    <t xml:space="preserve">营业费用</t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</si>
  <si>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控制台「营业费用率」。公司 </t>
    </r>
    <r>
      <rPr>
        <sz val="8"/>
        <color rgb="FF404040"/>
        <rFont val="Arial"/>
        <family val="0"/>
        <charset val="1"/>
      </rPr>
      <t xml:space="preserve">FY27 Q1 GAAP </t>
    </r>
    <r>
      <rPr>
        <sz val="8"/>
        <color rgb="FF404040"/>
        <rFont val="Noto Sans CJK SC"/>
        <family val="2"/>
      </rPr>
      <t xml:space="preserve">指引为 </t>
    </r>
    <r>
      <rPr>
        <sz val="8"/>
        <color rgb="FF404040"/>
        <rFont val="Arial"/>
        <family val="0"/>
        <charset val="1"/>
      </rPr>
      <t xml:space="preserve">$574–614M</t>
    </r>
  </si>
  <si>
    <r>
      <rPr>
        <b val="true"/>
        <sz val="9"/>
        <color rgb="FF16305B"/>
        <rFont val="Noto Sans CJK SC"/>
        <family val="2"/>
      </rPr>
      <t xml:space="preserve">营业利润 </t>
    </r>
    <r>
      <rPr>
        <b val="true"/>
        <sz val="9"/>
        <color rgb="FF16305B"/>
        <rFont val="Arial"/>
        <family val="0"/>
        <charset val="1"/>
      </rPr>
      <t xml:space="preserve">EBIT</t>
    </r>
  </si>
  <si>
    <t xml:space="preserve">＝ 毛利 − 营业费用</t>
  </si>
  <si>
    <t xml:space="preserve">　营业利润率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</si>
  <si>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÷ </t>
    </r>
    <r>
      <rPr>
        <sz val="8"/>
        <color rgb="FF404040"/>
        <rFont val="Noto Sans CJK SC"/>
        <family val="2"/>
      </rPr>
      <t xml:space="preserve">收入</t>
    </r>
  </si>
  <si>
    <t xml:space="preserve">所得税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</si>
  <si>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× </t>
    </r>
    <r>
      <rPr>
        <sz val="8"/>
        <color rgb="FF404040"/>
        <rFont val="Noto Sans CJK SC"/>
        <family val="2"/>
      </rPr>
      <t xml:space="preserve">控制台「有效税率」（</t>
    </r>
    <r>
      <rPr>
        <sz val="8"/>
        <color rgb="FF404040"/>
        <rFont val="Arial"/>
        <family val="0"/>
        <charset val="1"/>
      </rPr>
      <t xml:space="preserve">FCFF </t>
    </r>
    <r>
      <rPr>
        <sz val="8"/>
        <color rgb="FF404040"/>
        <rFont val="Noto Sans CJK SC"/>
        <family val="2"/>
      </rPr>
      <t xml:space="preserve">口径按 </t>
    </r>
    <r>
      <rPr>
        <sz val="8"/>
        <color rgb="FF404040"/>
        <rFont val="Arial"/>
        <family val="0"/>
        <charset val="1"/>
      </rPr>
      <t xml:space="preserve">EBIT </t>
    </r>
    <r>
      <rPr>
        <sz val="8"/>
        <color rgb="FF404040"/>
        <rFont val="Noto Sans CJK SC"/>
        <family val="2"/>
      </rPr>
      <t xml:space="preserve">计税，不含利息）</t>
    </r>
  </si>
  <si>
    <r>
      <rPr>
        <b val="true"/>
        <sz val="9"/>
        <color rgb="FF16305B"/>
        <rFont val="Noto Sans CJK SC"/>
        <family val="2"/>
      </rPr>
      <t xml:space="preserve">税后经营利润 </t>
    </r>
    <r>
      <rPr>
        <b val="true"/>
        <sz val="9"/>
        <color rgb="FF16305B"/>
        <rFont val="Arial"/>
        <family val="0"/>
        <charset val="1"/>
      </rPr>
      <t xml:space="preserve">NOPAT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</si>
  <si>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− </t>
    </r>
    <r>
      <rPr>
        <sz val="8"/>
        <color rgb="FF404040"/>
        <rFont val="Noto Sans CJK SC"/>
        <family val="2"/>
      </rPr>
      <t xml:space="preserve">所得税</t>
    </r>
  </si>
  <si>
    <r>
      <rPr>
        <sz val="9"/>
        <color rgb="FF000000"/>
        <rFont val="Noto Sans CJK SC"/>
        <family val="2"/>
      </rPr>
      <t xml:space="preserve">＋ 折旧摊销 </t>
    </r>
    <r>
      <rPr>
        <sz val="9"/>
        <color rgb="FF000000"/>
        <rFont val="Arial"/>
        <family val="0"/>
        <charset val="1"/>
      </rPr>
      <t xml:space="preserve">D&amp;A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</si>
  <si>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0.74%</t>
    </r>
    <r>
      <rPr>
        <sz val="8"/>
        <color rgb="FF404040"/>
        <rFont val="Noto Sans CJK SC"/>
        <family val="2"/>
      </rPr>
      <t xml:space="preserve">（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实际 </t>
    </r>
    <r>
      <rPr>
        <sz val="8"/>
        <color rgb="FF404040"/>
        <rFont val="Arial"/>
        <family val="0"/>
        <charset val="1"/>
      </rPr>
      <t xml:space="preserve">D&amp;A $149M ÷ </t>
    </r>
    <r>
      <rPr>
        <sz val="8"/>
        <color rgb="FF404040"/>
        <rFont val="Noto Sans CJK SC"/>
        <family val="2"/>
      </rPr>
      <t xml:space="preserve">收入 </t>
    </r>
    <r>
      <rPr>
        <sz val="8"/>
        <color rgb="FF404040"/>
        <rFont val="Arial"/>
        <family val="0"/>
        <charset val="1"/>
      </rPr>
      <t xml:space="preserve">$20,248M</t>
    </r>
    <r>
      <rPr>
        <sz val="8"/>
        <color rgb="FF404040"/>
        <rFont val="Noto Sans CJK SC"/>
        <family val="2"/>
      </rPr>
      <t xml:space="preserve">）。数字极低是因为晶圆厂在合资公司里，折旧不落在 </t>
    </r>
    <r>
      <rPr>
        <sz val="8"/>
        <color rgb="FF404040"/>
        <rFont val="Arial"/>
        <family val="0"/>
        <charset val="1"/>
      </rPr>
      <t xml:space="preserve">SNDK </t>
    </r>
    <r>
      <rPr>
        <sz val="8"/>
        <color rgb="FF404040"/>
        <rFont val="Noto Sans CJK SC"/>
        <family val="2"/>
      </rPr>
      <t xml:space="preserve">报表上</t>
    </r>
  </si>
  <si>
    <t xml:space="preserve">− 自有资本开支</t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</si>
  <si>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控制台「自有资本开支率」。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实际 </t>
    </r>
    <r>
      <rPr>
        <sz val="8"/>
        <color rgb="FF404040"/>
        <rFont val="Arial"/>
        <family val="0"/>
        <charset val="1"/>
      </rPr>
      <t xml:space="preserve">0.87%</t>
    </r>
  </si>
  <si>
    <r>
      <rPr>
        <sz val="9"/>
        <color rgb="FF000000"/>
        <rFont val="Arial"/>
        <family val="0"/>
        <charset val="1"/>
      </rPr>
      <t xml:space="preserve">− Flash Ventures </t>
    </r>
    <r>
      <rPr>
        <sz val="9"/>
        <color rgb="FF000000"/>
        <rFont val="Noto Sans CJK SC"/>
        <family val="2"/>
      </rPr>
      <t xml:space="preserve">净投入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</si>
  <si>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</t>
    </r>
    <r>
      <rPr>
        <sz val="8"/>
        <color rgb="FF404040"/>
        <rFont val="Arial"/>
        <family val="0"/>
        <charset val="1"/>
      </rPr>
      <t xml:space="preserve">FV </t>
    </r>
    <r>
      <rPr>
        <sz val="8"/>
        <color rgb="FF404040"/>
        <rFont val="Noto Sans CJK SC"/>
        <family val="2"/>
      </rPr>
      <t xml:space="preserve">净投入率」。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实际 </t>
    </r>
    <r>
      <rPr>
        <sz val="8"/>
        <color rgb="FF404040"/>
        <rFont val="Arial"/>
        <family val="0"/>
        <charset val="1"/>
      </rPr>
      <t xml:space="preserve">1.36%</t>
    </r>
    <r>
      <rPr>
        <sz val="8"/>
        <color rgb="FF404040"/>
        <rFont val="Noto Sans CJK SC"/>
        <family val="2"/>
      </rPr>
      <t xml:space="preserve">（发放票据 </t>
    </r>
    <r>
      <rPr>
        <sz val="8"/>
        <color rgb="FF404040"/>
        <rFont val="Arial"/>
        <family val="0"/>
        <charset val="1"/>
      </rPr>
      <t xml:space="preserve">462 − </t>
    </r>
    <r>
      <rPr>
        <sz val="8"/>
        <color rgb="FF404040"/>
        <rFont val="Noto Sans CJK SC"/>
        <family val="2"/>
      </rPr>
      <t xml:space="preserve">回收 </t>
    </r>
    <r>
      <rPr>
        <sz val="8"/>
        <color rgb="FF404040"/>
        <rFont val="Arial"/>
        <family val="0"/>
        <charset val="1"/>
      </rPr>
      <t xml:space="preserve">187</t>
    </r>
    <r>
      <rPr>
        <sz val="8"/>
        <color rgb="FF404040"/>
        <rFont val="Noto Sans CJK SC"/>
        <family val="2"/>
      </rPr>
      <t xml:space="preserve">）</t>
    </r>
  </si>
  <si>
    <t xml:space="preserve">营运资本余额</t>
  </si>
  <si>
    <r>
      <rPr>
        <sz val="8"/>
        <color rgb="FF404040"/>
        <rFont val="Noto Sans CJK SC"/>
        <family val="2"/>
      </rPr>
      <t xml:space="preserve">＝ 控制台「营运资本占年化收入比」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当季收入 </t>
    </r>
    <r>
      <rPr>
        <sz val="8"/>
        <color rgb="FF404040"/>
        <rFont val="Arial"/>
        <family val="0"/>
        <charset val="1"/>
      </rPr>
      <t xml:space="preserve">× 4</t>
    </r>
    <r>
      <rPr>
        <sz val="8"/>
        <color rgb="FF404040"/>
        <rFont val="Noto Sans CJK SC"/>
        <family val="2"/>
      </rPr>
      <t xml:space="preserve">。期初取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的年化收入基准</t>
    </r>
  </si>
  <si>
    <r>
      <rPr>
        <sz val="9"/>
        <color rgb="FF000000"/>
        <rFont val="Noto Sans CJK SC"/>
        <family val="2"/>
      </rPr>
      <t xml:space="preserve">− 营运资本增加 </t>
    </r>
    <r>
      <rPr>
        <sz val="9"/>
        <color rgb="FF000000"/>
        <rFont val="Arial"/>
        <family val="0"/>
        <charset val="1"/>
      </rPr>
      <t xml:space="preserve">ΔNWC</t>
    </r>
  </si>
  <si>
    <t xml:space="preserve">＝ 本季余额 − 上季余额。余额法，不再用「占收入增量比」</t>
  </si>
  <si>
    <r>
      <rPr>
        <b val="true"/>
        <sz val="9"/>
        <color rgb="FF16305B"/>
        <rFont val="Noto Sans CJK SC"/>
        <family val="2"/>
      </rPr>
      <t xml:space="preserve">＝ 自由现金流 </t>
    </r>
    <r>
      <rPr>
        <b val="true"/>
        <sz val="9"/>
        <color rgb="FF16305B"/>
        <rFont val="Arial"/>
        <family val="0"/>
        <charset val="1"/>
      </rPr>
      <t xml:space="preserve">FCFF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</si>
  <si>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NOPAT + D&amp;A − </t>
    </r>
    <r>
      <rPr>
        <sz val="8"/>
        <color rgb="FF404040"/>
        <rFont val="Noto Sans CJK SC"/>
        <family val="2"/>
      </rPr>
      <t xml:space="preserve">自有资本开支 − </t>
    </r>
    <r>
      <rPr>
        <sz val="8"/>
        <color rgb="FF404040"/>
        <rFont val="Arial"/>
        <family val="0"/>
        <charset val="1"/>
      </rPr>
      <t xml:space="preserve">FV </t>
    </r>
    <r>
      <rPr>
        <sz val="8"/>
        <color rgb="FF404040"/>
        <rFont val="Noto Sans CJK SC"/>
        <family val="2"/>
      </rPr>
      <t xml:space="preserve">净投入 − </t>
    </r>
    <r>
      <rPr>
        <sz val="8"/>
        <color rgb="FF404040"/>
        <rFont val="Arial"/>
        <family val="0"/>
        <charset val="1"/>
      </rPr>
      <t xml:space="preserve">ΔNWC</t>
    </r>
  </si>
  <si>
    <r>
      <rPr>
        <sz val="9"/>
        <color rgb="FF3D3D3D"/>
        <rFont val="Noto Sans CJK SC"/>
        <family val="2"/>
      </rPr>
      <t xml:space="preserve">口径说明：这里算的是 </t>
    </r>
    <r>
      <rPr>
        <sz val="9"/>
        <color rgb="FF3D3D3D"/>
        <rFont val="Arial"/>
        <family val="0"/>
        <charset val="1"/>
      </rPr>
      <t xml:space="preserve">FCFF</t>
    </r>
    <r>
      <rPr>
        <sz val="9"/>
        <color rgb="FF3D3D3D"/>
        <rFont val="Noto Sans CJK SC"/>
        <family val="2"/>
      </rPr>
      <t xml:space="preserve">（企业自由现金流），所以税按 </t>
    </r>
    <r>
      <rPr>
        <sz val="9"/>
        <color rgb="FF3D3D3D"/>
        <rFont val="Arial"/>
        <family val="0"/>
        <charset val="1"/>
      </rPr>
      <t xml:space="preserve">EBIT </t>
    </r>
    <r>
      <rPr>
        <sz val="9"/>
        <color rgb="FF3D3D3D"/>
        <rFont val="Noto Sans CJK SC"/>
        <family val="2"/>
      </rPr>
      <t xml:space="preserve">计、不扣利息——利息的价值已经体现在折现率里。公司目前零负债，</t>
    </r>
    <r>
      <rPr>
        <sz val="9"/>
        <color rgb="FF3D3D3D"/>
        <rFont val="Arial"/>
        <family val="0"/>
        <charset val="1"/>
      </rPr>
      <t xml:space="preserve">FCFF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FCFE </t>
    </r>
    <r>
      <rPr>
        <sz val="9"/>
        <color rgb="FF3D3D3D"/>
        <rFont val="Noto Sans CJK SC"/>
        <family val="2"/>
      </rPr>
      <t xml:space="preserve">的差异只剩利息收入。</t>
    </r>
  </si>
  <si>
    <r>
      <rPr>
        <b val="true"/>
        <sz val="11"/>
        <color rgb="FFFFFFFF"/>
        <rFont val="Arial"/>
        <family val="0"/>
        <charset val="1"/>
      </rPr>
      <t xml:space="preserve">02  FY2028–FY2032 </t>
    </r>
    <r>
      <rPr>
        <b val="true"/>
        <sz val="11"/>
        <color rgb="FFFFFFFF"/>
        <rFont val="Noto Sans CJK SC"/>
        <family val="2"/>
      </rPr>
      <t xml:space="preserve">年度预测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永续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</si>
  <si>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</si>
  <si>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</si>
  <si>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</si>
  <si>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</si>
  <si>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</si>
  <si>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</si>
  <si>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永续期</t>
  </si>
  <si>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取季度合计；</t>
    </r>
    <r>
      <rPr>
        <sz val="8"/>
        <color rgb="FF404040"/>
        <rFont val="Arial"/>
        <family val="0"/>
        <charset val="1"/>
      </rPr>
      <t xml:space="preserve">FY28 </t>
    </r>
    <r>
      <rPr>
        <sz val="8"/>
        <color rgb="FF404040"/>
        <rFont val="Noto Sans CJK SC"/>
        <family val="2"/>
      </rPr>
      <t xml:space="preserve">＝ 情形设定增速；</t>
    </r>
    <r>
      <rPr>
        <sz val="8"/>
        <color rgb="FF404040"/>
        <rFont val="Arial"/>
        <family val="0"/>
        <charset val="1"/>
      </rPr>
      <t xml:space="preserve">FY29–32 </t>
    </r>
    <r>
      <rPr>
        <sz val="8"/>
        <color rgb="FF404040"/>
        <rFont val="Noto Sans CJK SC"/>
        <family val="2"/>
      </rPr>
      <t xml:space="preserve">＝ 情形增速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控制台「长期增速平移」</t>
    </r>
  </si>
  <si>
    <r>
      <rPr>
        <sz val="9"/>
        <color rgb="FF000000"/>
        <rFont val="Noto Sans CJK SC"/>
        <family val="2"/>
      </rPr>
      <t xml:space="preserve">　收入增速 </t>
    </r>
    <r>
      <rPr>
        <sz val="9"/>
        <color rgb="FF000000"/>
        <rFont val="Arial"/>
        <family val="0"/>
        <charset val="1"/>
      </rPr>
      <t xml:space="preserve">YoY</t>
    </r>
  </si>
  <si>
    <r>
      <rPr>
        <sz val="8"/>
        <color rgb="FF404040"/>
        <rFont val="Noto Sans CJK SC"/>
        <family val="2"/>
      </rPr>
      <t xml:space="preserve">逐年同比。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实际为 </t>
    </r>
    <r>
      <rPr>
        <sz val="8"/>
        <color rgb="FF404040"/>
        <rFont val="Arial"/>
        <family val="0"/>
        <charset val="1"/>
      </rPr>
      <t xml:space="preserve">+175%</t>
    </r>
  </si>
  <si>
    <r>
      <rPr>
        <sz val="8"/>
        <color rgb="FF404040"/>
        <rFont val="Noto Sans CJK SC"/>
        <family val="2"/>
      </rPr>
      <t xml:space="preserve">情形设定的年度毛利率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控制台「毛利率平移」；</t>
    </r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直接取控制台「终局毛利率」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</si>
  <si>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控制台「营业费用率」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</si>
  <si>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÷ </t>
    </r>
    <r>
      <rPr>
        <sz val="8"/>
        <color rgb="FF404040"/>
        <rFont val="Noto Sans CJK SC"/>
        <family val="2"/>
      </rPr>
      <t xml:space="preserve">收入。可与投资者日目标「约 </t>
    </r>
    <r>
      <rPr>
        <sz val="8"/>
        <color rgb="FF404040"/>
        <rFont val="Arial"/>
        <family val="0"/>
        <charset val="1"/>
      </rPr>
      <t xml:space="preserve">75%</t>
    </r>
    <r>
      <rPr>
        <sz val="8"/>
        <color rgb="FF404040"/>
        <rFont val="Noto Sans CJK SC"/>
        <family val="2"/>
      </rPr>
      <t xml:space="preserve">」对照</t>
    </r>
  </si>
  <si>
    <r>
      <rPr>
        <sz val="9"/>
        <color rgb="FF000000"/>
        <rFont val="Noto Sans CJK SC"/>
        <family val="2"/>
      </rPr>
      <t xml:space="preserve">税后经营利润 </t>
    </r>
    <r>
      <rPr>
        <sz val="9"/>
        <color rgb="FF000000"/>
        <rFont val="Arial"/>
        <family val="0"/>
        <charset val="1"/>
      </rPr>
      <t xml:space="preserve">NOPAT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</si>
  <si>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×(1 − </t>
    </r>
    <r>
      <rPr>
        <sz val="8"/>
        <color rgb="FF404040"/>
        <rFont val="Noto Sans CJK SC"/>
        <family val="2"/>
      </rPr>
      <t xml:space="preserve">有效税率</t>
    </r>
    <r>
      <rPr>
        <sz val="8"/>
        <color rgb="FF404040"/>
        <rFont val="Arial"/>
        <family val="0"/>
        <charset val="1"/>
      </rPr>
      <t xml:space="preserve">)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</si>
  <si>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0.74%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</si>
  <si>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控制台「自有资本开支率」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</si>
  <si>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</t>
    </r>
    <r>
      <rPr>
        <sz val="8"/>
        <color rgb="FF404040"/>
        <rFont val="Arial"/>
        <family val="0"/>
        <charset val="1"/>
      </rPr>
      <t xml:space="preserve">FV </t>
    </r>
    <r>
      <rPr>
        <sz val="8"/>
        <color rgb="FF404040"/>
        <rFont val="Noto Sans CJK SC"/>
        <family val="2"/>
      </rPr>
      <t xml:space="preserve">净投入率」</t>
    </r>
  </si>
  <si>
    <r>
      <rPr>
        <sz val="8"/>
        <color rgb="FF404040"/>
        <rFont val="Noto Sans CJK SC"/>
        <family val="2"/>
      </rPr>
      <t xml:space="preserve">＝ 控制台「营运资本占年化收入比」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当年收入。期初取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年化收入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同一比例</t>
    </r>
  </si>
  <si>
    <t xml:space="preserve">＝ 本年余额 − 上年余额（余额法）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</si>
  <si>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NOPAT + D&amp;A − </t>
    </r>
    <r>
      <rPr>
        <sz val="8"/>
        <color rgb="FF404040"/>
        <rFont val="Noto Sans CJK SC"/>
        <family val="2"/>
      </rPr>
      <t xml:space="preserve">自有资本开支 − </t>
    </r>
    <r>
      <rPr>
        <sz val="8"/>
        <color rgb="FF404040"/>
        <rFont val="Arial"/>
        <family val="0"/>
        <charset val="1"/>
      </rPr>
      <t xml:space="preserve">FV </t>
    </r>
    <r>
      <rPr>
        <sz val="8"/>
        <color rgb="FF404040"/>
        <rFont val="Noto Sans CJK SC"/>
        <family val="2"/>
      </rPr>
      <t xml:space="preserve">净投入 − </t>
    </r>
    <r>
      <rPr>
        <sz val="8"/>
        <color rgb="FF404040"/>
        <rFont val="Arial"/>
        <family val="0"/>
        <charset val="1"/>
      </rPr>
      <t xml:space="preserve">ΔNWC</t>
    </r>
    <r>
      <rPr>
        <sz val="8"/>
        <color rgb="FF404040"/>
        <rFont val="Noto Sans CJK SC"/>
        <family val="2"/>
      </rPr>
      <t xml:space="preserve">。★ 估值采用的是这一行，不是季度块</t>
    </r>
  </si>
  <si>
    <r>
      <rPr>
        <sz val="9"/>
        <color rgb="FF000000"/>
        <rFont val="Noto Sans CJK SC"/>
        <family val="2"/>
      </rPr>
      <t xml:space="preserve">　</t>
    </r>
    <r>
      <rPr>
        <sz val="9"/>
        <color rgb="FF000000"/>
        <rFont val="Arial"/>
        <family val="0"/>
        <charset val="1"/>
      </rPr>
      <t xml:space="preserve">FCFF </t>
    </r>
    <r>
      <rPr>
        <sz val="9"/>
        <color rgb="FF000000"/>
        <rFont val="Noto Sans CJK SC"/>
        <family val="2"/>
      </rPr>
      <t xml:space="preserve">利润率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</si>
  <si>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FCFF ÷ </t>
    </r>
    <r>
      <rPr>
        <sz val="8"/>
        <color rgb="FF404040"/>
        <rFont val="Noto Sans CJK SC"/>
        <family val="2"/>
      </rPr>
      <t xml:space="preserve">收入。可与投资者日「调整后自由现金流率约 </t>
    </r>
    <r>
      <rPr>
        <sz val="8"/>
        <color rgb="FF404040"/>
        <rFont val="Arial"/>
        <family val="0"/>
        <charset val="1"/>
      </rPr>
      <t xml:space="preserve">50%</t>
    </r>
    <r>
      <rPr>
        <sz val="8"/>
        <color rgb="FF404040"/>
        <rFont val="Noto Sans CJK SC"/>
        <family val="2"/>
      </rPr>
      <t xml:space="preserve">」对照（口径不同，见溯源表）</t>
    </r>
  </si>
  <si>
    <t xml:space="preserve">折现期（年，期中折现）</t>
  </si>
  <si>
    <t xml:space="preserve">—</t>
  </si>
  <si>
    <r>
      <rPr>
        <sz val="8"/>
        <color rgb="FF404040"/>
        <rFont val="Noto Sans CJK SC"/>
        <family val="2"/>
      </rPr>
      <t xml:space="preserve">期中折现法：第 </t>
    </r>
    <r>
      <rPr>
        <sz val="8"/>
        <color rgb="FF404040"/>
        <rFont val="Arial"/>
        <family val="0"/>
        <charset val="1"/>
      </rPr>
      <t xml:space="preserve">n </t>
    </r>
    <r>
      <rPr>
        <sz val="8"/>
        <color rgb="FF404040"/>
        <rFont val="Noto Sans CJK SC"/>
        <family val="2"/>
      </rPr>
      <t xml:space="preserve">年的折现期为 </t>
    </r>
    <r>
      <rPr>
        <sz val="8"/>
        <color rgb="FF404040"/>
        <rFont val="Arial"/>
        <family val="0"/>
        <charset val="1"/>
      </rPr>
      <t xml:space="preserve">n − 0.5</t>
    </r>
    <r>
      <rPr>
        <sz val="8"/>
        <color rgb="FF404040"/>
        <rFont val="Noto Sans CJK SC"/>
        <family val="2"/>
      </rPr>
      <t xml:space="preserve">，假设现金流在年内均匀发生</t>
    </r>
  </si>
  <si>
    <t xml:space="preserve">折现因子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</si>
  <si>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1 ÷ (1 + WACC)^</t>
    </r>
    <r>
      <rPr>
        <sz val="8"/>
        <color rgb="FF404040"/>
        <rFont val="Noto Sans CJK SC"/>
        <family val="2"/>
      </rPr>
      <t xml:space="preserve">折现期</t>
    </r>
  </si>
  <si>
    <r>
      <rPr>
        <b val="true"/>
        <sz val="9"/>
        <color rgb="FF16305B"/>
        <rFont val="Noto Sans CJK SC"/>
        <family val="2"/>
      </rPr>
      <t xml:space="preserve">折现后 </t>
    </r>
    <r>
      <rPr>
        <b val="true"/>
        <sz val="9"/>
        <color rgb="FF16305B"/>
        <rFont val="Arial"/>
        <family val="0"/>
        <charset val="1"/>
      </rPr>
      <t xml:space="preserve">FCFF </t>
    </r>
    <r>
      <rPr>
        <b val="true"/>
        <sz val="9"/>
        <color rgb="FF16305B"/>
        <rFont val="Noto Sans CJK SC"/>
        <family val="2"/>
      </rPr>
      <t xml:space="preserve">现值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</si>
  <si>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FCFF × </t>
    </r>
    <r>
      <rPr>
        <sz val="8"/>
        <color rgb="FF404040"/>
        <rFont val="Noto Sans CJK SC"/>
        <family val="2"/>
      </rPr>
      <t xml:space="preserve">折现因子</t>
    </r>
  </si>
  <si>
    <r>
      <rPr>
        <b val="true"/>
        <sz val="11"/>
        <color rgb="FFFFFFFF"/>
        <rFont val="Arial"/>
        <family val="0"/>
        <charset val="1"/>
      </rPr>
      <t xml:space="preserve">03  </t>
    </r>
    <r>
      <rPr>
        <b val="true"/>
        <sz val="11"/>
        <color rgb="FFFFFFFF"/>
        <rFont val="Noto Sans CJK SC"/>
        <family val="2"/>
      </rPr>
      <t xml:space="preserve">折现率 </t>
    </r>
    <r>
      <rPr>
        <b val="true"/>
        <sz val="11"/>
        <color rgb="FFFFFFFF"/>
        <rFont val="Arial"/>
        <family val="0"/>
        <charset val="1"/>
      </rPr>
      <t xml:space="preserve">WACC</t>
    </r>
    <r>
      <rPr>
        <b val="true"/>
        <sz val="11"/>
        <color rgb="FFFFFFFF"/>
        <rFont val="Noto Sans CJK SC"/>
        <family val="2"/>
      </rPr>
      <t xml:space="preserve">（公司零负债，</t>
    </r>
    <r>
      <rPr>
        <b val="true"/>
        <sz val="11"/>
        <color rgb="FFFFFFFF"/>
        <rFont val="Arial"/>
        <family val="0"/>
        <charset val="1"/>
      </rPr>
      <t xml:space="preserve">WACC = </t>
    </r>
    <r>
      <rPr>
        <b val="true"/>
        <sz val="11"/>
        <color rgb="FFFFFFFF"/>
        <rFont val="Noto Sans CJK SC"/>
        <family val="2"/>
      </rPr>
      <t xml:space="preserve">股权成本）</t>
    </r>
  </si>
  <si>
    <t xml:space="preserve">参数</t>
  </si>
  <si>
    <t xml:space="preserve">取值</t>
  </si>
  <si>
    <t xml:space="preserve">来源与说明</t>
  </si>
  <si>
    <r>
      <rPr>
        <sz val="8"/>
        <color rgb="FF404040"/>
        <rFont val="Arial"/>
        <family val="0"/>
        <charset val="1"/>
      </rPr>
      <t xml:space="preserve">10 </t>
    </r>
    <r>
      <rPr>
        <sz val="8"/>
        <color rgb="FF404040"/>
        <rFont val="Noto Sans CJK SC"/>
        <family val="2"/>
      </rPr>
      <t xml:space="preserve">年期美国国债收益率，取 </t>
    </r>
    <r>
      <rPr>
        <sz val="8"/>
        <color rgb="FF404040"/>
        <rFont val="Arial"/>
        <family val="0"/>
        <charset val="1"/>
      </rPr>
      <t xml:space="preserve">4.20%</t>
    </r>
  </si>
  <si>
    <r>
      <rPr>
        <sz val="8"/>
        <color rgb="FF404040"/>
        <rFont val="Noto Sans CJK SC"/>
        <family val="2"/>
      </rPr>
      <t xml:space="preserve">美国成熟市场长期 </t>
    </r>
    <r>
      <rPr>
        <sz val="8"/>
        <color rgb="FF404040"/>
        <rFont val="Arial"/>
        <family val="0"/>
        <charset val="1"/>
      </rPr>
      <t xml:space="preserve">ERP</t>
    </r>
    <r>
      <rPr>
        <sz val="8"/>
        <color rgb="FF404040"/>
        <rFont val="Noto Sans CJK SC"/>
        <family val="2"/>
      </rPr>
      <t xml:space="preserve">，取 </t>
    </r>
    <r>
      <rPr>
        <sz val="8"/>
        <color rgb="FF404040"/>
        <rFont val="Arial"/>
        <family val="0"/>
        <charset val="1"/>
      </rPr>
      <t xml:space="preserve">5.00%</t>
    </r>
  </si>
  <si>
    <r>
      <rPr>
        <b val="true"/>
        <sz val="9"/>
        <color rgb="FF000000"/>
        <rFont val="Noto Sans CJK SC"/>
        <family val="2"/>
      </rPr>
      <t xml:space="preserve">贝塔 </t>
    </r>
    <r>
      <rPr>
        <b val="true"/>
        <sz val="9"/>
        <color rgb="FF000000"/>
        <rFont val="Arial"/>
        <family val="0"/>
        <charset val="1"/>
      </rPr>
      <t xml:space="preserve">β</t>
    </r>
    <r>
      <rPr>
        <b val="true"/>
        <sz val="9"/>
        <color rgb="FF000000"/>
        <rFont val="Noto Sans CJK SC"/>
        <family val="2"/>
      </rPr>
      <t xml:space="preserve">（隐含）</t>
    </r>
  </si>
  <si>
    <r>
      <rPr>
        <sz val="8"/>
        <color rgb="FF404040"/>
        <rFont val="Noto Sans CJK SC"/>
        <family val="2"/>
      </rPr>
      <t xml:space="preserve">★ 由控制台 </t>
    </r>
    <r>
      <rPr>
        <sz val="8"/>
        <color rgb="FF404040"/>
        <rFont val="Arial"/>
        <family val="0"/>
        <charset val="1"/>
      </rPr>
      <t xml:space="preserve">WACC </t>
    </r>
    <r>
      <rPr>
        <sz val="8"/>
        <color rgb="FF404040"/>
        <rFont val="Noto Sans CJK SC"/>
        <family val="2"/>
      </rPr>
      <t xml:space="preserve">反解：</t>
    </r>
    <r>
      <rPr>
        <sz val="8"/>
        <color rgb="FF404040"/>
        <rFont val="Arial"/>
        <family val="0"/>
        <charset val="1"/>
      </rPr>
      <t xml:space="preserve">β = (WACC − Rf) ÷ ERP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SNDK 2025-02 </t>
    </r>
    <r>
      <rPr>
        <sz val="8"/>
        <color rgb="FF404040"/>
        <rFont val="Noto Sans CJK SC"/>
        <family val="2"/>
      </rPr>
      <t xml:space="preserve">才上市，交易历史不足两年，回归贝塔极不稳定（</t>
    </r>
    <r>
      <rPr>
        <sz val="8"/>
        <color rgb="FF404040"/>
        <rFont val="Arial"/>
        <family val="0"/>
        <charset val="1"/>
      </rPr>
      <t xml:space="preserve">Yahoo/CNBC </t>
    </r>
    <r>
      <rPr>
        <sz val="8"/>
        <color rgb="FF404040"/>
        <rFont val="Noto Sans CJK SC"/>
        <family val="2"/>
      </rPr>
      <t xml:space="preserve">均不提供 </t>
    </r>
    <r>
      <rPr>
        <sz val="8"/>
        <color rgb="FF404040"/>
        <rFont val="Arial"/>
        <family val="0"/>
        <charset val="1"/>
      </rPr>
      <t xml:space="preserve">β</t>
    </r>
    <r>
      <rPr>
        <sz val="8"/>
        <color rgb="FF404040"/>
        <rFont val="Noto Sans CJK SC"/>
        <family val="2"/>
      </rPr>
      <t xml:space="preserve">），因此本模型的做法是直接设定 </t>
    </r>
    <r>
      <rPr>
        <sz val="8"/>
        <color rgb="FF404040"/>
        <rFont val="Arial"/>
        <family val="0"/>
        <charset val="1"/>
      </rPr>
      <t xml:space="preserve">WACC</t>
    </r>
    <r>
      <rPr>
        <sz val="8"/>
        <color rgb="FF404040"/>
        <rFont val="Noto Sans CJK SC"/>
        <family val="2"/>
      </rPr>
      <t xml:space="preserve">、反算隐含 </t>
    </r>
    <r>
      <rPr>
        <sz val="8"/>
        <color rgb="FF404040"/>
        <rFont val="Arial"/>
        <family val="0"/>
        <charset val="1"/>
      </rPr>
      <t xml:space="preserve">β </t>
    </r>
    <r>
      <rPr>
        <sz val="8"/>
        <color rgb="FF404040"/>
        <rFont val="Noto Sans CJK SC"/>
        <family val="2"/>
      </rPr>
      <t xml:space="preserve">供你判断合理性。</t>
    </r>
  </si>
  <si>
    <r>
      <rPr>
        <b val="true"/>
        <sz val="9"/>
        <color rgb="FF000000"/>
        <rFont val="Noto Sans CJK SC"/>
        <family val="2"/>
      </rPr>
      <t xml:space="preserve">股权成本 </t>
    </r>
    <r>
      <rPr>
        <b val="true"/>
        <sz val="9"/>
        <color rgb="FF000000"/>
        <rFont val="Arial"/>
        <family val="0"/>
        <charset val="1"/>
      </rPr>
      <t xml:space="preserve">Ke = WACC</t>
    </r>
  </si>
  <si>
    <t xml:space="preserve">控制台滑标直接给定</t>
  </si>
  <si>
    <r>
      <rPr>
        <b val="true"/>
        <sz val="9"/>
        <color rgb="FF000000"/>
        <rFont val="Noto Sans CJK SC"/>
        <family val="2"/>
      </rPr>
      <t xml:space="preserve">有息负债 </t>
    </r>
    <r>
      <rPr>
        <b val="true"/>
        <sz val="9"/>
        <color rgb="FF000000"/>
        <rFont val="Arial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总资本</t>
    </r>
  </si>
  <si>
    <r>
      <rPr>
        <sz val="8"/>
        <color rgb="FF404040"/>
        <rFont val="Arial"/>
        <family val="0"/>
        <charset val="1"/>
      </rPr>
      <t xml:space="preserve">FY26 Q3 </t>
    </r>
    <r>
      <rPr>
        <sz val="8"/>
        <color rgb="FF404040"/>
        <rFont val="Noto Sans CJK SC"/>
        <family val="2"/>
      </rPr>
      <t xml:space="preserve">起公司已还清全部长期债务，</t>
    </r>
    <r>
      <rPr>
        <sz val="8"/>
        <color rgb="FF404040"/>
        <rFont val="Arial"/>
        <family val="0"/>
        <charset val="1"/>
      </rPr>
      <t xml:space="preserve">D/(D+E) = 0</t>
    </r>
  </si>
  <si>
    <r>
      <rPr>
        <b val="true"/>
        <sz val="9"/>
        <color rgb="FF000000"/>
        <rFont val="Noto Sans CJK SC"/>
        <family val="2"/>
      </rPr>
      <t xml:space="preserve">债务成本 </t>
    </r>
    <r>
      <rPr>
        <b val="true"/>
        <sz val="9"/>
        <color rgb="FF000000"/>
        <rFont val="Arial"/>
        <family val="0"/>
        <charset val="1"/>
      </rPr>
      <t xml:space="preserve">Kd</t>
    </r>
    <r>
      <rPr>
        <b val="true"/>
        <sz val="9"/>
        <color rgb="FF000000"/>
        <rFont val="Noto Sans CJK SC"/>
        <family val="2"/>
      </rPr>
      <t xml:space="preserve">（税后）</t>
    </r>
  </si>
  <si>
    <t xml:space="preserve">无负债，不适用</t>
  </si>
  <si>
    <r>
      <rPr>
        <b val="true"/>
        <sz val="11"/>
        <color rgb="FFFFFFFF"/>
        <rFont val="Arial"/>
        <family val="0"/>
        <charset val="1"/>
      </rPr>
      <t xml:space="preserve">04  </t>
    </r>
    <r>
      <rPr>
        <b val="true"/>
        <sz val="11"/>
        <color rgb="FFFFFFFF"/>
        <rFont val="Noto Sans CJK SC"/>
        <family val="2"/>
      </rPr>
      <t xml:space="preserve">估值：从终值到每股内在价值</t>
    </r>
  </si>
  <si>
    <t xml:space="preserve">步骤</t>
  </si>
  <si>
    <t xml:space="preserve">金额（百万美元）</t>
  </si>
  <si>
    <t xml:space="preserve">计算方式与说明</t>
  </si>
  <si>
    <r>
      <rPr>
        <b val="true"/>
        <sz val="9"/>
        <color rgb="FF16305B"/>
        <rFont val="Noto Sans CJK SC"/>
        <family val="2"/>
      </rPr>
      <t xml:space="preserve">① 预测期 </t>
    </r>
    <r>
      <rPr>
        <b val="true"/>
        <sz val="9"/>
        <color rgb="FF16305B"/>
        <rFont val="Arial"/>
        <family val="0"/>
        <charset val="1"/>
      </rPr>
      <t xml:space="preserve">FCFF </t>
    </r>
    <r>
      <rPr>
        <b val="true"/>
        <sz val="9"/>
        <color rgb="FF16305B"/>
        <rFont val="Noto Sans CJK SC"/>
        <family val="2"/>
      </rPr>
      <t xml:space="preserve">现值合计</t>
    </r>
  </si>
  <si>
    <r>
      <rPr>
        <sz val="8"/>
        <color rgb="FF404040"/>
        <rFont val="Arial"/>
        <family val="0"/>
        <charset val="1"/>
      </rPr>
      <t xml:space="preserve">FY2027–FY2032 </t>
    </r>
    <r>
      <rPr>
        <sz val="8"/>
        <color rgb="FF404040"/>
        <rFont val="Noto Sans CJK SC"/>
        <family val="2"/>
      </rPr>
      <t xml:space="preserve">六年折现值加总（期中折现）</t>
    </r>
  </si>
  <si>
    <r>
      <rPr>
        <b val="true"/>
        <sz val="9"/>
        <color rgb="FF16305B"/>
        <rFont val="Noto Sans CJK SC"/>
        <family val="2"/>
      </rPr>
      <t xml:space="preserve">② 终值 </t>
    </r>
    <r>
      <rPr>
        <b val="true"/>
        <sz val="9"/>
        <color rgb="FF16305B"/>
        <rFont val="Arial"/>
        <family val="0"/>
        <charset val="1"/>
      </rPr>
      <t xml:space="preserve">TV</t>
    </r>
    <r>
      <rPr>
        <b val="true"/>
        <sz val="9"/>
        <color rgb="FF16305B"/>
        <rFont val="Noto Sans CJK SC"/>
        <family val="2"/>
      </rPr>
      <t xml:space="preserve">（永续增长法）</t>
    </r>
  </si>
  <si>
    <r>
      <rPr>
        <sz val="8"/>
        <color rgb="FF404040"/>
        <rFont val="Noto Sans CJK SC"/>
        <family val="2"/>
      </rPr>
      <t xml:space="preserve">＝ 永续期 </t>
    </r>
    <r>
      <rPr>
        <sz val="8"/>
        <color rgb="FF404040"/>
        <rFont val="Arial"/>
        <family val="0"/>
        <charset val="1"/>
      </rPr>
      <t xml:space="preserve">FCFF ÷ (WACC − g)</t>
    </r>
    <r>
      <rPr>
        <sz val="8"/>
        <color rgb="FF404040"/>
        <rFont val="Noto Sans CJK SC"/>
        <family val="2"/>
      </rPr>
      <t xml:space="preserve">。★ 若 </t>
    </r>
    <r>
      <rPr>
        <sz val="8"/>
        <color rgb="FF404040"/>
        <rFont val="Arial"/>
        <family val="0"/>
        <charset val="1"/>
      </rPr>
      <t xml:space="preserve">WACC ≤ g </t>
    </r>
    <r>
      <rPr>
        <sz val="8"/>
        <color rgb="FF404040"/>
        <rFont val="Noto Sans CJK SC"/>
        <family val="2"/>
      </rPr>
      <t xml:space="preserve">公式失效，控制台已把 </t>
    </r>
    <r>
      <rPr>
        <sz val="8"/>
        <color rgb="FF404040"/>
        <rFont val="Arial"/>
        <family val="0"/>
        <charset val="1"/>
      </rPr>
      <t xml:space="preserve">g </t>
    </r>
    <r>
      <rPr>
        <sz val="8"/>
        <color rgb="FF404040"/>
        <rFont val="Noto Sans CJK SC"/>
        <family val="2"/>
      </rPr>
      <t xml:space="preserve">上限设在 </t>
    </r>
    <r>
      <rPr>
        <sz val="8"/>
        <color rgb="FF404040"/>
        <rFont val="Arial"/>
        <family val="0"/>
        <charset val="1"/>
      </rPr>
      <t xml:space="preserve">6%</t>
    </r>
  </si>
  <si>
    <r>
      <rPr>
        <b val="true"/>
        <sz val="9"/>
        <color rgb="FF16305B"/>
        <rFont val="Noto Sans CJK SC"/>
        <family val="2"/>
      </rPr>
      <t xml:space="preserve">③ 终值现值 </t>
    </r>
    <r>
      <rPr>
        <b val="true"/>
        <sz val="9"/>
        <color rgb="FF16305B"/>
        <rFont val="Arial"/>
        <family val="0"/>
        <charset val="1"/>
      </rPr>
      <t xml:space="preserve">PV(TV)</t>
    </r>
  </si>
  <si>
    <r>
      <rPr>
        <sz val="8"/>
        <color rgb="FF404040"/>
        <rFont val="Noto Sans CJK SC"/>
        <family val="2"/>
      </rPr>
      <t xml:space="preserve">用 </t>
    </r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的折现因子再折半年，与期中折现保持一致</t>
    </r>
  </si>
  <si>
    <t xml:space="preserve">④ 终值占企业价值比重</t>
  </si>
  <si>
    <t xml:space="preserve">★ 这个比例越高，说明估值越依赖你对永续期的猜测，而不是可见的现金流</t>
  </si>
  <si>
    <r>
      <rPr>
        <b val="true"/>
        <sz val="9"/>
        <color rgb="FF16305B"/>
        <rFont val="Noto Sans CJK SC"/>
        <family val="2"/>
      </rPr>
      <t xml:space="preserve">⑤ 企业价值 </t>
    </r>
    <r>
      <rPr>
        <b val="true"/>
        <sz val="9"/>
        <color rgb="FF16305B"/>
        <rFont val="Arial"/>
        <family val="0"/>
        <charset val="1"/>
      </rPr>
      <t xml:space="preserve">EV</t>
    </r>
  </si>
  <si>
    <r>
      <rPr>
        <sz val="8"/>
        <color rgb="FF404040"/>
        <rFont val="Noto Sans CJK SC"/>
        <family val="2"/>
      </rPr>
      <t xml:space="preserve">＝ ① </t>
    </r>
    <r>
      <rPr>
        <sz val="8"/>
        <color rgb="FF404040"/>
        <rFont val="Arial"/>
        <family val="0"/>
        <charset val="1"/>
      </rPr>
      <t xml:space="preserve">+ ③</t>
    </r>
  </si>
  <si>
    <t xml:space="preserve">⑥ ＋ 货币资金</t>
  </si>
  <si>
    <r>
      <rPr>
        <sz val="8"/>
        <color rgb="FF404040"/>
        <rFont val="Arial"/>
        <family val="0"/>
        <charset val="1"/>
      </rPr>
      <t xml:space="preserve">FY26 Q4</t>
    </r>
    <r>
      <rPr>
        <sz val="8"/>
        <color rgb="FF404040"/>
        <rFont val="Noto Sans CJK SC"/>
        <family val="2"/>
      </rPr>
      <t xml:space="preserve">末 </t>
    </r>
    <r>
      <rPr>
        <sz val="8"/>
        <color rgb="FF404040"/>
        <rFont val="Arial"/>
        <family val="0"/>
        <charset val="1"/>
      </rPr>
      <t xml:space="preserve">$4,762M</t>
    </r>
  </si>
  <si>
    <t xml:space="preserve">⑦ ＋ 可交易权益证券</t>
  </si>
  <si>
    <r>
      <rPr>
        <sz val="8"/>
        <color rgb="FF404040"/>
        <rFont val="Arial"/>
        <family val="0"/>
        <charset val="1"/>
      </rPr>
      <t xml:space="preserve">FY26 Q4</t>
    </r>
    <r>
      <rPr>
        <sz val="8"/>
        <color rgb="FF404040"/>
        <rFont val="Noto Sans CJK SC"/>
        <family val="2"/>
      </rPr>
      <t xml:space="preserve">末 </t>
    </r>
    <r>
      <rPr>
        <sz val="8"/>
        <color rgb="FF404040"/>
        <rFont val="Arial"/>
        <family val="0"/>
        <charset val="1"/>
      </rPr>
      <t xml:space="preserve">$1,777M</t>
    </r>
    <r>
      <rPr>
        <sz val="8"/>
        <color rgb="FF404040"/>
        <rFont val="Noto Sans CJK SC"/>
        <family val="2"/>
      </rPr>
      <t xml:space="preserve">，按非经营性资产处理</t>
    </r>
  </si>
  <si>
    <t xml:space="preserve">⑧ − 有息负债</t>
  </si>
  <si>
    <t xml:space="preserve">公司已零负债</t>
  </si>
  <si>
    <t xml:space="preserve">⑨ 股权价值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</si>
  <si>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EV + </t>
    </r>
    <r>
      <rPr>
        <sz val="8"/>
        <color rgb="FF404040"/>
        <rFont val="Noto Sans CJK SC"/>
        <family val="2"/>
      </rPr>
      <t xml:space="preserve">净现金</t>
    </r>
  </si>
  <si>
    <t xml:space="preserve">⑩ 摊薄股数（百万股）</t>
  </si>
  <si>
    <r>
      <rPr>
        <sz val="8"/>
        <color rgb="FF404040"/>
        <rFont val="Noto Sans CJK SC"/>
        <family val="2"/>
      </rPr>
      <t xml:space="preserve">公司 </t>
    </r>
    <r>
      <rPr>
        <sz val="8"/>
        <color rgb="FF404040"/>
        <rFont val="Arial"/>
        <family val="0"/>
        <charset val="1"/>
      </rPr>
      <t xml:space="preserve">FY27 Q1 </t>
    </r>
    <r>
      <rPr>
        <sz val="8"/>
        <color rgb="FF404040"/>
        <rFont val="Noto Sans CJK SC"/>
        <family val="2"/>
      </rPr>
      <t xml:space="preserve">指引「约 </t>
    </r>
    <r>
      <rPr>
        <sz val="8"/>
        <color rgb="FF404040"/>
        <rFont val="Arial"/>
        <family val="0"/>
        <charset val="1"/>
      </rPr>
      <t xml:space="preserve">155</t>
    </r>
    <r>
      <rPr>
        <sz val="8"/>
        <color rgb="FF404040"/>
        <rFont val="Noto Sans CJK SC"/>
        <family val="2"/>
      </rPr>
      <t xml:space="preserve">」</t>
    </r>
  </si>
  <si>
    <t xml:space="preserve">⑪ 每股内在价值</t>
  </si>
  <si>
    <r>
      <rPr>
        <sz val="8"/>
        <color rgb="FF404040"/>
        <rFont val="Noto Sans CJK SC"/>
        <family val="2"/>
      </rPr>
      <t xml:space="preserve">＝ 股权价值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摊薄股数</t>
    </r>
  </si>
  <si>
    <t xml:space="preserve">⑫ 当前股价</t>
  </si>
  <si>
    <r>
      <rPr>
        <sz val="8"/>
        <color rgb="FF404040"/>
        <rFont val="Arial"/>
        <family val="0"/>
        <charset val="1"/>
      </rPr>
      <t xml:space="preserve">2026-08-26 </t>
    </r>
    <r>
      <rPr>
        <sz val="8"/>
        <color rgb="FF404040"/>
        <rFont val="Noto Sans CJK SC"/>
        <family val="2"/>
      </rPr>
      <t xml:space="preserve">盘中 </t>
    </r>
    <r>
      <rPr>
        <sz val="8"/>
        <color rgb="FF404040"/>
        <rFont val="Arial"/>
        <family val="0"/>
        <charset val="1"/>
      </rPr>
      <t xml:space="preserve">$1,500.17</t>
    </r>
  </si>
  <si>
    <r>
      <rPr>
        <b val="true"/>
        <sz val="10"/>
        <color rgb="FFFFFFFF"/>
        <rFont val="Noto Sans CJK SC"/>
        <family val="2"/>
      </rPr>
      <t xml:space="preserve">⑬ 相对现价的上行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下行</t>
    </r>
  </si>
  <si>
    <r>
      <rPr>
        <sz val="8"/>
        <color rgb="FF404040"/>
        <rFont val="Noto Sans CJK SC"/>
        <family val="2"/>
      </rPr>
      <t xml:space="preserve">★ 正数 </t>
    </r>
    <r>
      <rPr>
        <sz val="8"/>
        <color rgb="FF404040"/>
        <rFont val="Arial"/>
        <family val="0"/>
        <charset val="1"/>
      </rPr>
      <t xml:space="preserve">= </t>
    </r>
    <r>
      <rPr>
        <sz val="8"/>
        <color rgb="FF404040"/>
        <rFont val="Noto Sans CJK SC"/>
        <family val="2"/>
      </rPr>
      <t xml:space="preserve">模型认为被低估；负数 </t>
    </r>
    <r>
      <rPr>
        <sz val="8"/>
        <color rgb="FF404040"/>
        <rFont val="Arial"/>
        <family val="0"/>
        <charset val="1"/>
      </rPr>
      <t xml:space="preserve">= </t>
    </r>
    <r>
      <rPr>
        <sz val="8"/>
        <color rgb="FF404040"/>
        <rFont val="Noto Sans CJK SC"/>
        <family val="2"/>
      </rPr>
      <t xml:space="preserve">被高估</t>
    </r>
  </si>
  <si>
    <r>
      <rPr>
        <sz val="9"/>
        <color rgb="FF3D3D3D"/>
        <rFont val="Noto Sans CJK SC"/>
        <family val="2"/>
      </rPr>
      <t xml:space="preserve">★ 请先看第 ④ 行「终值占企业价值比重」再看第 ⑬ 行的结论。对一个处在周期顶点的存储公司，如果终值占比超过 </t>
    </r>
    <r>
      <rPr>
        <sz val="9"/>
        <color rgb="FF3D3D3D"/>
        <rFont val="Arial"/>
        <family val="0"/>
        <charset val="1"/>
      </rPr>
      <t xml:space="preserve">70%</t>
    </r>
    <r>
      <rPr>
        <sz val="9"/>
        <color rgb="FF3D3D3D"/>
        <rFont val="Noto Sans CJK SC"/>
        <family val="2"/>
      </rPr>
      <t xml:space="preserve">，那么这个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实际上不是在给现金流定价，而是在给你对 </t>
    </r>
    <r>
      <rPr>
        <sz val="9"/>
        <color rgb="FF3D3D3D"/>
        <rFont val="Arial"/>
        <family val="0"/>
        <charset val="1"/>
      </rPr>
      <t xml:space="preserve">2032 </t>
    </r>
    <r>
      <rPr>
        <sz val="9"/>
        <color rgb="FF3D3D3D"/>
        <rFont val="Noto Sans CJK SC"/>
        <family val="2"/>
      </rPr>
      <t xml:space="preserve">年之后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行业格局的猜测定价。</t>
    </r>
  </si>
  <si>
    <r>
      <rPr>
        <b val="true"/>
        <sz val="11"/>
        <color rgb="FFFFFFFF"/>
        <rFont val="Arial"/>
        <family val="0"/>
        <charset val="1"/>
      </rPr>
      <t xml:space="preserve">05  </t>
    </r>
    <r>
      <rPr>
        <b val="true"/>
        <sz val="11"/>
        <color rgb="FFFFFFFF"/>
        <rFont val="Noto Sans CJK SC"/>
        <family val="2"/>
      </rPr>
      <t xml:space="preserve">交叉验证：退出倍数法与相对估值</t>
    </r>
  </si>
  <si>
    <t xml:space="preserve">方法</t>
  </si>
  <si>
    <t xml:space="preserve">关键输入</t>
  </si>
  <si>
    <t xml:space="preserve">隐含结果</t>
  </si>
  <si>
    <t xml:space="preserve">说明</t>
  </si>
  <si>
    <r>
      <rPr>
        <b val="true"/>
        <sz val="9"/>
        <color rgb="FF000000"/>
        <rFont val="Noto Sans CJK SC"/>
        <family val="2"/>
      </rPr>
      <t xml:space="preserve">永续增长法隐含的退出 </t>
    </r>
    <r>
      <rPr>
        <b val="true"/>
        <sz val="9"/>
        <color rgb="FF000000"/>
        <rFont val="Arial"/>
        <family val="0"/>
        <charset val="1"/>
      </rPr>
      <t xml:space="preserve">EV/EBITDA</t>
    </r>
  </si>
  <si>
    <r>
      <rPr>
        <sz val="8"/>
        <color rgb="FF404040"/>
        <rFont val="Noto Sans CJK SC"/>
        <family val="2"/>
      </rPr>
      <t xml:space="preserve">＝ 终值 </t>
    </r>
    <r>
      <rPr>
        <sz val="8"/>
        <color rgb="FF404040"/>
        <rFont val="Arial"/>
        <family val="0"/>
        <charset val="1"/>
      </rPr>
      <t xml:space="preserve">÷ FY32 EBITDA</t>
    </r>
    <r>
      <rPr>
        <sz val="8"/>
        <color rgb="FF404040"/>
        <rFont val="Noto Sans CJK SC"/>
        <family val="2"/>
      </rPr>
      <t xml:space="preserve">。若这个倍数远高于半导体行业常见的 </t>
    </r>
    <r>
      <rPr>
        <sz val="8"/>
        <color rgb="FF404040"/>
        <rFont val="Arial"/>
        <family val="0"/>
        <charset val="1"/>
      </rPr>
      <t xml:space="preserve">8–14x</t>
    </r>
    <r>
      <rPr>
        <sz val="8"/>
        <color rgb="FF404040"/>
        <rFont val="Noto Sans CJK SC"/>
        <family val="2"/>
      </rPr>
      <t xml:space="preserve">，说明永续增长率给得过于激进</t>
    </r>
  </si>
  <si>
    <r>
      <rPr>
        <b val="true"/>
        <sz val="9"/>
        <color rgb="FF000000"/>
        <rFont val="Noto Sans CJK SC"/>
        <family val="2"/>
      </rPr>
      <t xml:space="preserve">永续增长法隐含的退出 </t>
    </r>
    <r>
      <rPr>
        <b val="true"/>
        <sz val="9"/>
        <color rgb="FF000000"/>
        <rFont val="Arial"/>
        <family val="0"/>
        <charset val="1"/>
      </rPr>
      <t xml:space="preserve">EV/</t>
    </r>
    <r>
      <rPr>
        <b val="true"/>
        <sz val="9"/>
        <color rgb="FF000000"/>
        <rFont val="Noto Sans CJK SC"/>
        <family val="2"/>
      </rPr>
      <t xml:space="preserve">收入</t>
    </r>
  </si>
  <si>
    <r>
      <rPr>
        <sz val="8"/>
        <color rgb="FF404040"/>
        <rFont val="Noto Sans CJK SC"/>
        <family val="2"/>
      </rPr>
      <t xml:space="preserve">＝ 终值 </t>
    </r>
    <r>
      <rPr>
        <sz val="8"/>
        <color rgb="FF404040"/>
        <rFont val="Arial"/>
        <family val="0"/>
        <charset val="1"/>
      </rPr>
      <t xml:space="preserve">÷ FY32 </t>
    </r>
    <r>
      <rPr>
        <sz val="8"/>
        <color rgb="FF404040"/>
        <rFont val="Noto Sans CJK SC"/>
        <family val="2"/>
      </rPr>
      <t xml:space="preserve">收入</t>
    </r>
  </si>
  <si>
    <r>
      <rPr>
        <b val="true"/>
        <sz val="9"/>
        <color rgb="FF000000"/>
        <rFont val="Noto Sans CJK SC"/>
        <family val="2"/>
      </rPr>
      <t xml:space="preserve">本模型每股价值 </t>
    </r>
    <r>
      <rPr>
        <b val="true"/>
        <sz val="9"/>
        <color rgb="FF000000"/>
        <rFont val="Arial"/>
        <family val="0"/>
        <charset val="1"/>
      </rPr>
      <t xml:space="preserve">÷ FY27 </t>
    </r>
    <r>
      <rPr>
        <b val="true"/>
        <sz val="9"/>
        <color rgb="FF000000"/>
        <rFont val="Noto Sans CJK SC"/>
        <family val="2"/>
      </rPr>
      <t xml:space="preserve">每股 </t>
    </r>
    <r>
      <rPr>
        <b val="true"/>
        <sz val="9"/>
        <color rgb="FF000000"/>
        <rFont val="Arial"/>
        <family val="0"/>
        <charset val="1"/>
      </rPr>
      <t xml:space="preserve">FCFF</t>
    </r>
  </si>
  <si>
    <r>
      <rPr>
        <sz val="8"/>
        <color rgb="FF404040"/>
        <rFont val="Noto Sans CJK SC"/>
        <family val="2"/>
      </rPr>
      <t xml:space="preserve">把内在价值换算成 </t>
    </r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自由现金流的倍数，便于与同业横比</t>
    </r>
  </si>
  <si>
    <r>
      <rPr>
        <b val="true"/>
        <sz val="9"/>
        <color rgb="FF000000"/>
        <rFont val="Noto Sans CJK SC"/>
        <family val="2"/>
      </rPr>
      <t xml:space="preserve">当前股价隐含的 </t>
    </r>
    <r>
      <rPr>
        <b val="true"/>
        <sz val="9"/>
        <color rgb="FF000000"/>
        <rFont val="Arial"/>
        <family val="0"/>
        <charset val="1"/>
      </rPr>
      <t xml:space="preserve">FY27 P/FCFF</t>
    </r>
  </si>
  <si>
    <r>
      <rPr>
        <sz val="8"/>
        <color rgb="FF404040"/>
        <rFont val="Noto Sans CJK SC"/>
        <family val="2"/>
      </rPr>
      <t xml:space="preserve">市场正在为 </t>
    </r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的自由现金流付多少倍</t>
    </r>
  </si>
  <si>
    <r>
      <rPr>
        <b val="true"/>
        <sz val="9"/>
        <color rgb="FF000000"/>
        <rFont val="Noto Sans CJK SC"/>
        <family val="2"/>
      </rPr>
      <t xml:space="preserve">当前市值 </t>
    </r>
    <r>
      <rPr>
        <b val="true"/>
        <sz val="9"/>
        <color rgb="FF000000"/>
        <rFont val="Arial"/>
        <family val="0"/>
        <charset val="1"/>
      </rPr>
      <t xml:space="preserve">÷ </t>
    </r>
    <r>
      <rPr>
        <b val="true"/>
        <sz val="9"/>
        <color rgb="FF000000"/>
        <rFont val="Noto Sans CJK SC"/>
        <family val="2"/>
      </rPr>
      <t xml:space="preserve">本模型股权价值</t>
    </r>
  </si>
  <si>
    <r>
      <rPr>
        <sz val="8"/>
        <color rgb="FF404040"/>
        <rFont val="Noto Sans CJK SC"/>
        <family val="2"/>
      </rPr>
      <t xml:space="preserve">大于 </t>
    </r>
    <r>
      <rPr>
        <sz val="8"/>
        <color rgb="FF404040"/>
        <rFont val="Arial"/>
        <family val="0"/>
        <charset val="1"/>
      </rPr>
      <t xml:space="preserve">1 = </t>
    </r>
    <r>
      <rPr>
        <sz val="8"/>
        <color rgb="FF404040"/>
        <rFont val="Noto Sans CJK SC"/>
        <family val="2"/>
      </rPr>
      <t xml:space="preserve">市场比模型乐观</t>
    </r>
  </si>
  <si>
    <r>
      <rPr>
        <b val="true"/>
        <sz val="11"/>
        <color rgb="FFFFFFFF"/>
        <rFont val="Arial"/>
        <family val="0"/>
        <charset val="1"/>
      </rPr>
      <t xml:space="preserve">06  </t>
    </r>
    <r>
      <rPr>
        <b val="true"/>
        <sz val="11"/>
        <color rgb="FFFFFFFF"/>
        <rFont val="Noto Sans CJK SC"/>
        <family val="2"/>
      </rPr>
      <t xml:space="preserve">回购与每股收益：</t>
    </r>
    <r>
      <rPr>
        <b val="true"/>
        <sz val="11"/>
        <color rgb="FFFFFFFF"/>
        <rFont val="Arial"/>
        <family val="0"/>
        <charset val="1"/>
      </rPr>
      <t xml:space="preserve">EPS × P/E </t>
    </r>
    <r>
      <rPr>
        <b val="true"/>
        <sz val="11"/>
        <color rgb="FFFFFFFF"/>
        <rFont val="Noto Sans CJK SC"/>
        <family val="2"/>
      </rPr>
      <t xml:space="preserve">交叉估值（与 </t>
    </r>
    <r>
      <rPr>
        <b val="true"/>
        <sz val="11"/>
        <color rgb="FFFFFFFF"/>
        <rFont val="Arial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并排看）</t>
    </r>
  </si>
  <si>
    <r>
      <rPr>
        <sz val="9"/>
        <color rgb="FF3D3D3D"/>
        <rFont val="Noto Sans CJK SC"/>
        <family val="2"/>
      </rPr>
      <t xml:space="preserve">为什么要做这一块：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给的是「整个企业值多少钱」，它对回购是中性的——按公允价值回购既不创造也不毁灭价值。但管理层已承诺把 </t>
    </r>
    <r>
      <rPr>
        <sz val="9"/>
        <color rgb="FF3D3D3D"/>
        <rFont val="Arial"/>
        <family val="0"/>
        <charset val="1"/>
      </rPr>
      <t xml:space="preserve">100% </t>
    </r>
    <r>
      <rPr>
        <sz val="9"/>
        <color rgb="FF3D3D3D"/>
        <rFont val="Noto Sans CJK SC"/>
        <family val="2"/>
      </rPr>
      <t xml:space="preserve">的剩余现金用于回购，股数会大幅下降，所以从「持有不卖的股东」角度看，每股口径会变。这一节把回购显式建模：股数逐年递减 → 经营性 </t>
    </r>
    <r>
      <rPr>
        <sz val="9"/>
        <color rgb="FF3D3D3D"/>
        <rFont val="Arial"/>
        <family val="0"/>
        <charset val="1"/>
      </rPr>
      <t xml:space="preserve">EPS </t>
    </r>
    <r>
      <rPr>
        <sz val="9"/>
        <color rgb="FF3D3D3D"/>
        <rFont val="Noto Sans CJK SC"/>
        <family val="2"/>
      </rPr>
      <t xml:space="preserve">抬升 → 用当年的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给一个价格 → 折回今天，再与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的结果并排比较。</t>
    </r>
  </si>
  <si>
    <r>
      <rPr>
        <sz val="9"/>
        <color rgb="FF3D3D3D"/>
        <rFont val="Noto Sans CJK SC"/>
        <family val="2"/>
      </rPr>
      <t xml:space="preserve">★ 关于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：本节不再用同一个倍数乘所有年份。</t>
    </r>
    <r>
      <rPr>
        <sz val="9"/>
        <color rgb="FF3D3D3D"/>
        <rFont val="Arial"/>
        <family val="0"/>
        <charset val="1"/>
      </rPr>
      <t xml:space="preserve">FY2027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FY2028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FY2032 </t>
    </r>
    <r>
      <rPr>
        <sz val="9"/>
        <color rgb="FF3D3D3D"/>
        <rFont val="Noto Sans CJK SC"/>
        <family val="2"/>
      </rPr>
      <t xml:space="preserve">各有独立滑标，</t>
    </r>
    <r>
      <rPr>
        <sz val="9"/>
        <color rgb="FF3D3D3D"/>
        <rFont val="Arial"/>
        <family val="0"/>
        <charset val="1"/>
      </rPr>
      <t xml:space="preserve">FY29–FY31 </t>
    </r>
    <r>
      <rPr>
        <sz val="9"/>
        <color rgb="FF3D3D3D"/>
        <rFont val="Noto Sans CJK SC"/>
        <family val="2"/>
      </rPr>
      <t xml:space="preserve">在 </t>
    </r>
    <r>
      <rPr>
        <sz val="9"/>
        <color rgb="FF3D3D3D"/>
        <rFont val="Arial"/>
        <family val="0"/>
        <charset val="1"/>
      </rPr>
      <t xml:space="preserve">FY28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FY32 </t>
    </r>
    <r>
      <rPr>
        <sz val="9"/>
        <color rgb="FF3D3D3D"/>
        <rFont val="Noto Sans CJK SC"/>
        <family val="2"/>
      </rPr>
      <t xml:space="preserve">之间线性过渡。原因是周期股的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与盈利反向：盈利高点（</t>
    </r>
    <r>
      <rPr>
        <sz val="9"/>
        <color rgb="FF3D3D3D"/>
        <rFont val="Arial"/>
        <family val="0"/>
        <charset val="1"/>
      </rPr>
      <t xml:space="preserve">FY27</t>
    </r>
    <r>
      <rPr>
        <sz val="9"/>
        <color rgb="FF3D3D3D"/>
        <rFont val="Noto Sans CJK SC"/>
        <family val="2"/>
      </rPr>
      <t xml:space="preserve">）市场给的倍数最低，盈利回落年（</t>
    </r>
    <r>
      <rPr>
        <sz val="9"/>
        <color rgb="FF3D3D3D"/>
        <rFont val="Arial"/>
        <family val="0"/>
        <charset val="1"/>
      </rPr>
      <t xml:space="preserve">FY28</t>
    </r>
    <r>
      <rPr>
        <sz val="9"/>
        <color rgb="FF3D3D3D"/>
        <rFont val="Noto Sans CJK SC"/>
        <family val="2"/>
      </rPr>
      <t xml:space="preserve">）分母掉得比股价快、倍数反而扩张，终局年（</t>
    </r>
    <r>
      <rPr>
        <sz val="9"/>
        <color rgb="FF3D3D3D"/>
        <rFont val="Arial"/>
        <family val="0"/>
        <charset val="1"/>
      </rPr>
      <t xml:space="preserve">FY32</t>
    </r>
    <r>
      <rPr>
        <sz val="9"/>
        <color rgb="FF3D3D3D"/>
        <rFont val="Noto Sans CJK SC"/>
        <family val="2"/>
      </rPr>
      <t xml:space="preserve">）回到正常中枢。用一个固定倍数乘所有年份，会系统性高估高点年份的目标价。</t>
    </r>
  </si>
  <si>
    <r>
      <rPr>
        <sz val="9"/>
        <color rgb="FF3D3D3D"/>
        <rFont val="Noto Sans CJK SC"/>
        <family val="2"/>
      </rPr>
      <t xml:space="preserve">★ 关于回购均价：＝ 当前股价 </t>
    </r>
    <r>
      <rPr>
        <sz val="9"/>
        <color rgb="FF3D3D3D"/>
        <rFont val="Arial"/>
        <family val="0"/>
        <charset val="1"/>
      </rPr>
      <t xml:space="preserve">× </t>
    </r>
    <r>
      <rPr>
        <sz val="9"/>
        <color rgb="FF3D3D3D"/>
        <rFont val="Noto Sans CJK SC"/>
        <family val="2"/>
      </rPr>
      <t xml:space="preserve">倍数 </t>
    </r>
    <r>
      <rPr>
        <sz val="9"/>
        <color rgb="FF3D3D3D"/>
        <rFont val="Arial"/>
        <family val="0"/>
        <charset val="1"/>
      </rPr>
      <t xml:space="preserve">×(1+WACC)^(t−0.5)</t>
    </r>
    <r>
      <rPr>
        <sz val="9"/>
        <color rgb="FF3D3D3D"/>
        <rFont val="Noto Sans CJK SC"/>
        <family val="2"/>
      </rPr>
      <t xml:space="preserve">。让回购价按折现率复利，是「市场对股票定价合理」的中性假设。如果假设股价六年不动，模型会机械地算出巨额增厚——那是假的。有了这个设定，当 </t>
    </r>
    <r>
      <rPr>
        <sz val="9"/>
        <color rgb="FF3D3D3D"/>
        <rFont val="Arial"/>
        <family val="0"/>
        <charset val="1"/>
      </rPr>
      <t xml:space="preserve">FY32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等于「本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隐含的退出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」时，两种方法应当收敛。</t>
    </r>
  </si>
  <si>
    <t xml:space="preserve">科目</t>
  </si>
  <si>
    <r>
      <rPr>
        <sz val="9"/>
        <color rgb="FF000000"/>
        <rFont val="Noto Sans CJK SC"/>
        <family val="2"/>
      </rPr>
      <t xml:space="preserve">自由现金流 </t>
    </r>
    <r>
      <rPr>
        <sz val="9"/>
        <color rgb="FF000000"/>
        <rFont val="Arial"/>
        <family val="0"/>
        <charset val="1"/>
      </rPr>
      <t xml:space="preserve">FCFF</t>
    </r>
  </si>
  <si>
    <t xml:space="preserve">链接自上方年度预测表</t>
  </si>
  <si>
    <r>
      <rPr>
        <sz val="9"/>
        <color rgb="FF000000"/>
        <rFont val="Arial"/>
        <family val="0"/>
        <charset val="1"/>
      </rPr>
      <t xml:space="preserve">× </t>
    </r>
    <r>
      <rPr>
        <sz val="9"/>
        <color rgb="FF000000"/>
        <rFont val="Noto Sans CJK SC"/>
        <family val="2"/>
      </rPr>
      <t xml:space="preserve">回购比例</t>
    </r>
  </si>
  <si>
    <r>
      <rPr>
        <sz val="8"/>
        <color rgb="FF404040"/>
        <rFont val="Noto Sans CJK SC"/>
        <family val="2"/>
      </rPr>
      <t xml:space="preserve">本节内控制台滑标，默认 </t>
    </r>
    <r>
      <rPr>
        <sz val="8"/>
        <color rgb="FF404040"/>
        <rFont val="Arial"/>
        <family val="0"/>
        <charset val="1"/>
      </rPr>
      <t xml:space="preserve">100%</t>
    </r>
    <r>
      <rPr>
        <sz val="8"/>
        <color rgb="FF404040"/>
        <rFont val="Noto Sans CJK SC"/>
        <family val="2"/>
      </rPr>
      <t xml:space="preserve">（管理层承诺返还 </t>
    </r>
    <r>
      <rPr>
        <sz val="8"/>
        <color rgb="FF404040"/>
        <rFont val="Arial"/>
        <family val="0"/>
        <charset val="1"/>
      </rPr>
      <t xml:space="preserve">100% </t>
    </r>
    <r>
      <rPr>
        <sz val="8"/>
        <color rgb="FF404040"/>
        <rFont val="Noto Sans CJK SC"/>
        <family val="2"/>
      </rPr>
      <t xml:space="preserve">剩余现金）</t>
    </r>
  </si>
  <si>
    <t xml:space="preserve">＝ 用于回购的金额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</si>
  <si>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MAX(0, FCFF × </t>
    </r>
    <r>
      <rPr>
        <sz val="8"/>
        <color rgb="FF404040"/>
        <rFont val="Noto Sans CJK SC"/>
        <family val="2"/>
      </rPr>
      <t xml:space="preserve">回购比例</t>
    </r>
    <r>
      <rPr>
        <sz val="8"/>
        <color rgb="FF404040"/>
        <rFont val="Arial"/>
        <family val="0"/>
        <charset val="1"/>
      </rPr>
      <t xml:space="preserve">)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FCFF </t>
    </r>
    <r>
      <rPr>
        <sz val="8"/>
        <color rgb="FF404040"/>
        <rFont val="Noto Sans CJK SC"/>
        <family val="2"/>
      </rPr>
      <t xml:space="preserve">为负时不回购</t>
    </r>
  </si>
  <si>
    <r>
      <rPr>
        <sz val="9"/>
        <color rgb="FF000000"/>
        <rFont val="Noto Sans CJK SC"/>
        <family val="2"/>
      </rPr>
      <t xml:space="preserve">回购均价（美元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股）</t>
    </r>
  </si>
  <si>
    <r>
      <rPr>
        <sz val="8"/>
        <color rgb="FF404040"/>
        <rFont val="Noto Sans CJK SC"/>
        <family val="2"/>
      </rPr>
      <t xml:space="preserve">＝ 当前股价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本节滑标倍数 </t>
    </r>
    <r>
      <rPr>
        <sz val="8"/>
        <color rgb="FF404040"/>
        <rFont val="Arial"/>
        <family val="0"/>
        <charset val="1"/>
      </rPr>
      <t xml:space="preserve">×(1+WACC)^(t−0.5)</t>
    </r>
  </si>
  <si>
    <t xml:space="preserve">− 回购注销股数（百万股）</t>
  </si>
  <si>
    <r>
      <rPr>
        <sz val="8"/>
        <color rgb="FF404040"/>
        <rFont val="Noto Sans CJK SC"/>
        <family val="2"/>
      </rPr>
      <t xml:space="preserve">＝ 回购金额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回购均价</t>
    </r>
  </si>
  <si>
    <t xml:space="preserve">＋ 股权激励新增股数（百万股）</t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</si>
  <si>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1.15% ÷ </t>
    </r>
    <r>
      <rPr>
        <sz val="8"/>
        <color rgb="FF404040"/>
        <rFont val="Noto Sans CJK SC"/>
        <family val="2"/>
      </rPr>
      <t xml:space="preserve">回购均价。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股份支付 </t>
    </r>
    <r>
      <rPr>
        <sz val="8"/>
        <color rgb="FF404040"/>
        <rFont val="Arial"/>
        <family val="0"/>
        <charset val="1"/>
      </rPr>
      <t xml:space="preserve">$232M ÷ </t>
    </r>
    <r>
      <rPr>
        <sz val="8"/>
        <color rgb="FF404040"/>
        <rFont val="Noto Sans CJK SC"/>
        <family val="2"/>
      </rPr>
      <t xml:space="preserve">收入 </t>
    </r>
    <r>
      <rPr>
        <sz val="8"/>
        <color rgb="FF404040"/>
        <rFont val="Arial"/>
        <family val="0"/>
        <charset val="1"/>
      </rPr>
      <t xml:space="preserve">$20,248M </t>
    </r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1.15%</t>
    </r>
  </si>
  <si>
    <t xml:space="preserve">期初摊薄股数（百万股）</t>
  </si>
  <si>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期初取公司指引的 </t>
    </r>
    <r>
      <rPr>
        <sz val="8"/>
        <color rgb="FF404040"/>
        <rFont val="Arial"/>
        <family val="0"/>
        <charset val="1"/>
      </rPr>
      <t xml:space="preserve">155</t>
    </r>
    <r>
      <rPr>
        <sz val="8"/>
        <color rgb="FF404040"/>
        <rFont val="Noto Sans CJK SC"/>
        <family val="2"/>
      </rPr>
      <t xml:space="preserve">；其后为上年期末</t>
    </r>
  </si>
  <si>
    <t xml:space="preserve">期末摊薄股数（百万股）</t>
  </si>
  <si>
    <r>
      <rPr>
        <sz val="8"/>
        <color rgb="FF404040"/>
        <rFont val="Noto Sans CJK SC"/>
        <family val="2"/>
      </rPr>
      <t xml:space="preserve">＝ 期初 − 回购注销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股权激励新增，下限锁 </t>
    </r>
    <r>
      <rPr>
        <sz val="8"/>
        <color rgb="FF404040"/>
        <rFont val="Arial"/>
        <family val="0"/>
        <charset val="1"/>
      </rPr>
      <t xml:space="preserve">20</t>
    </r>
  </si>
  <si>
    <t xml:space="preserve">净现金余额</t>
  </si>
  <si>
    <r>
      <rPr>
        <sz val="8"/>
        <color rgb="FF404040"/>
        <rFont val="Noto Sans CJK SC"/>
        <family val="2"/>
      </rPr>
      <t xml:space="preserve">＝ 上期净现金 </t>
    </r>
    <r>
      <rPr>
        <sz val="8"/>
        <color rgb="FF404040"/>
        <rFont val="Arial"/>
        <family val="0"/>
        <charset val="1"/>
      </rPr>
      <t xml:space="preserve">+ FCFF − </t>
    </r>
    <r>
      <rPr>
        <sz val="8"/>
        <color rgb="FF404040"/>
        <rFont val="Noto Sans CJK SC"/>
        <family val="2"/>
      </rPr>
      <t xml:space="preserve">回购金额。★ 回购比例＜</t>
    </r>
    <r>
      <rPr>
        <sz val="8"/>
        <color rgb="FF404040"/>
        <rFont val="Arial"/>
        <family val="0"/>
        <charset val="1"/>
      </rPr>
      <t xml:space="preserve">100% </t>
    </r>
    <r>
      <rPr>
        <sz val="8"/>
        <color rgb="FF404040"/>
        <rFont val="Noto Sans CJK SC"/>
        <family val="2"/>
      </rPr>
      <t xml:space="preserve">时现金会累积，这部分价值必须计入，否则会低估</t>
    </r>
  </si>
  <si>
    <r>
      <rPr>
        <sz val="8"/>
        <color rgb="FF404040"/>
        <rFont val="Noto Sans CJK SC"/>
        <family val="2"/>
      </rPr>
      <t xml:space="preserve">链接自上方年度预测表。★ 用 </t>
    </r>
    <r>
      <rPr>
        <sz val="8"/>
        <color rgb="FF404040"/>
        <rFont val="Arial"/>
        <family val="0"/>
        <charset val="1"/>
      </rPr>
      <t xml:space="preserve">NOPAT </t>
    </r>
    <r>
      <rPr>
        <sz val="8"/>
        <color rgb="FF404040"/>
        <rFont val="Noto Sans CJK SC"/>
        <family val="2"/>
      </rPr>
      <t xml:space="preserve">而非净利润，是为了与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同口径（不含利息）</t>
    </r>
  </si>
  <si>
    <r>
      <rPr>
        <b val="true"/>
        <sz val="9"/>
        <color rgb="FF16305B"/>
        <rFont val="Noto Sans CJK SC"/>
        <family val="2"/>
      </rPr>
      <t xml:space="preserve">经营性每股收益 </t>
    </r>
    <r>
      <rPr>
        <b val="true"/>
        <sz val="9"/>
        <color rgb="FF16305B"/>
        <rFont val="Arial"/>
        <family val="0"/>
        <charset val="1"/>
      </rPr>
      <t xml:space="preserve">EPS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</si>
  <si>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NOPAT ÷ </t>
    </r>
    <r>
      <rPr>
        <sz val="8"/>
        <color rgb="FF404040"/>
        <rFont val="Noto Sans CJK SC"/>
        <family val="2"/>
      </rPr>
      <t xml:space="preserve">期末股数。用期末股数而非加权平均，因为要回答的是「那个时点每一股值多少」</t>
    </r>
  </si>
  <si>
    <t xml:space="preserve">每股净现金</t>
  </si>
  <si>
    <r>
      <rPr>
        <sz val="8"/>
        <color rgb="FF404040"/>
        <rFont val="Noto Sans CJK SC"/>
        <family val="2"/>
      </rPr>
      <t xml:space="preserve">＝ 净现金余额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期末股数</t>
    </r>
  </si>
  <si>
    <r>
      <rPr>
        <b val="true"/>
        <sz val="9"/>
        <color rgb="FF16305B"/>
        <rFont val="Noto Sans CJK SC"/>
        <family val="2"/>
      </rPr>
      <t xml:space="preserve">★ 采用的 </t>
    </r>
    <r>
      <rPr>
        <b val="true"/>
        <sz val="9"/>
        <color rgb="FF16305B"/>
        <rFont val="Arial"/>
        <family val="0"/>
        <charset val="1"/>
      </rPr>
      <t xml:space="preserve">P/E </t>
    </r>
    <r>
      <rPr>
        <b val="true"/>
        <sz val="9"/>
        <color rgb="FF16305B"/>
        <rFont val="Noto Sans CJK SC"/>
        <family val="2"/>
      </rPr>
      <t xml:space="preserve">倍数</t>
    </r>
  </si>
  <si>
    <r>
      <rPr>
        <sz val="8"/>
        <color rgb="FF404040"/>
        <rFont val="Arial"/>
        <family val="0"/>
        <charset val="1"/>
      </rPr>
      <t xml:space="preserve">FY27 / FY28 / FY32 </t>
    </r>
    <r>
      <rPr>
        <sz val="8"/>
        <color rgb="FF404040"/>
        <rFont val="Noto Sans CJK SC"/>
        <family val="2"/>
      </rPr>
      <t xml:space="preserve">各由本节独立滑标给定；</t>
    </r>
    <r>
      <rPr>
        <sz val="8"/>
        <color rgb="FF404040"/>
        <rFont val="Arial"/>
        <family val="0"/>
        <charset val="1"/>
      </rPr>
      <t xml:space="preserve">FY29–FY31 </t>
    </r>
    <r>
      <rPr>
        <sz val="8"/>
        <color rgb="FF404040"/>
        <rFont val="Noto Sans CJK SC"/>
        <family val="2"/>
      </rPr>
      <t xml:space="preserve">在 </t>
    </r>
    <r>
      <rPr>
        <sz val="8"/>
        <color rgb="FF404040"/>
        <rFont val="Arial"/>
        <family val="0"/>
        <charset val="1"/>
      </rPr>
      <t xml:space="preserve">FY28 </t>
    </r>
    <r>
      <rPr>
        <sz val="8"/>
        <color rgb="FF404040"/>
        <rFont val="Noto Sans CJK SC"/>
        <family val="2"/>
      </rPr>
      <t xml:space="preserve">与 </t>
    </r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之间线性过渡（四等分）</t>
    </r>
  </si>
  <si>
    <r>
      <rPr>
        <b val="true"/>
        <sz val="9"/>
        <color rgb="FF16305B"/>
        <rFont val="Noto Sans CJK SC"/>
        <family val="2"/>
      </rPr>
      <t xml:space="preserve">隐含股价（</t>
    </r>
    <r>
      <rPr>
        <b val="true"/>
        <sz val="9"/>
        <color rgb="FF16305B"/>
        <rFont val="Arial"/>
        <family val="0"/>
        <charset val="1"/>
      </rPr>
      <t xml:space="preserve">EPS×</t>
    </r>
    <r>
      <rPr>
        <b val="true"/>
        <sz val="9"/>
        <color rgb="FF16305B"/>
        <rFont val="Noto Sans CJK SC"/>
        <family val="2"/>
      </rPr>
      <t xml:space="preserve">当年</t>
    </r>
    <r>
      <rPr>
        <b val="true"/>
        <sz val="9"/>
        <color rgb="FF16305B"/>
        <rFont val="Arial"/>
        <family val="0"/>
        <charset val="1"/>
      </rPr>
      <t xml:space="preserve">PE + </t>
    </r>
    <r>
      <rPr>
        <b val="true"/>
        <sz val="9"/>
        <color rgb="FF16305B"/>
        <rFont val="Noto Sans CJK SC"/>
        <family val="2"/>
      </rPr>
      <t xml:space="preserve">每股净现金）</t>
    </r>
  </si>
  <si>
    <r>
      <rPr>
        <sz val="8"/>
        <color rgb="FF404040"/>
        <rFont val="Noto Sans CJK SC"/>
        <family val="2"/>
      </rPr>
      <t xml:space="preserve">把现金单独加回，使本方法与 </t>
    </r>
    <r>
      <rPr>
        <sz val="8"/>
        <color rgb="FF404040"/>
        <rFont val="Arial"/>
        <family val="0"/>
        <charset val="1"/>
      </rPr>
      <t xml:space="preserve">DCF</t>
    </r>
    <r>
      <rPr>
        <sz val="8"/>
        <color rgb="FF404040"/>
        <rFont val="Noto Sans CJK SC"/>
        <family val="2"/>
      </rPr>
      <t xml:space="preserve">（</t>
    </r>
    <r>
      <rPr>
        <sz val="8"/>
        <color rgb="FF404040"/>
        <rFont val="Arial"/>
        <family val="0"/>
        <charset val="1"/>
      </rPr>
      <t xml:space="preserve">EV + </t>
    </r>
    <r>
      <rPr>
        <sz val="8"/>
        <color rgb="FF404040"/>
        <rFont val="Noto Sans CJK SC"/>
        <family val="2"/>
      </rPr>
      <t xml:space="preserve">净现金）口径一致</t>
    </r>
  </si>
  <si>
    <t xml:space="preserve">折现因子（期末折现）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</si>
  <si>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1 ÷ (1+WACC)^t</t>
    </r>
    <r>
      <rPr>
        <sz val="8"/>
        <color rgb="FF404040"/>
        <rFont val="Noto Sans CJK SC"/>
        <family val="2"/>
      </rPr>
      <t xml:space="preserve">。股价是时点数用期末折现；上方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的现金流是期间数用期中折现</t>
    </r>
  </si>
  <si>
    <t xml:space="preserve">折现后每股价值</t>
  </si>
  <si>
    <r>
      <rPr>
        <sz val="8"/>
        <color rgb="FF404040"/>
        <rFont val="Noto Sans CJK SC"/>
        <family val="2"/>
      </rPr>
      <t xml:space="preserve">＝ 隐含股价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折现因子</t>
    </r>
  </si>
  <si>
    <r>
      <rPr>
        <b val="true"/>
        <sz val="10"/>
        <color rgb="FFFFFFFF"/>
        <rFont val="Noto Sans CJK SC"/>
        <family val="2"/>
      </rPr>
      <t xml:space="preserve">　</t>
    </r>
    <r>
      <rPr>
        <b val="true"/>
        <sz val="10"/>
        <color rgb="FFFFFFFF"/>
        <rFont val="Arial"/>
        <family val="0"/>
        <charset val="1"/>
      </rPr>
      <t xml:space="preserve">6.1  </t>
    </r>
    <r>
      <rPr>
        <b val="true"/>
        <sz val="10"/>
        <color rgb="FFFFFFFF"/>
        <rFont val="Noto Sans CJK SC"/>
        <family val="2"/>
      </rPr>
      <t xml:space="preserve">三个关键年份的目标价：各用各的 </t>
    </r>
    <r>
      <rPr>
        <b val="true"/>
        <sz val="10"/>
        <color rgb="FFFFFFFF"/>
        <rFont val="Arial"/>
        <family val="0"/>
        <charset val="1"/>
      </rPr>
      <t xml:space="preserve">P/E</t>
    </r>
  </si>
  <si>
    <t xml:space="preserve">年份</t>
  </si>
  <si>
    <r>
      <rPr>
        <b val="true"/>
        <sz val="9"/>
        <color rgb="FF16305B"/>
        <rFont val="Noto Sans CJK SC"/>
        <family val="2"/>
      </rPr>
      <t xml:space="preserve">经营性 </t>
    </r>
    <r>
      <rPr>
        <b val="true"/>
        <sz val="9"/>
        <color rgb="FF16305B"/>
        <rFont val="Arial"/>
        <family val="0"/>
        <charset val="1"/>
      </rPr>
      <t xml:space="preserve">EPS</t>
    </r>
  </si>
  <si>
    <r>
      <rPr>
        <b val="true"/>
        <sz val="9"/>
        <color rgb="FF16305B"/>
        <rFont val="Noto Sans CJK SC"/>
        <family val="2"/>
      </rPr>
      <t xml:space="preserve">采用 </t>
    </r>
    <r>
      <rPr>
        <b val="true"/>
        <sz val="9"/>
        <color rgb="FF16305B"/>
        <rFont val="Arial"/>
        <family val="0"/>
        <charset val="1"/>
      </rPr>
      <t xml:space="preserve">P/E</t>
    </r>
  </si>
  <si>
    <t xml:space="preserve">隐含目标价</t>
  </si>
  <si>
    <t xml:space="preserve">折现期（年）</t>
  </si>
  <si>
    <r>
      <rPr>
        <b val="true"/>
        <sz val="9"/>
        <color rgb="FF16305B"/>
        <rFont val="Noto Sans CJK SC"/>
        <family val="2"/>
      </rPr>
      <t xml:space="preserve">折现后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现价 − </t>
    </r>
    <r>
      <rPr>
        <b val="true"/>
        <sz val="9"/>
        <color rgb="FF16305B"/>
        <rFont val="Arial"/>
        <family val="0"/>
        <charset val="1"/>
      </rPr>
      <t xml:space="preserve">1</t>
    </r>
  </si>
  <si>
    <t xml:space="preserve">这个数字回答什么</t>
  </si>
  <si>
    <r>
      <rPr>
        <b val="true"/>
        <sz val="10"/>
        <color rgb="FFFFFFFF"/>
        <rFont val="Arial"/>
        <family val="0"/>
        <charset val="1"/>
      </rPr>
      <t xml:space="preserve">FY2027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12 </t>
    </r>
    <r>
      <rPr>
        <b val="true"/>
        <sz val="10"/>
        <color rgb="FFFFFFFF"/>
        <rFont val="Noto Sans CJK SC"/>
        <family val="2"/>
      </rPr>
      <t xml:space="preserve">个月）</t>
    </r>
  </si>
  <si>
    <r>
      <rPr>
        <sz val="8"/>
        <color rgb="FF404040"/>
        <rFont val="Noto Sans CJK SC"/>
        <family val="2"/>
      </rPr>
      <t xml:space="preserve">盈利高点年。这一行的「隐含目标价」就是 </t>
    </r>
    <r>
      <rPr>
        <sz val="8"/>
        <color rgb="FF404040"/>
        <rFont val="Arial"/>
        <family val="0"/>
        <charset val="1"/>
      </rPr>
      <t xml:space="preserve">12 </t>
    </r>
    <r>
      <rPr>
        <sz val="8"/>
        <color rgb="FF404040"/>
        <rFont val="Noto Sans CJK SC"/>
        <family val="2"/>
      </rPr>
      <t xml:space="preserve">个月目标价，可与卖方一致目标价 </t>
    </r>
    <r>
      <rPr>
        <sz val="8"/>
        <color rgb="FF404040"/>
        <rFont val="Arial"/>
        <family val="0"/>
        <charset val="1"/>
      </rPr>
      <t xml:space="preserve">$2,126 </t>
    </r>
    <r>
      <rPr>
        <sz val="8"/>
        <color rgb="FF404040"/>
        <rFont val="Noto Sans CJK SC"/>
        <family val="2"/>
      </rPr>
      <t xml:space="preserve">直接对照（</t>
    </r>
    <r>
      <rPr>
        <sz val="8"/>
        <color rgb="FF404040"/>
        <rFont val="Arial"/>
        <family val="0"/>
        <charset val="1"/>
      </rPr>
      <t xml:space="preserve">S&amp;P Global </t>
    </r>
    <r>
      <rPr>
        <sz val="8"/>
        <color rgb="FF404040"/>
        <rFont val="Noto Sans CJK SC"/>
        <family val="2"/>
      </rPr>
      <t xml:space="preserve">汇总 </t>
    </r>
    <r>
      <rPr>
        <sz val="8"/>
        <color rgb="FF404040"/>
        <rFont val="Arial"/>
        <family val="0"/>
        <charset val="1"/>
      </rPr>
      <t xml:space="preserve">24 </t>
    </r>
    <r>
      <rPr>
        <sz val="8"/>
        <color rgb="FF404040"/>
        <rFont val="Noto Sans CJK SC"/>
        <family val="2"/>
      </rPr>
      <t xml:space="preserve">家机构）</t>
    </r>
  </si>
  <si>
    <r>
      <rPr>
        <b val="true"/>
        <sz val="10"/>
        <color rgb="FFFFFFFF"/>
        <rFont val="Arial"/>
        <family val="0"/>
        <charset val="1"/>
      </rPr>
      <t xml:space="preserve">FY2028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24 </t>
    </r>
    <r>
      <rPr>
        <b val="true"/>
        <sz val="10"/>
        <color rgb="FFFFFFFF"/>
        <rFont val="Noto Sans CJK SC"/>
        <family val="2"/>
      </rPr>
      <t xml:space="preserve">个月）</t>
    </r>
  </si>
  <si>
    <r>
      <rPr>
        <sz val="8"/>
        <color rgb="FF404040"/>
        <rFont val="Noto Sans CJK SC"/>
        <family val="2"/>
      </rPr>
      <t xml:space="preserve">周期转折年。</t>
    </r>
    <r>
      <rPr>
        <sz val="8"/>
        <color rgb="FF404040"/>
        <rFont val="Arial"/>
        <family val="0"/>
        <charset val="1"/>
      </rPr>
      <t xml:space="preserve">EPS </t>
    </r>
    <r>
      <rPr>
        <sz val="8"/>
        <color rgb="FF404040"/>
        <rFont val="Noto Sans CJK SC"/>
        <family val="2"/>
      </rPr>
      <t xml:space="preserve">大概率低于 </t>
    </r>
    <r>
      <rPr>
        <sz val="8"/>
        <color rgb="FF404040"/>
        <rFont val="Arial"/>
        <family val="0"/>
        <charset val="1"/>
      </rPr>
      <t xml:space="preserve">FY27</t>
    </r>
    <r>
      <rPr>
        <sz val="8"/>
        <color rgb="FF404040"/>
        <rFont val="Noto Sans CJK SC"/>
        <family val="2"/>
      </rPr>
      <t xml:space="preserve">，但 </t>
    </r>
    <r>
      <rPr>
        <sz val="8"/>
        <color rgb="FF404040"/>
        <rFont val="Arial"/>
        <family val="0"/>
        <charset val="1"/>
      </rPr>
      <t xml:space="preserve">P/E </t>
    </r>
    <r>
      <rPr>
        <sz val="8"/>
        <color rgb="FF404040"/>
        <rFont val="Noto Sans CJK SC"/>
        <family val="2"/>
      </rPr>
      <t xml:space="preserve">通常扩张——两者相乘的结果，往往比直觉更高</t>
    </r>
  </si>
  <si>
    <r>
      <rPr>
        <b val="true"/>
        <sz val="10"/>
        <color rgb="FFFFFFFF"/>
        <rFont val="Arial"/>
        <family val="0"/>
        <charset val="1"/>
      </rPr>
      <t xml:space="preserve">FY2032</t>
    </r>
    <r>
      <rPr>
        <b val="true"/>
        <sz val="10"/>
        <color rgb="FFFFFFFF"/>
        <rFont val="Noto Sans CJK SC"/>
        <family val="2"/>
      </rPr>
      <t xml:space="preserve">（终局）</t>
    </r>
  </si>
  <si>
    <r>
      <rPr>
        <sz val="8"/>
        <color rgb="FF404040"/>
        <rFont val="Noto Sans CJK SC"/>
        <family val="2"/>
      </rPr>
      <t xml:space="preserve">★ 本方法的最终答案。折现后可与上方第 </t>
    </r>
    <r>
      <rPr>
        <sz val="8"/>
        <color rgb="FF404040"/>
        <rFont val="Arial"/>
        <family val="0"/>
        <charset val="1"/>
      </rPr>
      <t xml:space="preserve">04 </t>
    </r>
    <r>
      <rPr>
        <sz val="8"/>
        <color rgb="FF404040"/>
        <rFont val="Noto Sans CJK SC"/>
        <family val="2"/>
      </rPr>
      <t xml:space="preserve">节的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每股内在价值直接比较</t>
    </r>
  </si>
  <si>
    <r>
      <rPr>
        <sz val="9"/>
        <color rgb="FF3D3D3D"/>
        <rFont val="Noto Sans CJK SC"/>
        <family val="2"/>
      </rPr>
      <t xml:space="preserve">★ 三行的「折现后每股价值」互不相同是正常的，也是有信息量的：它们代表「如果市场在那一年按那个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给价，今天这一股值多少」。三者差得越远，说明结论对「市场什么时候、按什么倍数认账」越敏感。真正稳健的判断应当是三行方向一致。</t>
    </r>
  </si>
  <si>
    <r>
      <rPr>
        <b val="true"/>
        <sz val="10"/>
        <color rgb="FFFFFFFF"/>
        <rFont val="Noto Sans CJK SC"/>
        <family val="2"/>
      </rPr>
      <t xml:space="preserve">　</t>
    </r>
    <r>
      <rPr>
        <b val="true"/>
        <sz val="10"/>
        <color rgb="FFFFFFFF"/>
        <rFont val="Arial"/>
        <family val="0"/>
        <charset val="1"/>
      </rPr>
      <t xml:space="preserve">6.2  </t>
    </r>
    <r>
      <rPr>
        <b val="true"/>
        <sz val="10"/>
        <color rgb="FFFFFFFF"/>
        <rFont val="Noto Sans CJK SC"/>
        <family val="2"/>
      </rPr>
      <t xml:space="preserve">汇总：</t>
    </r>
    <r>
      <rPr>
        <b val="true"/>
        <sz val="10"/>
        <color rgb="FFFFFFFF"/>
        <rFont val="Arial"/>
        <family val="0"/>
        <charset val="1"/>
      </rPr>
      <t xml:space="preserve">EPS × P/E </t>
    </r>
    <r>
      <rPr>
        <b val="true"/>
        <sz val="10"/>
        <color rgb="FFFFFFFF"/>
        <rFont val="Noto Sans CJK SC"/>
        <family val="2"/>
      </rPr>
      <t xml:space="preserve">与 </t>
    </r>
    <r>
      <rPr>
        <b val="true"/>
        <sz val="10"/>
        <color rgb="FFFFFFFF"/>
        <rFont val="Arial"/>
        <family val="0"/>
        <charset val="1"/>
      </rPr>
      <t xml:space="preserve">DCF </t>
    </r>
    <r>
      <rPr>
        <b val="true"/>
        <sz val="10"/>
        <color rgb="FFFFFFFF"/>
        <rFont val="Noto Sans CJK SC"/>
        <family val="2"/>
      </rPr>
      <t xml:space="preserve">两法对照，以及回购到底是加分还是减分</t>
    </r>
  </si>
  <si>
    <t xml:space="preserve">结论</t>
  </si>
  <si>
    <r>
      <rPr>
        <b val="true"/>
        <sz val="9"/>
        <color rgb="FF16305B"/>
        <rFont val="Arial"/>
        <family val="0"/>
        <charset val="1"/>
      </rPr>
      <t xml:space="preserve">① 12 </t>
    </r>
    <r>
      <rPr>
        <b val="true"/>
        <sz val="9"/>
        <color rgb="FF16305B"/>
        <rFont val="Noto Sans CJK SC"/>
        <family val="2"/>
      </rPr>
      <t xml:space="preserve">个月目标价（</t>
    </r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隐含股价）</t>
    </r>
  </si>
  <si>
    <r>
      <rPr>
        <sz val="8"/>
        <color rgb="FF404040"/>
        <rFont val="Noto Sans CJK SC"/>
        <family val="2"/>
      </rPr>
      <t xml:space="preserve">用 </t>
    </r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经营性 </t>
    </r>
    <r>
      <rPr>
        <sz val="8"/>
        <color rgb="FF404040"/>
        <rFont val="Arial"/>
        <family val="0"/>
        <charset val="1"/>
      </rPr>
      <t xml:space="preserve">EPS × FY27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P/E</t>
    </r>
    <r>
      <rPr>
        <sz val="8"/>
        <color rgb="FF404040"/>
        <rFont val="Noto Sans CJK SC"/>
        <family val="2"/>
      </rPr>
      <t xml:space="preserve">。与卖方一致目标价 </t>
    </r>
    <r>
      <rPr>
        <sz val="8"/>
        <color rgb="FF404040"/>
        <rFont val="Arial"/>
        <family val="0"/>
        <charset val="1"/>
      </rPr>
      <t xml:space="preserve">$2,126 </t>
    </r>
    <r>
      <rPr>
        <sz val="8"/>
        <color rgb="FF404040"/>
        <rFont val="Noto Sans CJK SC"/>
        <family val="2"/>
      </rPr>
      <t xml:space="preserve">可直接对照</t>
    </r>
  </si>
  <si>
    <r>
      <rPr>
        <b val="true"/>
        <sz val="10"/>
        <color rgb="FFFFFFFF"/>
        <rFont val="Arial"/>
        <family val="0"/>
        <charset val="1"/>
      </rPr>
      <t xml:space="preserve">② EPS×P/E </t>
    </r>
    <r>
      <rPr>
        <b val="true"/>
        <sz val="10"/>
        <color rgb="FFFFFFFF"/>
        <rFont val="Noto Sans CJK SC"/>
        <family val="2"/>
      </rPr>
      <t xml:space="preserve">法每股价值</t>
    </r>
  </si>
  <si>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隐含股价按 </t>
    </r>
    <r>
      <rPr>
        <sz val="8"/>
        <color rgb="FF404040"/>
        <rFont val="Arial"/>
        <family val="0"/>
        <charset val="1"/>
      </rPr>
      <t xml:space="preserve">WACC </t>
    </r>
    <r>
      <rPr>
        <sz val="8"/>
        <color rgb="FF404040"/>
        <rFont val="Noto Sans CJK SC"/>
        <family val="2"/>
      </rPr>
      <t xml:space="preserve">折回今天（折现 </t>
    </r>
    <r>
      <rPr>
        <sz val="8"/>
        <color rgb="FF404040"/>
        <rFont val="Arial"/>
        <family val="0"/>
        <charset val="1"/>
      </rPr>
      <t xml:space="preserve">6 </t>
    </r>
    <r>
      <rPr>
        <sz val="8"/>
        <color rgb="FF404040"/>
        <rFont val="Noto Sans CJK SC"/>
        <family val="2"/>
      </rPr>
      <t xml:space="preserve">年）。这是本方法的最终答案</t>
    </r>
  </si>
  <si>
    <r>
      <rPr>
        <b val="true"/>
        <sz val="9"/>
        <color rgb="FF16305B"/>
        <rFont val="Arial"/>
        <family val="0"/>
        <charset val="1"/>
      </rPr>
      <t xml:space="preserve">③ DCF </t>
    </r>
    <r>
      <rPr>
        <b val="true"/>
        <sz val="9"/>
        <color rgb="FF16305B"/>
        <rFont val="Noto Sans CJK SC"/>
        <family val="2"/>
      </rPr>
      <t xml:space="preserve">法的每股内在价值</t>
    </r>
  </si>
  <si>
    <r>
      <rPr>
        <sz val="8"/>
        <color rgb="FF404040"/>
        <rFont val="Noto Sans CJK SC"/>
        <family val="2"/>
      </rPr>
      <t xml:space="preserve">链接自上方第 </t>
    </r>
    <r>
      <rPr>
        <sz val="8"/>
        <color rgb="FF404040"/>
        <rFont val="Arial"/>
        <family val="0"/>
        <charset val="1"/>
      </rPr>
      <t xml:space="preserve">04 </t>
    </r>
    <r>
      <rPr>
        <sz val="8"/>
        <color rgb="FF404040"/>
        <rFont val="Noto Sans CJK SC"/>
        <family val="2"/>
      </rPr>
      <t xml:space="preserve">节</t>
    </r>
  </si>
  <si>
    <r>
      <rPr>
        <b val="true"/>
        <sz val="9"/>
        <color rgb="FF16305B"/>
        <rFont val="Noto Sans CJK SC"/>
        <family val="2"/>
      </rPr>
      <t xml:space="preserve">④ 两法差异（② </t>
    </r>
    <r>
      <rPr>
        <b val="true"/>
        <sz val="9"/>
        <color rgb="FF16305B"/>
        <rFont val="Arial"/>
        <family val="0"/>
        <charset val="1"/>
      </rPr>
      <t xml:space="preserve">÷ ③ − 1</t>
    </r>
    <r>
      <rPr>
        <b val="true"/>
        <sz val="9"/>
        <color rgb="FF16305B"/>
        <rFont val="Noto Sans CJK SC"/>
        <family val="2"/>
      </rPr>
      <t xml:space="preserve">）</t>
    </r>
  </si>
  <si>
    <r>
      <rPr>
        <sz val="8"/>
        <color rgb="FF404040"/>
        <rFont val="Noto Sans CJK SC"/>
        <family val="2"/>
      </rPr>
      <t xml:space="preserve">★ 若接近 </t>
    </r>
    <r>
      <rPr>
        <sz val="8"/>
        <color rgb="FF404040"/>
        <rFont val="Arial"/>
        <family val="0"/>
        <charset val="1"/>
      </rPr>
      <t xml:space="preserve">0</t>
    </r>
    <r>
      <rPr>
        <sz val="8"/>
        <color rgb="FF404040"/>
        <rFont val="Noto Sans CJK SC"/>
        <family val="2"/>
      </rPr>
      <t xml:space="preserve">，说明 </t>
    </r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P/E </t>
    </r>
    <r>
      <rPr>
        <sz val="8"/>
        <color rgb="FF404040"/>
        <rFont val="Noto Sans CJK SC"/>
        <family val="2"/>
      </rPr>
      <t xml:space="preserve">与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的终值假设自洽；差异大说明两者对终局盈利能力的看法不同</t>
    </r>
  </si>
  <si>
    <r>
      <rPr>
        <b val="true"/>
        <sz val="10"/>
        <color rgb="FFFFFFFF"/>
        <rFont val="Noto Sans CJK SC"/>
        <family val="2"/>
      </rPr>
      <t xml:space="preserve">⑤ 本 </t>
    </r>
    <r>
      <rPr>
        <b val="true"/>
        <sz val="10"/>
        <color rgb="FFFFFFFF"/>
        <rFont val="Arial"/>
        <family val="0"/>
        <charset val="1"/>
      </rPr>
      <t xml:space="preserve">DCF </t>
    </r>
    <r>
      <rPr>
        <b val="true"/>
        <sz val="10"/>
        <color rgb="FFFFFFFF"/>
        <rFont val="Noto Sans CJK SC"/>
        <family val="2"/>
      </rPr>
      <t xml:space="preserve">隐含的 </t>
    </r>
    <r>
      <rPr>
        <b val="true"/>
        <sz val="10"/>
        <color rgb="FFFFFFFF"/>
        <rFont val="Arial"/>
        <family val="0"/>
        <charset val="1"/>
      </rPr>
      <t xml:space="preserve">FY32 </t>
    </r>
    <r>
      <rPr>
        <b val="true"/>
        <sz val="10"/>
        <color rgb="FFFFFFFF"/>
        <rFont val="Noto Sans CJK SC"/>
        <family val="2"/>
      </rPr>
      <t xml:space="preserve">退出 </t>
    </r>
    <r>
      <rPr>
        <b val="true"/>
        <sz val="10"/>
        <color rgb="FFFFFFFF"/>
        <rFont val="Arial"/>
        <family val="0"/>
        <charset val="1"/>
      </rPr>
      <t xml:space="preserve">P/E</t>
    </r>
  </si>
  <si>
    <r>
      <rPr>
        <sz val="8"/>
        <color rgb="FF404040"/>
        <rFont val="Noto Sans CJK SC"/>
        <family val="2"/>
      </rPr>
      <t xml:space="preserve">★★ ＝ 终值 </t>
    </r>
    <r>
      <rPr>
        <sz val="8"/>
        <color rgb="FF404040"/>
        <rFont val="Arial"/>
        <family val="0"/>
        <charset val="1"/>
      </rPr>
      <t xml:space="preserve">÷ FY32 NOPAT</t>
    </r>
    <r>
      <rPr>
        <sz val="8"/>
        <color rgb="FF404040"/>
        <rFont val="Noto Sans CJK SC"/>
        <family val="2"/>
      </rPr>
      <t xml:space="preserve">。把本节的「</t>
    </r>
    <r>
      <rPr>
        <sz val="8"/>
        <color rgb="FF404040"/>
        <rFont val="Arial"/>
        <family val="0"/>
        <charset val="1"/>
      </rPr>
      <t xml:space="preserve">FY2032 P/E</t>
    </r>
    <r>
      <rPr>
        <sz val="8"/>
        <color rgb="FF404040"/>
        <rFont val="Noto Sans CJK SC"/>
        <family val="2"/>
      </rPr>
      <t xml:space="preserve">」滑标拖到这个数，② 与 ③ 应当收敛——这是检验两套估值自洽性的最快办法</t>
    </r>
  </si>
  <si>
    <t xml:space="preserve">⑥ 六年累计回购金额</t>
  </si>
  <si>
    <r>
      <rPr>
        <sz val="8"/>
        <color rgb="FF404040"/>
        <rFont val="Noto Sans CJK SC"/>
        <family val="2"/>
      </rPr>
      <t xml:space="preserve">对照：当前剩余回购授权 </t>
    </r>
    <r>
      <rPr>
        <sz val="8"/>
        <color rgb="FF404040"/>
        <rFont val="Arial"/>
        <family val="0"/>
        <charset val="1"/>
      </rPr>
      <t xml:space="preserve">$15,500M</t>
    </r>
    <r>
      <rPr>
        <sz val="8"/>
        <color rgb="FF404040"/>
        <rFont val="Noto Sans CJK SC"/>
        <family val="2"/>
      </rPr>
      <t xml:space="preserve">。若本行远超授权，说明模型隐含董事会会持续加码</t>
    </r>
  </si>
  <si>
    <t xml:space="preserve">⑦ 六年累计注销股数（百万股）</t>
  </si>
  <si>
    <r>
      <rPr>
        <sz val="8"/>
        <color rgb="FF404040"/>
        <rFont val="Noto Sans CJK SC"/>
        <family val="2"/>
      </rPr>
      <t xml:space="preserve">占起始 </t>
    </r>
    <r>
      <rPr>
        <sz val="8"/>
        <color rgb="FF404040"/>
        <rFont val="Arial"/>
        <family val="0"/>
        <charset val="1"/>
      </rPr>
      <t xml:space="preserve">155 </t>
    </r>
    <r>
      <rPr>
        <sz val="8"/>
        <color rgb="FF404040"/>
        <rFont val="Noto Sans CJK SC"/>
        <family val="2"/>
      </rPr>
      <t xml:space="preserve">百万股的比例见下一行</t>
    </r>
  </si>
  <si>
    <r>
      <rPr>
        <b val="true"/>
        <sz val="9"/>
        <color rgb="FF16305B"/>
        <rFont val="Arial"/>
        <family val="0"/>
        <charset val="1"/>
      </rPr>
      <t xml:space="preserve">⑧ FY32 </t>
    </r>
    <r>
      <rPr>
        <b val="true"/>
        <sz val="9"/>
        <color rgb="FF16305B"/>
        <rFont val="Noto Sans CJK SC"/>
        <family val="2"/>
      </rPr>
      <t xml:space="preserve">股数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起始股数</t>
    </r>
  </si>
  <si>
    <t xml:space="preserve">回购把股本压缩到起始的多少</t>
  </si>
  <si>
    <t xml:space="preserve">⑨ 对照：若完全不回购的每股价值</t>
  </si>
  <si>
    <r>
      <rPr>
        <sz val="8"/>
        <color rgb="FF404040"/>
        <rFont val="Noto Sans CJK SC"/>
        <family val="2"/>
      </rPr>
      <t xml:space="preserve">回购比例设为 </t>
    </r>
    <r>
      <rPr>
        <sz val="8"/>
        <color rgb="FF404040"/>
        <rFont val="Arial"/>
        <family val="0"/>
        <charset val="1"/>
      </rPr>
      <t xml:space="preserve">0 </t>
    </r>
    <r>
      <rPr>
        <sz val="8"/>
        <color rgb="FF404040"/>
        <rFont val="Noto Sans CJK SC"/>
        <family val="2"/>
      </rPr>
      <t xml:space="preserve">的闭式解：股数只受股权激励稀释，现金全部累积在表内。用来隔离出回购这一项的净效果</t>
    </r>
  </si>
  <si>
    <r>
      <rPr>
        <b val="true"/>
        <sz val="10"/>
        <color rgb="FFFFFFFF"/>
        <rFont val="Noto Sans CJK SC"/>
        <family val="2"/>
      </rPr>
      <t xml:space="preserve">⑩ 回购带来的每股增厚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毁损</t>
    </r>
  </si>
  <si>
    <r>
      <rPr>
        <sz val="8"/>
        <color rgb="FF404040"/>
        <rFont val="Noto Sans CJK SC"/>
        <family val="2"/>
      </rPr>
      <t xml:space="preserve">★★★ 正数 ＝ 回购在增厚每股价值（回购均价低于内在价值）；负数 ＝ 回购在毁灭价值（回购均价高于内在价值）。这正是为什么「管理层承诺 </t>
    </r>
    <r>
      <rPr>
        <sz val="8"/>
        <color rgb="FF404040"/>
        <rFont val="Arial"/>
        <family val="0"/>
        <charset val="1"/>
      </rPr>
      <t xml:space="preserve">100% </t>
    </r>
    <r>
      <rPr>
        <sz val="8"/>
        <color rgb="FF404040"/>
        <rFont val="Noto Sans CJK SC"/>
        <family val="2"/>
      </rPr>
      <t xml:space="preserve">返还」在不同情形下的含义完全相反</t>
    </r>
  </si>
  <si>
    <r>
      <rPr>
        <b val="true"/>
        <sz val="9"/>
        <color rgb="FF16305B"/>
        <rFont val="Noto Sans CJK SC"/>
        <family val="2"/>
      </rPr>
      <t xml:space="preserve">⑪ 六年累计回购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当前市值</t>
    </r>
  </si>
  <si>
    <r>
      <rPr>
        <sz val="8"/>
        <color rgb="FF404040"/>
        <rFont val="Noto Sans CJK SC"/>
        <family val="2"/>
      </rPr>
      <t xml:space="preserve">★ 合理性检查。若远超 </t>
    </r>
    <r>
      <rPr>
        <sz val="8"/>
        <color rgb="FF404040"/>
        <rFont val="Arial"/>
        <family val="0"/>
        <charset val="1"/>
      </rPr>
      <t xml:space="preserve">100%</t>
    </r>
    <r>
      <rPr>
        <sz val="8"/>
        <color rgb="FF404040"/>
        <rFont val="Noto Sans CJK SC"/>
        <family val="2"/>
      </rPr>
      <t xml:space="preserve">，说明模型隐含公司在六年里买下超过自己一整个市值的股票——数学上成立，现实中不可能，因为市场不会在公司持续回购的同时让股价长期停在深度折价。此时 ② 只能当作「假设的极限推演」看</t>
    </r>
  </si>
  <si>
    <t xml:space="preserve">⑫ 让回购价值中性的回购价倍数</t>
  </si>
  <si>
    <r>
      <rPr>
        <sz val="8"/>
        <color rgb="FF404040"/>
        <rFont val="Noto Sans CJK SC"/>
        <family val="2"/>
      </rPr>
      <t xml:space="preserve">★★ ＝ 本模型每股内在价值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当前股价。把本节的「回购起始价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当前股价」拖到这个数，回购就变成价值中性，此时再把 </t>
    </r>
    <r>
      <rPr>
        <sz val="8"/>
        <color rgb="FF404040"/>
        <rFont val="Arial"/>
        <family val="0"/>
        <charset val="1"/>
      </rPr>
      <t xml:space="preserve">FY2032 P/E </t>
    </r>
    <r>
      <rPr>
        <sz val="8"/>
        <color rgb="FF404040"/>
        <rFont val="Noto Sans CJK SC"/>
        <family val="2"/>
      </rPr>
      <t xml:space="preserve">拖到第 ⑤ 行的隐含值，② 与 ③ 会收敛到几乎相同</t>
    </r>
  </si>
  <si>
    <r>
      <rPr>
        <sz val="9"/>
        <color rgb="FF3D3D3D"/>
        <rFont val="Noto Sans CJK SC"/>
        <family val="2"/>
      </rPr>
      <t xml:space="preserve">★★ 请务必先读这一段再看上面的数字。回购均价默认锚在「当前股价 </t>
    </r>
    <r>
      <rPr>
        <sz val="9"/>
        <color rgb="FF3D3D3D"/>
        <rFont val="Arial"/>
        <family val="0"/>
        <charset val="1"/>
      </rPr>
      <t xml:space="preserve">× 1.00x</t>
    </r>
    <r>
      <rPr>
        <sz val="9"/>
        <color rgb="FF3D3D3D"/>
        <rFont val="Noto Sans CJK SC"/>
        <family val="2"/>
      </rPr>
      <t xml:space="preserve">」，也就是假设市场今天的定价是对的、此后按折现率复利。这个设定只在「现价 ≈ 本模型内在价值」时才是中性的：基准情形现价 </t>
    </r>
    <r>
      <rPr>
        <sz val="9"/>
        <color rgb="FF3D3D3D"/>
        <rFont val="Arial"/>
        <family val="0"/>
        <charset val="1"/>
      </rPr>
      <t xml:space="preserve">$1,500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$1,631 </t>
    </r>
    <r>
      <rPr>
        <sz val="9"/>
        <color rgb="FF3D3D3D"/>
        <rFont val="Noto Sans CJK SC"/>
        <family val="2"/>
      </rPr>
      <t xml:space="preserve">很接近，所以两法容易收敛；乐观情形若内在价值真是 </t>
    </r>
    <r>
      <rPr>
        <sz val="9"/>
        <color rgb="FF3D3D3D"/>
        <rFont val="Arial"/>
        <family val="0"/>
        <charset val="1"/>
      </rPr>
      <t xml:space="preserve">$4,000+</t>
    </r>
    <r>
      <rPr>
        <sz val="9"/>
        <color rgb="FF3D3D3D"/>
        <rFont val="Noto Sans CJK SC"/>
        <family val="2"/>
      </rPr>
      <t xml:space="preserve">，公司等于在用四折的价格连续六年回购，数学上极度增厚，但第 ⑪ 行会告诉你累计回购已超过当前市值——现实中市场不会给这个机会；悲观情形内在价值仅 </t>
    </r>
    <r>
      <rPr>
        <sz val="9"/>
        <color rgb="FF3D3D3D"/>
        <rFont val="Arial"/>
        <family val="0"/>
        <charset val="1"/>
      </rPr>
      <t xml:space="preserve">$499 </t>
    </r>
    <r>
      <rPr>
        <sz val="9"/>
        <color rgb="FF3D3D3D"/>
        <rFont val="Noto Sans CJK SC"/>
        <family val="2"/>
      </rPr>
      <t xml:space="preserve">而回购价 </t>
    </r>
    <r>
      <rPr>
        <sz val="9"/>
        <color rgb="FF3D3D3D"/>
        <rFont val="Arial"/>
        <family val="0"/>
        <charset val="1"/>
      </rPr>
      <t xml:space="preserve">$1,500 </t>
    </r>
    <r>
      <rPr>
        <sz val="9"/>
        <color rgb="FF3D3D3D"/>
        <rFont val="Noto Sans CJK SC"/>
        <family val="2"/>
      </rPr>
      <t xml:space="preserve">起步，「</t>
    </r>
    <r>
      <rPr>
        <sz val="9"/>
        <color rgb="FF3D3D3D"/>
        <rFont val="Arial"/>
        <family val="0"/>
        <charset val="1"/>
      </rPr>
      <t xml:space="preserve">100% </t>
    </r>
    <r>
      <rPr>
        <sz val="9"/>
        <color rgb="FF3D3D3D"/>
        <rFont val="Noto Sans CJK SC"/>
        <family val="2"/>
      </rPr>
      <t xml:space="preserve">返还超额现金」反而在系统性摧毁长期股东价值，第 ⑩ 行为负。所以这一节真正的用途不是给出一个数，而是回答：管理层这条资本配置承诺，在你相信的那个世界里到底是加分项还是减分项。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</si>
  <si>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Arial"/>
        <family val="0"/>
        <charset val="1"/>
      </rPr>
      <t xml:space="preserve">6.3  </t>
    </r>
    <r>
      <rPr>
        <b val="true"/>
        <sz val="11"/>
        <color rgb="FFFFFFFF"/>
        <rFont val="Noto Sans CJK SC"/>
        <family val="2"/>
      </rPr>
      <t xml:space="preserve">本节专属参数控制台（只影响 </t>
    </r>
    <r>
      <rPr>
        <b val="true"/>
        <sz val="11"/>
        <color rgb="FFFFFFFF"/>
        <rFont val="Arial"/>
        <family val="0"/>
        <charset val="1"/>
      </rPr>
      <t xml:space="preserve">EPS × P/E </t>
    </r>
    <r>
      <rPr>
        <b val="true"/>
        <sz val="11"/>
        <color rgb="FFFFFFFF"/>
        <rFont val="Noto Sans CJK SC"/>
        <family val="2"/>
      </rPr>
      <t xml:space="preserve">估值，不影响上方 </t>
    </r>
    <r>
      <rPr>
        <b val="true"/>
        <sz val="11"/>
        <color rgb="FFFFFFFF"/>
        <rFont val="Arial"/>
        <family val="0"/>
        <charset val="1"/>
      </rPr>
      <t xml:space="preserve">DCF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</si>
  <si>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9"/>
        <color rgb="FF3D3D3D"/>
        <rFont val="Noto Sans CJK SC"/>
        <family val="2"/>
      </rPr>
      <t xml:space="preserve">这五个滑标只驱动第 </t>
    </r>
    <r>
      <rPr>
        <sz val="9"/>
        <color rgb="FF3D3D3D"/>
        <rFont val="Arial"/>
        <family val="0"/>
        <charset val="1"/>
      </rPr>
      <t xml:space="preserve">06 </t>
    </r>
    <r>
      <rPr>
        <sz val="9"/>
        <color rgb="FF3D3D3D"/>
        <rFont val="Noto Sans CJK SC"/>
        <family val="2"/>
      </rPr>
      <t xml:space="preserve">节，主控制台（第 </t>
    </r>
    <r>
      <rPr>
        <sz val="9"/>
        <color rgb="FF3D3D3D"/>
        <rFont val="Arial"/>
        <family val="0"/>
        <charset val="1"/>
      </rPr>
      <t xml:space="preserve">09 </t>
    </r>
    <r>
      <rPr>
        <sz val="9"/>
        <color rgb="FF3D3D3D"/>
        <rFont val="Noto Sans CJK SC"/>
        <family val="2"/>
      </rPr>
      <t xml:space="preserve">节）里不再重复出现。拖动后，上方 </t>
    </r>
    <r>
      <rPr>
        <sz val="9"/>
        <color rgb="FF3D3D3D"/>
        <rFont val="Arial"/>
        <family val="0"/>
        <charset val="1"/>
      </rPr>
      <t xml:space="preserve">6.1 / 6.2 </t>
    </r>
    <r>
      <rPr>
        <sz val="9"/>
        <color rgb="FF3D3D3D"/>
        <rFont val="Noto Sans CJK SC"/>
        <family val="2"/>
      </rPr>
      <t xml:space="preserve">两张表与下方两张敏感性表会立即重算。滑标用法与主控制台一致：按住中间灰色滚动条左右拖，或点两端箭头微调；也可以直接在右侧蓝色格里键入整数。</t>
    </r>
  </si>
  <si>
    <t xml:space="preserve">当前值</t>
  </si>
  <si>
    <t xml:space="preserve">◀  拖动滑标调节  ▶</t>
  </si>
  <si>
    <t xml:space="preserve">滑标链接格</t>
  </si>
  <si>
    <t xml:space="preserve">可调区间</t>
  </si>
  <si>
    <t xml:space="preserve">回购比例（占自由现金流）</t>
  </si>
  <si>
    <t xml:space="preserve">0% – 100%</t>
  </si>
  <si>
    <r>
      <rPr>
        <sz val="8"/>
        <color rgb="FF4A4A4A"/>
        <rFont val="Noto Sans CJK SC"/>
        <family val="2"/>
      </rPr>
      <t xml:space="preserve">★ 管理层 </t>
    </r>
    <r>
      <rPr>
        <sz val="8"/>
        <color rgb="FF4A4A4A"/>
        <rFont val="Arial"/>
        <family val="0"/>
        <charset val="1"/>
      </rPr>
      <t xml:space="preserve">2026 </t>
    </r>
    <r>
      <rPr>
        <sz val="8"/>
        <color rgb="FF4A4A4A"/>
        <rFont val="Noto Sans CJK SC"/>
        <family val="2"/>
      </rPr>
      <t xml:space="preserve">投资者日承诺「投资业务后 </t>
    </r>
    <r>
      <rPr>
        <sz val="8"/>
        <color rgb="FF4A4A4A"/>
        <rFont val="Arial"/>
        <family val="0"/>
        <charset val="1"/>
      </rPr>
      <t xml:space="preserve">100% </t>
    </r>
    <r>
      <rPr>
        <sz val="8"/>
        <color rgb="FF4A4A4A"/>
        <rFont val="Noto Sans CJK SC"/>
        <family val="2"/>
      </rPr>
      <t xml:space="preserve">的剩余现金回馈股东」，剩余授权 </t>
    </r>
    <r>
      <rPr>
        <sz val="8"/>
        <color rgb="FF4A4A4A"/>
        <rFont val="Arial"/>
        <family val="0"/>
        <charset val="1"/>
      </rPr>
      <t xml:space="preserve">$15.5B</t>
    </r>
    <r>
      <rPr>
        <sz val="8"/>
        <color rgb="FF4A4A4A"/>
        <rFont val="Noto Sans CJK SC"/>
        <family val="2"/>
      </rPr>
      <t xml:space="preserve">，</t>
    </r>
    <r>
      <rPr>
        <sz val="8"/>
        <color rgb="FF4A4A4A"/>
        <rFont val="Arial"/>
        <family val="0"/>
        <charset val="1"/>
      </rPr>
      <t xml:space="preserve">FY26 Q4 </t>
    </r>
    <r>
      <rPr>
        <sz val="8"/>
        <color rgb="FF4A4A4A"/>
        <rFont val="Noto Sans CJK SC"/>
        <family val="2"/>
      </rPr>
      <t xml:space="preserve">已回购 </t>
    </r>
    <r>
      <rPr>
        <sz val="8"/>
        <color rgb="FF4A4A4A"/>
        <rFont val="Arial"/>
        <family val="0"/>
        <charset val="1"/>
      </rPr>
      <t xml:space="preserve">$4,524M</t>
    </r>
    <r>
      <rPr>
        <sz val="8"/>
        <color rgb="FF4A4A4A"/>
        <rFont val="Noto Sans CJK SC"/>
        <family val="2"/>
      </rPr>
      <t xml:space="preserve">。三个情形默认都设 </t>
    </r>
    <r>
      <rPr>
        <sz val="8"/>
        <color rgb="FF4A4A4A"/>
        <rFont val="Arial"/>
        <family val="0"/>
        <charset val="1"/>
      </rPr>
      <t xml:space="preserve">100%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</si>
  <si>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16305B"/>
        <rFont val="Noto Sans CJK SC"/>
        <family val="2"/>
      </rPr>
      <t xml:space="preserve">回购起始价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当前股价</t>
    </r>
  </si>
  <si>
    <t xml:space="preserve">0.40x – 2.50x</t>
  </si>
  <si>
    <r>
      <rPr>
        <sz val="8"/>
        <color rgb="FF4A4A4A"/>
        <rFont val="Noto Sans CJK SC"/>
        <family val="2"/>
      </rPr>
      <t xml:space="preserve">回购均价 ＝ 当前股价 </t>
    </r>
    <r>
      <rPr>
        <sz val="8"/>
        <color rgb="FF4A4A4A"/>
        <rFont val="Arial"/>
        <family val="0"/>
        <charset val="1"/>
      </rPr>
      <t xml:space="preserve">× </t>
    </r>
    <r>
      <rPr>
        <sz val="8"/>
        <color rgb="FF4A4A4A"/>
        <rFont val="Noto Sans CJK SC"/>
        <family val="2"/>
      </rPr>
      <t xml:space="preserve">本倍数 </t>
    </r>
    <r>
      <rPr>
        <sz val="8"/>
        <color rgb="FF4A4A4A"/>
        <rFont val="Arial"/>
        <family val="0"/>
        <charset val="1"/>
      </rPr>
      <t xml:space="preserve">×(1+WACC)^(t−0.5)</t>
    </r>
    <r>
      <rPr>
        <sz val="8"/>
        <color rgb="FF4A4A4A"/>
        <rFont val="Noto Sans CJK SC"/>
        <family val="2"/>
      </rPr>
      <t xml:space="preserve">。让回购价按折现率复利，是「市场定价合理」的中性假设；往下拉 ＝ 假设市场持续低估，回购更增厚。</t>
    </r>
  </si>
  <si>
    <r>
      <rPr>
        <b val="true"/>
        <sz val="9"/>
        <color rgb="FF16305B"/>
        <rFont val="Arial"/>
        <family val="0"/>
        <charset val="1"/>
      </rPr>
      <t xml:space="preserve">FY2027 P/E</t>
    </r>
    <r>
      <rPr>
        <b val="true"/>
        <sz val="9"/>
        <color rgb="FF16305B"/>
        <rFont val="Noto Sans CJK SC"/>
        <family val="2"/>
      </rPr>
      <t xml:space="preserve">（盈利高点）</t>
    </r>
  </si>
  <si>
    <t xml:space="preserve">2.0x – 30.0x</t>
  </si>
  <si>
    <r>
      <rPr>
        <sz val="8"/>
        <color rgb="FF4A4A4A"/>
        <rFont val="Noto Sans CJK SC"/>
        <family val="2"/>
      </rPr>
      <t xml:space="preserve">★ 市场当前给 </t>
    </r>
    <r>
      <rPr>
        <sz val="8"/>
        <color rgb="FF4A4A4A"/>
        <rFont val="Arial"/>
        <family val="0"/>
        <charset val="1"/>
      </rPr>
      <t xml:space="preserve">FY27 </t>
    </r>
    <r>
      <rPr>
        <sz val="8"/>
        <color rgb="FF4A4A4A"/>
        <rFont val="Noto Sans CJK SC"/>
        <family val="2"/>
      </rPr>
      <t xml:space="preserve">的前瞻 </t>
    </r>
    <r>
      <rPr>
        <sz val="8"/>
        <color rgb="FF4A4A4A"/>
        <rFont val="Arial"/>
        <family val="0"/>
        <charset val="1"/>
      </rPr>
      <t xml:space="preserve">P/E </t>
    </r>
    <r>
      <rPr>
        <sz val="8"/>
        <color rgb="FF4A4A4A"/>
        <rFont val="Noto Sans CJK SC"/>
        <family val="2"/>
      </rPr>
      <t xml:space="preserve">约 </t>
    </r>
    <r>
      <rPr>
        <sz val="8"/>
        <color rgb="FF4A4A4A"/>
        <rFont val="Arial"/>
        <family val="0"/>
        <charset val="1"/>
      </rPr>
      <t xml:space="preserve">7–8 </t>
    </r>
    <r>
      <rPr>
        <sz val="8"/>
        <color rgb="FF4A4A4A"/>
        <rFont val="Noto Sans CJK SC"/>
        <family val="2"/>
      </rPr>
      <t xml:space="preserve">倍（现价 </t>
    </r>
    <r>
      <rPr>
        <sz val="8"/>
        <color rgb="FF4A4A4A"/>
        <rFont val="Arial"/>
        <family val="0"/>
        <charset val="1"/>
      </rPr>
      <t xml:space="preserve">$1,500 ÷ </t>
    </r>
    <r>
      <rPr>
        <sz val="8"/>
        <color rgb="FF4A4A4A"/>
        <rFont val="Noto Sans CJK SC"/>
        <family val="2"/>
      </rPr>
      <t xml:space="preserve">卖方 </t>
    </r>
    <r>
      <rPr>
        <sz val="8"/>
        <color rgb="FF4A4A4A"/>
        <rFont val="Arial"/>
        <family val="0"/>
        <charset val="1"/>
      </rPr>
      <t xml:space="preserve">FY27 EPS </t>
    </r>
    <r>
      <rPr>
        <sz val="8"/>
        <color rgb="FF4A4A4A"/>
        <rFont val="Noto Sans CJK SC"/>
        <family val="2"/>
      </rPr>
      <t xml:space="preserve">预期）。周期股在盈利高点被给低倍数是常态——不要把当前 </t>
    </r>
    <r>
      <rPr>
        <sz val="8"/>
        <color rgb="FF4A4A4A"/>
        <rFont val="Arial"/>
        <family val="0"/>
        <charset val="1"/>
      </rPr>
      <t xml:space="preserve">20x </t>
    </r>
    <r>
      <rPr>
        <sz val="8"/>
        <color rgb="FF4A4A4A"/>
        <rFont val="Noto Sans CJK SC"/>
        <family val="2"/>
      </rPr>
      <t xml:space="preserve">的历史 </t>
    </r>
    <r>
      <rPr>
        <sz val="8"/>
        <color rgb="FF4A4A4A"/>
        <rFont val="Arial"/>
        <family val="0"/>
        <charset val="1"/>
      </rPr>
      <t xml:space="preserve">P/E </t>
    </r>
    <r>
      <rPr>
        <sz val="8"/>
        <color rgb="FF4A4A4A"/>
        <rFont val="Noto Sans CJK SC"/>
        <family val="2"/>
      </rPr>
      <t xml:space="preserve">套到高点年份上。</t>
    </r>
  </si>
  <si>
    <r>
      <rPr>
        <b val="true"/>
        <sz val="9"/>
        <color rgb="FF16305B"/>
        <rFont val="Arial"/>
        <family val="0"/>
        <charset val="1"/>
      </rPr>
      <t xml:space="preserve">FY2028 P/E</t>
    </r>
    <r>
      <rPr>
        <b val="true"/>
        <sz val="9"/>
        <color rgb="FF16305B"/>
        <rFont val="Noto Sans CJK SC"/>
        <family val="2"/>
      </rPr>
      <t xml:space="preserve">（周期转折年）</t>
    </r>
  </si>
  <si>
    <r>
      <rPr>
        <sz val="8"/>
        <color rgb="FF4A4A4A"/>
        <rFont val="Noto Sans CJK SC"/>
        <family val="2"/>
      </rPr>
      <t xml:space="preserve">周期回落年。盈利下滑时 </t>
    </r>
    <r>
      <rPr>
        <sz val="8"/>
        <color rgb="FF4A4A4A"/>
        <rFont val="Arial"/>
        <family val="0"/>
        <charset val="1"/>
      </rPr>
      <t xml:space="preserve">P/E </t>
    </r>
    <r>
      <rPr>
        <sz val="8"/>
        <color rgb="FF4A4A4A"/>
        <rFont val="Noto Sans CJK SC"/>
        <family val="2"/>
      </rPr>
      <t xml:space="preserve">通常先扩张（分母掉得比股价快），所以这一档一般高于 </t>
    </r>
    <r>
      <rPr>
        <sz val="8"/>
        <color rgb="FF4A4A4A"/>
        <rFont val="Arial"/>
        <family val="0"/>
        <charset val="1"/>
      </rPr>
      <t xml:space="preserve">FY27</t>
    </r>
    <r>
      <rPr>
        <sz val="8"/>
        <color rgb="FF4A4A4A"/>
        <rFont val="Noto Sans CJK SC"/>
        <family val="2"/>
      </rPr>
      <t xml:space="preserve">。</t>
    </r>
    <r>
      <rPr>
        <sz val="8"/>
        <color rgb="FF4A4A4A"/>
        <rFont val="Arial"/>
        <family val="0"/>
        <charset val="1"/>
      </rPr>
      <t xml:space="preserve">FY29–FY31 </t>
    </r>
    <r>
      <rPr>
        <sz val="8"/>
        <color rgb="FF4A4A4A"/>
        <rFont val="Noto Sans CJK SC"/>
        <family val="2"/>
      </rPr>
      <t xml:space="preserve">的 </t>
    </r>
    <r>
      <rPr>
        <sz val="8"/>
        <color rgb="FF4A4A4A"/>
        <rFont val="Arial"/>
        <family val="0"/>
        <charset val="1"/>
      </rPr>
      <t xml:space="preserve">P/E </t>
    </r>
    <r>
      <rPr>
        <sz val="8"/>
        <color rgb="FF4A4A4A"/>
        <rFont val="Noto Sans CJK SC"/>
        <family val="2"/>
      </rPr>
      <t xml:space="preserve">在本档与 </t>
    </r>
    <r>
      <rPr>
        <sz val="8"/>
        <color rgb="FF4A4A4A"/>
        <rFont val="Arial"/>
        <family val="0"/>
        <charset val="1"/>
      </rPr>
      <t xml:space="preserve">FY32 </t>
    </r>
    <r>
      <rPr>
        <sz val="8"/>
        <color rgb="FF4A4A4A"/>
        <rFont val="Noto Sans CJK SC"/>
        <family val="2"/>
      </rPr>
      <t xml:space="preserve">之间线性过渡。</t>
    </r>
  </si>
  <si>
    <r>
      <rPr>
        <b val="true"/>
        <sz val="9"/>
        <color rgb="FF16305B"/>
        <rFont val="Arial"/>
        <family val="0"/>
        <charset val="1"/>
      </rPr>
      <t xml:space="preserve">FY2032 P/E</t>
    </r>
    <r>
      <rPr>
        <b val="true"/>
        <sz val="9"/>
        <color rgb="FF16305B"/>
        <rFont val="Noto Sans CJK SC"/>
        <family val="2"/>
      </rPr>
      <t xml:space="preserve">（终局</t>
    </r>
    <r>
      <rPr>
        <b val="true"/>
        <sz val="9"/>
        <color rgb="FF16305B"/>
        <rFont val="Arial"/>
        <family val="0"/>
        <charset val="1"/>
      </rPr>
      <t xml:space="preserve">/</t>
    </r>
    <r>
      <rPr>
        <b val="true"/>
        <sz val="9"/>
        <color rgb="FF16305B"/>
        <rFont val="Noto Sans CJK SC"/>
        <family val="2"/>
      </rPr>
      <t xml:space="preserve">退出）</t>
    </r>
  </si>
  <si>
    <r>
      <rPr>
        <sz val="8"/>
        <color rgb="FF4A4A4A"/>
        <rFont val="Noto Sans CJK SC"/>
        <family val="2"/>
      </rPr>
      <t xml:space="preserve">★ 终局倍数。下方汇总第 ⑤ 行会算出「本 </t>
    </r>
    <r>
      <rPr>
        <sz val="8"/>
        <color rgb="FF4A4A4A"/>
        <rFont val="Arial"/>
        <family val="0"/>
        <charset val="1"/>
      </rPr>
      <t xml:space="preserve">DCF </t>
    </r>
    <r>
      <rPr>
        <sz val="8"/>
        <color rgb="FF4A4A4A"/>
        <rFont val="Noto Sans CJK SC"/>
        <family val="2"/>
      </rPr>
      <t xml:space="preserve">隐含的退出 </t>
    </r>
    <r>
      <rPr>
        <sz val="8"/>
        <color rgb="FF4A4A4A"/>
        <rFont val="Arial"/>
        <family val="0"/>
        <charset val="1"/>
      </rPr>
      <t xml:space="preserve">P/E</t>
    </r>
    <r>
      <rPr>
        <sz val="8"/>
        <color rgb="FF4A4A4A"/>
        <rFont val="Noto Sans CJK SC"/>
        <family val="2"/>
      </rPr>
      <t xml:space="preserve">」——把这一档拖到那个数，</t>
    </r>
    <r>
      <rPr>
        <sz val="8"/>
        <color rgb="FF4A4A4A"/>
        <rFont val="Arial"/>
        <family val="0"/>
        <charset val="1"/>
      </rPr>
      <t xml:space="preserve">EPS×P/E </t>
    </r>
    <r>
      <rPr>
        <sz val="8"/>
        <color rgb="FF4A4A4A"/>
        <rFont val="Noto Sans CJK SC"/>
        <family val="2"/>
      </rPr>
      <t xml:space="preserve">与 </t>
    </r>
    <r>
      <rPr>
        <sz val="8"/>
        <color rgb="FF4A4A4A"/>
        <rFont val="Arial"/>
        <family val="0"/>
        <charset val="1"/>
      </rPr>
      <t xml:space="preserve">DCF </t>
    </r>
    <r>
      <rPr>
        <sz val="8"/>
        <color rgb="FF4A4A4A"/>
        <rFont val="Noto Sans CJK SC"/>
        <family val="2"/>
      </rPr>
      <t xml:space="preserve">两法应当收敛。存储股历史退出倍数通常 </t>
    </r>
    <r>
      <rPr>
        <sz val="8"/>
        <color rgb="FF4A4A4A"/>
        <rFont val="Arial"/>
        <family val="0"/>
        <charset val="1"/>
      </rPr>
      <t xml:space="preserve">8–15x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</si>
  <si>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FFFFFF"/>
        <rFont val="Noto Sans CJK SC"/>
        <family val="2"/>
      </rPr>
      <t xml:space="preserve">敏感性表 </t>
    </r>
    <r>
      <rPr>
        <b val="true"/>
        <sz val="9"/>
        <color rgb="FFFFFFFF"/>
        <rFont val="Arial"/>
        <family val="0"/>
        <charset val="1"/>
      </rPr>
      <t xml:space="preserve">C · EPS×P/E </t>
    </r>
    <r>
      <rPr>
        <b val="true"/>
        <sz val="9"/>
        <color rgb="FFFFFFFF"/>
        <rFont val="Noto Sans CJK SC"/>
        <family val="2"/>
      </rPr>
      <t xml:space="preserve">法的每股价值：</t>
    </r>
    <r>
      <rPr>
        <b val="true"/>
        <sz val="9"/>
        <color rgb="FFFFFFFF"/>
        <rFont val="Arial"/>
        <family val="0"/>
        <charset val="1"/>
      </rPr>
      <t xml:space="preserve">FY2032 P/E</t>
    </r>
    <r>
      <rPr>
        <b val="true"/>
        <sz val="9"/>
        <color rgb="FFFFFFFF"/>
        <rFont val="Noto Sans CJK SC"/>
        <family val="2"/>
      </rPr>
      <t xml:space="preserve">（行）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Noto Sans CJK SC"/>
        <family val="2"/>
      </rPr>
      <t xml:space="preserve">回购比例（列）</t>
    </r>
  </si>
  <si>
    <r>
      <rPr>
        <b val="true"/>
        <sz val="9"/>
        <color rgb="FF16305B"/>
        <rFont val="Arial"/>
        <family val="0"/>
        <charset val="1"/>
      </rPr>
      <t xml:space="preserve">FY32 P/E </t>
    </r>
    <r>
      <rPr>
        <b val="true"/>
        <sz val="9"/>
        <color rgb="FF16305B"/>
        <rFont val="Noto Sans CJK SC"/>
        <family val="2"/>
      </rPr>
      <t xml:space="preserve">＼ 回购比例</t>
    </r>
  </si>
  <si>
    <r>
      <rPr>
        <sz val="9"/>
        <color rgb="FF3D3D3D"/>
        <rFont val="Noto Sans CJK SC"/>
        <family val="2"/>
      </rPr>
      <t xml:space="preserve">怎么读：从左到右是回购比例从 </t>
    </r>
    <r>
      <rPr>
        <sz val="9"/>
        <color rgb="FF3D3D3D"/>
        <rFont val="Arial"/>
        <family val="0"/>
        <charset val="1"/>
      </rPr>
      <t xml:space="preserve">0 </t>
    </r>
    <r>
      <rPr>
        <sz val="9"/>
        <color rgb="FF3D3D3D"/>
        <rFont val="Noto Sans CJK SC"/>
        <family val="2"/>
      </rPr>
      <t xml:space="preserve">提到 </t>
    </r>
    <r>
      <rPr>
        <sz val="9"/>
        <color rgb="FF3D3D3D"/>
        <rFont val="Arial"/>
        <family val="0"/>
        <charset val="1"/>
      </rPr>
      <t xml:space="preserve">100%</t>
    </r>
    <r>
      <rPr>
        <sz val="9"/>
        <color rgb="FF3D3D3D"/>
        <rFont val="Noto Sans CJK SC"/>
        <family val="2"/>
      </rPr>
      <t xml:space="preserve">。★ 一行里数字从左到右递增 ＝ 在这个退出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下回购是增厚的；递减 ＝ 公司在用高于内在价值的价格回购自己的股票，此时「</t>
    </r>
    <r>
      <rPr>
        <sz val="9"/>
        <color rgb="FF3D3D3D"/>
        <rFont val="Arial"/>
        <family val="0"/>
        <charset val="1"/>
      </rPr>
      <t xml:space="preserve">100% </t>
    </r>
    <r>
      <rPr>
        <sz val="9"/>
        <color rgb="FF3D3D3D"/>
        <rFont val="Noto Sans CJK SC"/>
        <family val="2"/>
      </rPr>
      <t xml:space="preserve">返还超额现金」反而在损害长期股东。绿色 ＝ 高于现价，红色 ＝ 低于现价。</t>
    </r>
  </si>
  <si>
    <r>
      <rPr>
        <b val="true"/>
        <sz val="9"/>
        <color rgb="FFFFFFFF"/>
        <rFont val="Noto Sans CJK SC"/>
        <family val="2"/>
      </rPr>
      <t xml:space="preserve">敏感性表 </t>
    </r>
    <r>
      <rPr>
        <b val="true"/>
        <sz val="9"/>
        <color rgb="FFFFFFFF"/>
        <rFont val="Arial"/>
        <family val="0"/>
        <charset val="1"/>
      </rPr>
      <t xml:space="preserve">D · </t>
    </r>
    <r>
      <rPr>
        <b val="true"/>
        <sz val="9"/>
        <color rgb="FFFFFFFF"/>
        <rFont val="Noto Sans CJK SC"/>
        <family val="2"/>
      </rPr>
      <t xml:space="preserve">同一个 </t>
    </r>
    <r>
      <rPr>
        <b val="true"/>
        <sz val="9"/>
        <color rgb="FFFFFFFF"/>
        <rFont val="Arial"/>
        <family val="0"/>
        <charset val="1"/>
      </rPr>
      <t xml:space="preserve">P/E </t>
    </r>
    <r>
      <rPr>
        <b val="true"/>
        <sz val="9"/>
        <color rgb="FFFFFFFF"/>
        <rFont val="Noto Sans CJK SC"/>
        <family val="2"/>
      </rPr>
      <t xml:space="preserve">水平（行）落在三个不同年份（列）上，目标价差多少</t>
    </r>
  </si>
  <si>
    <r>
      <rPr>
        <b val="true"/>
        <sz val="9"/>
        <color rgb="FF16305B"/>
        <rFont val="Arial"/>
        <family val="0"/>
        <charset val="1"/>
      </rPr>
      <t xml:space="preserve">P/E </t>
    </r>
    <r>
      <rPr>
        <b val="true"/>
        <sz val="9"/>
        <color rgb="FF16305B"/>
        <rFont val="Noto Sans CJK SC"/>
        <family val="2"/>
      </rPr>
      <t xml:space="preserve">水平</t>
    </r>
  </si>
  <si>
    <r>
      <rPr>
        <b val="true"/>
        <sz val="9"/>
        <color rgb="FF16305B"/>
        <rFont val="Arial"/>
        <family val="0"/>
        <charset val="1"/>
      </rPr>
      <t xml:space="preserve">FY2027 </t>
    </r>
    <r>
      <rPr>
        <b val="true"/>
        <sz val="9"/>
        <color rgb="FF16305B"/>
        <rFont val="Noto Sans CJK SC"/>
        <family val="2"/>
      </rPr>
      <t xml:space="preserve">目标价
（</t>
    </r>
    <r>
      <rPr>
        <b val="true"/>
        <sz val="9"/>
        <color rgb="FF16305B"/>
        <rFont val="Arial"/>
        <family val="0"/>
        <charset val="1"/>
      </rPr>
      <t xml:space="preserve">12 </t>
    </r>
    <r>
      <rPr>
        <b val="true"/>
        <sz val="9"/>
        <color rgb="FF16305B"/>
        <rFont val="Noto Sans CJK SC"/>
        <family val="2"/>
      </rPr>
      <t xml:space="preserve">个月，不折现）</t>
    </r>
  </si>
  <si>
    <r>
      <rPr>
        <b val="true"/>
        <sz val="9"/>
        <color rgb="FF16305B"/>
        <rFont val="Arial"/>
        <family val="0"/>
        <charset val="1"/>
      </rPr>
      <t xml:space="preserve">FY2028 </t>
    </r>
    <r>
      <rPr>
        <b val="true"/>
        <sz val="9"/>
        <color rgb="FF16305B"/>
        <rFont val="Noto Sans CJK SC"/>
        <family val="2"/>
      </rPr>
      <t xml:space="preserve">目标价
（折现 </t>
    </r>
    <r>
      <rPr>
        <b val="true"/>
        <sz val="9"/>
        <color rgb="FF16305B"/>
        <rFont val="Arial"/>
        <family val="0"/>
        <charset val="1"/>
      </rPr>
      <t xml:space="preserve">2 </t>
    </r>
    <r>
      <rPr>
        <b val="true"/>
        <sz val="9"/>
        <color rgb="FF16305B"/>
        <rFont val="Noto Sans CJK SC"/>
        <family val="2"/>
      </rPr>
      <t xml:space="preserve">年）</t>
    </r>
  </si>
  <si>
    <r>
      <rPr>
        <b val="true"/>
        <sz val="9"/>
        <color rgb="FF16305B"/>
        <rFont val="Arial"/>
        <family val="0"/>
        <charset val="1"/>
      </rPr>
      <t xml:space="preserve">FY2032 </t>
    </r>
    <r>
      <rPr>
        <b val="true"/>
        <sz val="9"/>
        <color rgb="FF16305B"/>
        <rFont val="Noto Sans CJK SC"/>
        <family val="2"/>
      </rPr>
      <t xml:space="preserve">目标价
（折现 </t>
    </r>
    <r>
      <rPr>
        <b val="true"/>
        <sz val="9"/>
        <color rgb="FF16305B"/>
        <rFont val="Arial"/>
        <family val="0"/>
        <charset val="1"/>
      </rPr>
      <t xml:space="preserve">6 </t>
    </r>
    <r>
      <rPr>
        <b val="true"/>
        <sz val="9"/>
        <color rgb="FF16305B"/>
        <rFont val="Noto Sans CJK SC"/>
        <family val="2"/>
      </rPr>
      <t xml:space="preserve">年）</t>
    </r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</si>
  <si>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目标价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现价 − </t>
    </r>
    <r>
      <rPr>
        <b val="true"/>
        <sz val="9"/>
        <color rgb="FF16305B"/>
        <rFont val="Arial"/>
        <family val="0"/>
        <charset val="1"/>
      </rPr>
      <t xml:space="preserve">1</t>
    </r>
  </si>
  <si>
    <r>
      <rPr>
        <b val="true"/>
        <sz val="9"/>
        <color rgb="FF16305B"/>
        <rFont val="Arial"/>
        <family val="0"/>
        <charset val="1"/>
      </rPr>
      <t xml:space="preserve">FY32 </t>
    </r>
    <r>
      <rPr>
        <b val="true"/>
        <sz val="9"/>
        <color rgb="FF16305B"/>
        <rFont val="Noto Sans CJK SC"/>
        <family val="2"/>
      </rPr>
      <t xml:space="preserve">折现值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现价 − </t>
    </r>
    <r>
      <rPr>
        <b val="true"/>
        <sz val="9"/>
        <color rgb="FF16305B"/>
        <rFont val="Arial"/>
        <family val="0"/>
        <charset val="1"/>
      </rPr>
      <t xml:space="preserve">1</t>
    </r>
  </si>
  <si>
    <r>
      <rPr>
        <b val="true"/>
        <sz val="9"/>
        <color rgb="FF16305B"/>
        <rFont val="Noto Sans CJK SC"/>
        <family val="2"/>
      </rPr>
      <t xml:space="preserve">对应的 </t>
    </r>
    <r>
      <rPr>
        <b val="true"/>
        <sz val="9"/>
        <color rgb="FF16305B"/>
        <rFont val="Arial"/>
        <family val="0"/>
        <charset val="1"/>
      </rPr>
      <t xml:space="preserve">EPS</t>
    </r>
    <r>
      <rPr>
        <b val="true"/>
        <sz val="9"/>
        <color rgb="FF16305B"/>
        <rFont val="Noto Sans CJK SC"/>
        <family val="2"/>
      </rPr>
      <t xml:space="preserve">：</t>
    </r>
    <r>
      <rPr>
        <b val="true"/>
        <sz val="9"/>
        <color rgb="FF16305B"/>
        <rFont val="Arial"/>
        <family val="0"/>
        <charset val="1"/>
      </rPr>
      <t xml:space="preserve">FY27 / FY28 / FY32 </t>
    </r>
    <r>
      <rPr>
        <b val="true"/>
        <sz val="9"/>
        <color rgb="FF16305B"/>
        <rFont val="Noto Sans CJK SC"/>
        <family val="2"/>
      </rPr>
      <t xml:space="preserve">见 </t>
    </r>
    <r>
      <rPr>
        <b val="true"/>
        <sz val="9"/>
        <color rgb="FF16305B"/>
        <rFont val="Arial"/>
        <family val="0"/>
        <charset val="1"/>
      </rPr>
      <t xml:space="preserve">6.1 </t>
    </r>
    <r>
      <rPr>
        <b val="true"/>
        <sz val="9"/>
        <color rgb="FF16305B"/>
        <rFont val="Noto Sans CJK SC"/>
        <family val="2"/>
      </rPr>
      <t xml:space="preserve">表</t>
    </r>
  </si>
  <si>
    <r>
      <rPr>
        <sz val="9"/>
        <color rgb="FF3D3D3D"/>
        <rFont val="Noto Sans CJK SC"/>
        <family val="2"/>
      </rPr>
      <t xml:space="preserve">★ 这张表的用法：横向比较同一个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落在不同年份上的效果。你会看到 </t>
    </r>
    <r>
      <rPr>
        <sz val="9"/>
        <color rgb="FF3D3D3D"/>
        <rFont val="Arial"/>
        <family val="0"/>
        <charset val="1"/>
      </rPr>
      <t xml:space="preserve">FY2027 </t>
    </r>
    <r>
      <rPr>
        <sz val="9"/>
        <color rgb="FF3D3D3D"/>
        <rFont val="Noto Sans CJK SC"/>
        <family val="2"/>
      </rPr>
      <t xml:space="preserve">那一列对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最敏感——因为 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EPS </t>
    </r>
    <r>
      <rPr>
        <sz val="9"/>
        <color rgb="FF3D3D3D"/>
        <rFont val="Noto Sans CJK SC"/>
        <family val="2"/>
      </rPr>
      <t xml:space="preserve">最高，同样加 </t>
    </r>
    <r>
      <rPr>
        <sz val="9"/>
        <color rgb="FF3D3D3D"/>
        <rFont val="Arial"/>
        <family val="0"/>
        <charset val="1"/>
      </rPr>
      <t xml:space="preserve">3 </t>
    </r>
    <r>
      <rPr>
        <sz val="9"/>
        <color rgb="FF3D3D3D"/>
        <rFont val="Noto Sans CJK SC"/>
        <family val="2"/>
      </rPr>
      <t xml:space="preserve">倍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的目标价涨得最多。这正是「不能用同一个倍数乘所有年份」的量化理由：把终局的正常倍数误用在盈利高点年份上，会把目标价系统性推高。反过来，如果三列在某个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水平上给出的结论一致（都高于或都低于现价），那个结论才是稳健的。</t>
    </r>
  </si>
  <si>
    <r>
      <rPr>
        <b val="true"/>
        <sz val="11"/>
        <color rgb="FFFFFFFF"/>
        <rFont val="Arial"/>
        <family val="0"/>
        <charset val="1"/>
      </rPr>
      <t xml:space="preserve">07  </t>
    </r>
    <r>
      <rPr>
        <b val="true"/>
        <sz val="11"/>
        <color rgb="FFFFFFFF"/>
        <rFont val="Noto Sans CJK SC"/>
        <family val="2"/>
      </rPr>
      <t xml:space="preserve">敏感性分析（</t>
    </r>
    <r>
      <rPr>
        <b val="true"/>
        <sz val="11"/>
        <color rgb="FFFFFFFF"/>
        <rFont val="Arial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口径）</t>
    </r>
  </si>
  <si>
    <r>
      <rPr>
        <sz val="9"/>
        <color rgb="FF3D3D3D"/>
        <rFont val="Noto Sans CJK SC"/>
        <family val="2"/>
      </rPr>
      <t xml:space="preserve">两张二维表。左表是最标准的 </t>
    </r>
    <r>
      <rPr>
        <sz val="9"/>
        <color rgb="FF3D3D3D"/>
        <rFont val="Arial"/>
        <family val="0"/>
        <charset val="1"/>
      </rPr>
      <t xml:space="preserve">WACC × </t>
    </r>
    <r>
      <rPr>
        <sz val="9"/>
        <color rgb="FF3D3D3D"/>
        <rFont val="Noto Sans CJK SC"/>
        <family val="2"/>
      </rPr>
      <t xml:space="preserve">永续增长率；右表换成 </t>
    </r>
    <r>
      <rPr>
        <sz val="9"/>
        <color rgb="FF3D3D3D"/>
        <rFont val="Arial"/>
        <family val="0"/>
        <charset val="1"/>
      </rPr>
      <t xml:space="preserve">WACC × </t>
    </r>
    <r>
      <rPr>
        <sz val="9"/>
        <color rgb="FF3D3D3D"/>
        <rFont val="Noto Sans CJK SC"/>
        <family val="2"/>
      </rPr>
      <t xml:space="preserve">终局毛利率——对 </t>
    </r>
    <r>
      <rPr>
        <sz val="9"/>
        <color rgb="FF3D3D3D"/>
        <rFont val="Arial"/>
        <family val="0"/>
        <charset val="1"/>
      </rPr>
      <t xml:space="preserve">SNDK </t>
    </r>
    <r>
      <rPr>
        <sz val="9"/>
        <color rgb="FF3D3D3D"/>
        <rFont val="Noto Sans CJK SC"/>
        <family val="2"/>
      </rPr>
      <t xml:space="preserve">而言后者更重要，因为「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价格能不能维持」比「永续增长率是 </t>
    </r>
    <r>
      <rPr>
        <sz val="9"/>
        <color rgb="FF3D3D3D"/>
        <rFont val="Arial"/>
        <family val="0"/>
        <charset val="1"/>
      </rPr>
      <t xml:space="preserve">2.5% </t>
    </r>
    <r>
      <rPr>
        <sz val="9"/>
        <color rgb="FF3D3D3D"/>
        <rFont val="Noto Sans CJK SC"/>
        <family val="2"/>
      </rPr>
      <t xml:space="preserve">还是 </t>
    </r>
    <r>
      <rPr>
        <sz val="9"/>
        <color rgb="FF3D3D3D"/>
        <rFont val="Arial"/>
        <family val="0"/>
        <charset val="1"/>
      </rPr>
      <t xml:space="preserve">3.5%</t>
    </r>
    <r>
      <rPr>
        <sz val="9"/>
        <color rgb="FF3D3D3D"/>
        <rFont val="Noto Sans CJK SC"/>
        <family val="2"/>
      </rPr>
      <t xml:space="preserve">」对结论的影响大一个数量级。表内每一格都是完整重算的每股价值，绿色 </t>
    </r>
    <r>
      <rPr>
        <sz val="9"/>
        <color rgb="FF3D3D3D"/>
        <rFont val="Arial"/>
        <family val="0"/>
        <charset val="1"/>
      </rPr>
      <t xml:space="preserve">= </t>
    </r>
    <r>
      <rPr>
        <sz val="9"/>
        <color rgb="FF3D3D3D"/>
        <rFont val="Noto Sans CJK SC"/>
        <family val="2"/>
      </rPr>
      <t xml:space="preserve">高于现价，红色 </t>
    </r>
    <r>
      <rPr>
        <sz val="9"/>
        <color rgb="FF3D3D3D"/>
        <rFont val="Arial"/>
        <family val="0"/>
        <charset val="1"/>
      </rPr>
      <t xml:space="preserve">= </t>
    </r>
    <r>
      <rPr>
        <sz val="9"/>
        <color rgb="FF3D3D3D"/>
        <rFont val="Noto Sans CJK SC"/>
        <family val="2"/>
      </rPr>
      <t xml:space="preserve">低于现价。</t>
    </r>
  </si>
  <si>
    <r>
      <rPr>
        <b val="true"/>
        <sz val="9"/>
        <color rgb="FFFFFFFF"/>
        <rFont val="Noto Sans CJK SC"/>
        <family val="2"/>
      </rPr>
      <t xml:space="preserve">敏感性表 </t>
    </r>
    <r>
      <rPr>
        <b val="true"/>
        <sz val="9"/>
        <color rgb="FFFFFFFF"/>
        <rFont val="Arial"/>
        <family val="0"/>
        <charset val="1"/>
      </rPr>
      <t xml:space="preserve">A · </t>
    </r>
    <r>
      <rPr>
        <b val="true"/>
        <sz val="9"/>
        <color rgb="FFFFFFFF"/>
        <rFont val="Noto Sans CJK SC"/>
        <family val="2"/>
      </rPr>
      <t xml:space="preserve">每股内在价值：</t>
    </r>
    <r>
      <rPr>
        <b val="true"/>
        <sz val="9"/>
        <color rgb="FFFFFFFF"/>
        <rFont val="Arial"/>
        <family val="0"/>
        <charset val="1"/>
      </rPr>
      <t xml:space="preserve">WACC</t>
    </r>
    <r>
      <rPr>
        <b val="true"/>
        <sz val="9"/>
        <color rgb="FFFFFFFF"/>
        <rFont val="Noto Sans CJK SC"/>
        <family val="2"/>
      </rPr>
      <t xml:space="preserve">（行）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Noto Sans CJK SC"/>
        <family val="2"/>
      </rPr>
      <t xml:space="preserve">永续增长率 </t>
    </r>
    <r>
      <rPr>
        <b val="true"/>
        <sz val="9"/>
        <color rgb="FFFFFFFF"/>
        <rFont val="Arial"/>
        <family val="0"/>
        <charset val="1"/>
      </rPr>
      <t xml:space="preserve">g</t>
    </r>
    <r>
      <rPr>
        <b val="true"/>
        <sz val="9"/>
        <color rgb="FFFFFFFF"/>
        <rFont val="Noto Sans CJK SC"/>
        <family val="2"/>
      </rPr>
      <t xml:space="preserve">（列）</t>
    </r>
  </si>
  <si>
    <r>
      <rPr>
        <b val="true"/>
        <sz val="9"/>
        <color rgb="FFFFFFFF"/>
        <rFont val="Noto Sans CJK SC"/>
        <family val="2"/>
      </rPr>
      <t xml:space="preserve">敏感性表 </t>
    </r>
    <r>
      <rPr>
        <b val="true"/>
        <sz val="9"/>
        <color rgb="FFFFFFFF"/>
        <rFont val="Arial"/>
        <family val="0"/>
        <charset val="1"/>
      </rPr>
      <t xml:space="preserve">B · </t>
    </r>
    <r>
      <rPr>
        <b val="true"/>
        <sz val="9"/>
        <color rgb="FFFFFFFF"/>
        <rFont val="Noto Sans CJK SC"/>
        <family val="2"/>
      </rPr>
      <t xml:space="preserve">每股内在价值：</t>
    </r>
    <r>
      <rPr>
        <b val="true"/>
        <sz val="9"/>
        <color rgb="FFFFFFFF"/>
        <rFont val="Arial"/>
        <family val="0"/>
        <charset val="1"/>
      </rPr>
      <t xml:space="preserve">WACC</t>
    </r>
    <r>
      <rPr>
        <b val="true"/>
        <sz val="9"/>
        <color rgb="FFFFFFFF"/>
        <rFont val="Noto Sans CJK SC"/>
        <family val="2"/>
      </rPr>
      <t xml:space="preserve">（行）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Noto Sans CJK SC"/>
        <family val="2"/>
      </rPr>
      <t xml:space="preserve">终局毛利率（列）</t>
    </r>
  </si>
  <si>
    <r>
      <rPr>
        <b val="true"/>
        <sz val="9"/>
        <color rgb="FF16305B"/>
        <rFont val="Arial"/>
        <family val="0"/>
        <charset val="1"/>
      </rPr>
      <t xml:space="preserve">WACC </t>
    </r>
    <r>
      <rPr>
        <b val="true"/>
        <sz val="9"/>
        <color rgb="FF16305B"/>
        <rFont val="Noto Sans CJK SC"/>
        <family val="2"/>
      </rPr>
      <t xml:space="preserve">＼ </t>
    </r>
    <r>
      <rPr>
        <b val="true"/>
        <sz val="9"/>
        <color rgb="FF16305B"/>
        <rFont val="Arial"/>
        <family val="0"/>
        <charset val="1"/>
      </rPr>
      <t xml:space="preserve">g</t>
    </r>
  </si>
  <si>
    <r>
      <rPr>
        <b val="true"/>
        <sz val="9"/>
        <color rgb="FF16305B"/>
        <rFont val="Arial"/>
        <family val="0"/>
        <charset val="1"/>
      </rPr>
      <t xml:space="preserve">WACC </t>
    </r>
    <r>
      <rPr>
        <b val="true"/>
        <sz val="9"/>
        <color rgb="FF16305B"/>
        <rFont val="Noto Sans CJK SC"/>
        <family val="2"/>
      </rPr>
      <t xml:space="preserve">＼ 终局毛利率</t>
    </r>
  </si>
  <si>
    <r>
      <rPr>
        <b val="true"/>
        <sz val="11"/>
        <color rgb="FFFFFFFF"/>
        <rFont val="Arial"/>
        <family val="0"/>
        <charset val="1"/>
      </rPr>
      <t xml:space="preserve">08  </t>
    </r>
    <r>
      <rPr>
        <b val="true"/>
        <sz val="11"/>
        <color rgb="FFFFFFFF"/>
        <rFont val="Noto Sans CJK SC"/>
        <family val="2"/>
      </rPr>
      <t xml:space="preserve">关键假设溯源：每一个数字是怎么来的、什么信号能推翻它</t>
    </r>
  </si>
  <si>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的价值不在于算出一个数，而在于把「你相信什么」拆成可以被单独检验的几条。下表把本情形最关键的五个假设逐条摊开：取值、历史锚点、外部佐证与推理、以及什么样的事实出现就说明这条假设错了。最后一列是可证伪信号——请把它当作跟踪清单用。</t>
    </r>
  </si>
  <si>
    <t xml:space="preserve">假设</t>
  </si>
  <si>
    <t xml:space="preserve">本情形取值</t>
  </si>
  <si>
    <t xml:space="preserve">历史锚点</t>
  </si>
  <si>
    <t xml:space="preserve">外部佐证与推理</t>
  </si>
  <si>
    <t xml:space="preserve">可证伪信号（跟踪清单）</t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</si>
  <si>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收入路径</t>
    </r>
  </si>
  <si>
    <r>
      <rPr>
        <b val="true"/>
        <sz val="9"/>
        <color rgb="FFC0392B"/>
        <rFont val="Arial"/>
        <family val="0"/>
        <charset val="1"/>
      </rPr>
      <t xml:space="preserve">$36.8B</t>
    </r>
    <r>
      <rPr>
        <b val="true"/>
        <sz val="9"/>
        <color rgb="FFC0392B"/>
        <rFont val="Noto Sans CJK SC"/>
        <family val="2"/>
      </rPr>
      <t xml:space="preserve">（</t>
    </r>
    <r>
      <rPr>
        <b val="true"/>
        <sz val="9"/>
        <color rgb="FFC0392B"/>
        <rFont val="Arial"/>
        <family val="0"/>
        <charset val="1"/>
      </rPr>
      <t xml:space="preserve">Q4 </t>
    </r>
    <r>
      <rPr>
        <b val="true"/>
        <sz val="9"/>
        <color rgb="FFC0392B"/>
        <rFont val="Noto Sans CJK SC"/>
        <family val="2"/>
      </rPr>
      <t xml:space="preserve">回落到 </t>
    </r>
    <r>
      <rPr>
        <b val="true"/>
        <sz val="9"/>
        <color rgb="FFC0392B"/>
        <rFont val="Arial"/>
        <family val="0"/>
        <charset val="1"/>
      </rPr>
      <t xml:space="preserve">$7.1B</t>
    </r>
    <r>
      <rPr>
        <b val="true"/>
        <sz val="9"/>
        <color rgb="FFC0392B"/>
        <rFont val="Noto Sans CJK SC"/>
        <family val="2"/>
      </rPr>
      <t xml:space="preserve">）</t>
    </r>
  </si>
  <si>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实际 </t>
    </r>
    <r>
      <rPr>
        <sz val="8"/>
        <color rgb="FF404040"/>
        <rFont val="Arial"/>
        <family val="0"/>
        <charset val="1"/>
      </rPr>
      <t xml:space="preserve">$8,965M</t>
    </r>
    <r>
      <rPr>
        <sz val="8"/>
        <color rgb="FF404040"/>
        <rFont val="Noto Sans CJK SC"/>
        <family val="2"/>
      </rPr>
      <t xml:space="preserve">；公司 </t>
    </r>
    <r>
      <rPr>
        <sz val="8"/>
        <color rgb="FF404040"/>
        <rFont val="Arial"/>
        <family val="0"/>
        <charset val="1"/>
      </rPr>
      <t xml:space="preserve">FY27 Q1 </t>
    </r>
    <r>
      <rPr>
        <sz val="8"/>
        <color rgb="FF404040"/>
        <rFont val="Noto Sans CJK SC"/>
        <family val="2"/>
      </rPr>
      <t xml:space="preserve">指引 </t>
    </r>
    <r>
      <rPr>
        <sz val="8"/>
        <color rgb="FF404040"/>
        <rFont val="Arial"/>
        <family val="0"/>
        <charset val="1"/>
      </rPr>
      <t xml:space="preserve">$10.3–10.8B</t>
    </r>
  </si>
  <si>
    <r>
      <rPr>
        <sz val="8"/>
        <color rgb="FF303030"/>
        <rFont val="Arial"/>
        <family val="0"/>
        <charset val="1"/>
      </rPr>
      <t xml:space="preserve">TrendForce 2026-07-21</t>
    </r>
    <r>
      <rPr>
        <sz val="8"/>
        <color rgb="FF303030"/>
        <rFont val="Noto Sans CJK SC"/>
        <family val="2"/>
      </rPr>
      <t xml:space="preserve">：「</t>
    </r>
    <r>
      <rPr>
        <sz val="8"/>
        <color rgb="FF303030"/>
        <rFont val="Arial"/>
        <family val="0"/>
        <charset val="1"/>
      </rPr>
      <t xml:space="preserve">NAND </t>
    </r>
    <r>
      <rPr>
        <sz val="8"/>
        <color rgb="FF303030"/>
        <rFont val="Noto Sans CJK SC"/>
        <family val="2"/>
      </rPr>
      <t xml:space="preserve">供给增长将在 </t>
    </r>
    <r>
      <rPr>
        <sz val="8"/>
        <color rgb="FF303030"/>
        <rFont val="Arial"/>
        <family val="0"/>
        <charset val="1"/>
      </rPr>
      <t xml:space="preserve">2027 </t>
    </r>
    <r>
      <rPr>
        <sz val="8"/>
        <color rgb="FF303030"/>
        <rFont val="Noto Sans CJK SC"/>
        <family val="2"/>
      </rPr>
      <t xml:space="preserve">年超过需求，</t>
    </r>
    <r>
      <rPr>
        <sz val="8"/>
        <color rgb="FF303030"/>
        <rFont val="Arial"/>
        <family val="0"/>
        <charset val="1"/>
      </rPr>
      <t xml:space="preserve">2H27 </t>
    </r>
    <r>
      <rPr>
        <sz val="8"/>
        <color rgb="FF303030"/>
        <rFont val="Noto Sans CJK SC"/>
        <family val="2"/>
      </rPr>
      <t xml:space="preserve">供给紧张缓解」；</t>
    </r>
    <r>
      <rPr>
        <sz val="8"/>
        <color rgb="FF303030"/>
        <rFont val="Arial"/>
        <family val="0"/>
        <charset val="1"/>
      </rPr>
      <t xml:space="preserve">2026-07-30 </t>
    </r>
    <r>
      <rPr>
        <sz val="8"/>
        <color rgb="FF303030"/>
        <rFont val="Noto Sans CJK SC"/>
        <family val="2"/>
      </rPr>
      <t xml:space="preserve">进一步明确 </t>
    </r>
    <r>
      <rPr>
        <sz val="8"/>
        <color rgb="FF303030"/>
        <rFont val="Arial"/>
        <family val="0"/>
        <charset val="1"/>
      </rPr>
      <t xml:space="preserve">NAND </t>
    </r>
    <r>
      <rPr>
        <sz val="8"/>
        <color rgb="FF303030"/>
        <rFont val="Noto Sans CJK SC"/>
        <family val="2"/>
      </rPr>
      <t xml:space="preserve">充足率 </t>
    </r>
    <r>
      <rPr>
        <sz val="8"/>
        <color rgb="FF303030"/>
        <rFont val="Arial"/>
        <family val="0"/>
        <charset val="1"/>
      </rPr>
      <t xml:space="preserve">2027 </t>
    </r>
    <r>
      <rPr>
        <sz val="8"/>
        <color rgb="FF303030"/>
        <rFont val="Noto Sans CJK SC"/>
        <family val="2"/>
      </rPr>
      <t xml:space="preserve">年转正。本情形假设合约价在 </t>
    </r>
    <r>
      <rPr>
        <sz val="8"/>
        <color rgb="FF303030"/>
        <rFont val="Arial"/>
        <family val="0"/>
        <charset val="1"/>
      </rPr>
      <t xml:space="preserve">FY27 </t>
    </r>
    <r>
      <rPr>
        <sz val="8"/>
        <color rgb="FF303030"/>
        <rFont val="Noto Sans CJK SC"/>
        <family val="2"/>
      </rPr>
      <t xml:space="preserve">下半年见顶回落，与该判断时点一致。</t>
    </r>
  </si>
  <si>
    <r>
      <rPr>
        <sz val="8"/>
        <color rgb="FFB3202C"/>
        <rFont val="Arial"/>
        <family val="0"/>
        <charset val="1"/>
      </rPr>
      <t xml:space="preserve">TrendForce </t>
    </r>
    <r>
      <rPr>
        <sz val="8"/>
        <color rgb="FFB3202C"/>
        <rFont val="Noto Sans CJK SC"/>
        <family val="2"/>
      </rPr>
      <t xml:space="preserve">首次公布 </t>
    </r>
    <r>
      <rPr>
        <sz val="8"/>
        <color rgb="FFB3202C"/>
        <rFont val="Arial"/>
        <family val="0"/>
        <charset val="1"/>
      </rPr>
      <t xml:space="preserve">NAND </t>
    </r>
    <r>
      <rPr>
        <sz val="8"/>
        <color rgb="FFB3202C"/>
        <rFont val="Noto Sans CJK SC"/>
        <family val="2"/>
      </rPr>
      <t xml:space="preserve">合约价环比持平或转负的季度；现货价连续两周低于合约价</t>
    </r>
  </si>
  <si>
    <r>
      <rPr>
        <b val="true"/>
        <sz val="9"/>
        <color rgb="FF16305B"/>
        <rFont val="Noto Sans CJK SC"/>
        <family val="2"/>
      </rPr>
      <t xml:space="preserve">终局毛利率 </t>
    </r>
    <r>
      <rPr>
        <b val="true"/>
        <sz val="9"/>
        <color rgb="FF16305B"/>
        <rFont val="Arial"/>
        <family val="0"/>
        <charset val="1"/>
      </rPr>
      <t xml:space="preserve">46%</t>
    </r>
  </si>
  <si>
    <t xml:space="preserve">FY32 = 46%</t>
  </si>
  <si>
    <r>
      <rPr>
        <sz val="8"/>
        <color rgb="FF404040"/>
        <rFont val="Arial"/>
        <family val="0"/>
        <charset val="1"/>
      </rPr>
      <t xml:space="preserve">FY26 Q1 </t>
    </r>
    <r>
      <rPr>
        <sz val="8"/>
        <color rgb="FF404040"/>
        <rFont val="Noto Sans CJK SC"/>
        <family val="2"/>
      </rPr>
      <t xml:space="preserve">实际仅 </t>
    </r>
    <r>
      <rPr>
        <sz val="8"/>
        <color rgb="FF404040"/>
        <rFont val="Arial"/>
        <family val="0"/>
        <charset val="1"/>
      </rPr>
      <t xml:space="preserve">29.8%</t>
    </r>
    <r>
      <rPr>
        <sz val="8"/>
        <color rgb="FF404040"/>
        <rFont val="Noto Sans CJK SC"/>
        <family val="2"/>
      </rPr>
      <t xml:space="preserve">；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全年 </t>
    </r>
    <r>
      <rPr>
        <sz val="8"/>
        <color rgb="FF404040"/>
        <rFont val="Arial"/>
        <family val="0"/>
        <charset val="1"/>
      </rPr>
      <t xml:space="preserve">30.1%</t>
    </r>
  </si>
  <si>
    <r>
      <rPr>
        <sz val="8"/>
        <color rgb="FF303030"/>
        <rFont val="Noto Sans CJK SC"/>
        <family val="2"/>
      </rPr>
      <t xml:space="preserve">分拆后 </t>
    </r>
    <r>
      <rPr>
        <sz val="8"/>
        <color rgb="FF303030"/>
        <rFont val="Arial"/>
        <family val="0"/>
        <charset val="1"/>
      </rPr>
      <t xml:space="preserve">SNDK </t>
    </r>
    <r>
      <rPr>
        <sz val="8"/>
        <color rgb="FF303030"/>
        <rFont val="Noto Sans CJK SC"/>
        <family val="2"/>
      </rPr>
      <t xml:space="preserve">在超级周期之前的正常毛利率就是 </t>
    </r>
    <r>
      <rPr>
        <sz val="8"/>
        <color rgb="FF303030"/>
        <rFont val="Arial"/>
        <family val="0"/>
        <charset val="1"/>
      </rPr>
      <t xml:space="preserve">30% </t>
    </r>
    <r>
      <rPr>
        <sz val="8"/>
        <color rgb="FF303030"/>
        <rFont val="Noto Sans CJK SC"/>
        <family val="2"/>
      </rPr>
      <t xml:space="preserve">出头。本情形假设周期结束后回到「比历史好、但远低于峰值」的 </t>
    </r>
    <r>
      <rPr>
        <sz val="8"/>
        <color rgb="FF303030"/>
        <rFont val="Arial"/>
        <family val="0"/>
        <charset val="1"/>
      </rPr>
      <t xml:space="preserve">40% </t>
    </r>
    <r>
      <rPr>
        <sz val="8"/>
        <color rgb="FF303030"/>
        <rFont val="Noto Sans CJK SC"/>
        <family val="2"/>
      </rPr>
      <t xml:space="preserve">中枢——理由是产品结构已永久性向数据中心倾斜（</t>
    </r>
    <r>
      <rPr>
        <sz val="8"/>
        <color rgb="FF303030"/>
        <rFont val="Arial"/>
        <family val="0"/>
        <charset val="1"/>
      </rPr>
      <t xml:space="preserve">FY26 </t>
    </r>
    <r>
      <rPr>
        <sz val="8"/>
        <color rgb="FF303030"/>
        <rFont val="Noto Sans CJK SC"/>
        <family val="2"/>
      </rPr>
      <t xml:space="preserve">数据中心占比 </t>
    </r>
    <r>
      <rPr>
        <sz val="8"/>
        <color rgb="FF303030"/>
        <rFont val="Arial"/>
        <family val="0"/>
        <charset val="1"/>
      </rPr>
      <t xml:space="preserve">25%</t>
    </r>
    <r>
      <rPr>
        <sz val="8"/>
        <color rgb="FF303030"/>
        <rFont val="Noto Sans CJK SC"/>
        <family val="2"/>
      </rPr>
      <t xml:space="preserve">，</t>
    </r>
    <r>
      <rPr>
        <sz val="8"/>
        <color rgb="FF303030"/>
        <rFont val="Arial"/>
        <family val="0"/>
        <charset val="1"/>
      </rPr>
      <t xml:space="preserve">FY25 </t>
    </r>
    <r>
      <rPr>
        <sz val="8"/>
        <color rgb="FF303030"/>
        <rFont val="Noto Sans CJK SC"/>
        <family val="2"/>
      </rPr>
      <t xml:space="preserve">仅 </t>
    </r>
    <r>
      <rPr>
        <sz val="8"/>
        <color rgb="FF303030"/>
        <rFont val="Arial"/>
        <family val="0"/>
        <charset val="1"/>
      </rPr>
      <t xml:space="preserve">13%</t>
    </r>
    <r>
      <rPr>
        <sz val="8"/>
        <color rgb="FF303030"/>
        <rFont val="Noto Sans CJK SC"/>
        <family val="2"/>
      </rPr>
      <t xml:space="preserve">）。</t>
    </r>
  </si>
  <si>
    <r>
      <rPr>
        <sz val="8"/>
        <color rgb="FFB3202C"/>
        <rFont val="Noto Sans CJK SC"/>
        <family val="2"/>
      </rPr>
      <t xml:space="preserve">连续两个季度毛利率环比下滑超过 </t>
    </r>
    <r>
      <rPr>
        <sz val="8"/>
        <color rgb="FFB3202C"/>
        <rFont val="Arial"/>
        <family val="0"/>
        <charset val="1"/>
      </rPr>
      <t xml:space="preserve">10pp</t>
    </r>
    <r>
      <rPr>
        <sz val="8"/>
        <color rgb="FFB3202C"/>
        <rFont val="Noto Sans CJK SC"/>
        <family val="2"/>
      </rPr>
      <t xml:space="preserve">；消费业务占比回升</t>
    </r>
  </si>
  <si>
    <t xml:space="preserve">WACC 14.0%</t>
  </si>
  <si>
    <r>
      <rPr>
        <b val="true"/>
        <sz val="9"/>
        <color rgb="FFC0392B"/>
        <rFont val="Noto Sans CJK SC"/>
        <family val="2"/>
      </rPr>
      <t xml:space="preserve">隐含 </t>
    </r>
    <r>
      <rPr>
        <b val="true"/>
        <sz val="9"/>
        <color rgb="FFC0392B"/>
        <rFont val="Arial"/>
        <family val="0"/>
        <charset val="1"/>
      </rPr>
      <t xml:space="preserve">β ≈ 1.96</t>
    </r>
  </si>
  <si>
    <r>
      <rPr>
        <sz val="8"/>
        <color rgb="FF404040"/>
        <rFont val="Noto Sans CJK SC"/>
        <family val="2"/>
      </rPr>
      <t xml:space="preserve">无风险利率 </t>
    </r>
    <r>
      <rPr>
        <sz val="8"/>
        <color rgb="FF404040"/>
        <rFont val="Arial"/>
        <family val="0"/>
        <charset val="1"/>
      </rPr>
      <t xml:space="preserve">4.2% + ERP 5.0%</t>
    </r>
  </si>
  <si>
    <r>
      <rPr>
        <sz val="8"/>
        <color rgb="FF303030"/>
        <rFont val="Noto Sans CJK SC"/>
        <family val="2"/>
      </rPr>
      <t xml:space="preserve">周期底部的存储股 </t>
    </r>
    <r>
      <rPr>
        <sz val="8"/>
        <color rgb="FF303030"/>
        <rFont val="Arial"/>
        <family val="0"/>
        <charset val="1"/>
      </rPr>
      <t xml:space="preserve">β </t>
    </r>
    <r>
      <rPr>
        <sz val="8"/>
        <color rgb="FF303030"/>
        <rFont val="Noto Sans CJK SC"/>
        <family val="2"/>
      </rPr>
      <t xml:space="preserve">通常在 </t>
    </r>
    <r>
      <rPr>
        <sz val="8"/>
        <color rgb="FF303030"/>
        <rFont val="Arial"/>
        <family val="0"/>
        <charset val="1"/>
      </rPr>
      <t xml:space="preserve">1.8–2.2</t>
    </r>
    <r>
      <rPr>
        <sz val="8"/>
        <color rgb="FF303030"/>
        <rFont val="Noto Sans CJK SC"/>
        <family val="2"/>
      </rPr>
      <t xml:space="preserve">。</t>
    </r>
    <r>
      <rPr>
        <sz val="8"/>
        <color rgb="FF303030"/>
        <rFont val="Arial"/>
        <family val="0"/>
        <charset val="1"/>
      </rPr>
      <t xml:space="preserve">SNDK </t>
    </r>
    <r>
      <rPr>
        <sz val="8"/>
        <color rgb="FF303030"/>
        <rFont val="Noto Sans CJK SC"/>
        <family val="2"/>
      </rPr>
      <t xml:space="preserve">上市不足两年、</t>
    </r>
    <r>
      <rPr>
        <sz val="8"/>
        <color rgb="FF303030"/>
        <rFont val="Arial"/>
        <family val="0"/>
        <charset val="1"/>
      </rPr>
      <t xml:space="preserve">52 </t>
    </r>
    <r>
      <rPr>
        <sz val="8"/>
        <color rgb="FF303030"/>
        <rFont val="Noto Sans CJK SC"/>
        <family val="2"/>
      </rPr>
      <t xml:space="preserve">周振幅 </t>
    </r>
    <r>
      <rPr>
        <sz val="8"/>
        <color rgb="FF303030"/>
        <rFont val="Arial"/>
        <family val="0"/>
        <charset val="1"/>
      </rPr>
      <t xml:space="preserve">$46.75–$2,354</t>
    </r>
    <r>
      <rPr>
        <sz val="8"/>
        <color rgb="FF303030"/>
        <rFont val="Noto Sans CJK SC"/>
        <family val="2"/>
      </rPr>
      <t xml:space="preserve">，用高 </t>
    </r>
    <r>
      <rPr>
        <sz val="8"/>
        <color rgb="FF303030"/>
        <rFont val="Arial"/>
        <family val="0"/>
        <charset val="1"/>
      </rPr>
      <t xml:space="preserve">β </t>
    </r>
    <r>
      <rPr>
        <sz val="8"/>
        <color rgb="FF303030"/>
        <rFont val="Noto Sans CJK SC"/>
        <family val="2"/>
      </rPr>
      <t xml:space="preserve">是保守做法。</t>
    </r>
  </si>
  <si>
    <t xml:space="preserve">公司开始发债、资本结构变化；或波动率显著收敛</t>
  </si>
  <si>
    <r>
      <rPr>
        <b val="true"/>
        <sz val="9"/>
        <color rgb="FF16305B"/>
        <rFont val="Noto Sans CJK SC"/>
        <family val="2"/>
      </rPr>
      <t xml:space="preserve">资本强度 </t>
    </r>
    <r>
      <rPr>
        <b val="true"/>
        <sz val="9"/>
        <color rgb="FF16305B"/>
        <rFont val="Arial"/>
        <family val="0"/>
        <charset val="1"/>
      </rPr>
      <t xml:space="preserve">5.5%</t>
    </r>
  </si>
  <si>
    <r>
      <rPr>
        <b val="true"/>
        <sz val="9"/>
        <color rgb="FFC0392B"/>
        <rFont val="Noto Sans CJK SC"/>
        <family val="2"/>
      </rPr>
      <t xml:space="preserve">自有 </t>
    </r>
    <r>
      <rPr>
        <b val="true"/>
        <sz val="9"/>
        <color rgb="FFC0392B"/>
        <rFont val="Arial"/>
        <family val="0"/>
        <charset val="1"/>
      </rPr>
      <t xml:space="preserve">1.8% + FV 3.7%</t>
    </r>
  </si>
  <si>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实际合计 </t>
    </r>
    <r>
      <rPr>
        <sz val="8"/>
        <color rgb="FF404040"/>
        <rFont val="Arial"/>
        <family val="0"/>
        <charset val="1"/>
      </rPr>
      <t xml:space="preserve">2.23%</t>
    </r>
  </si>
  <si>
    <r>
      <rPr>
        <sz val="8"/>
        <color rgb="FF303030"/>
        <rFont val="Noto Sans CJK SC"/>
        <family val="2"/>
      </rPr>
      <t xml:space="preserve">下行周期里收入分母缩小，而 </t>
    </r>
    <r>
      <rPr>
        <sz val="8"/>
        <color rgb="FF303030"/>
        <rFont val="Arial"/>
        <family val="0"/>
        <charset val="1"/>
      </rPr>
      <t xml:space="preserve">Flash Ventures </t>
    </r>
    <r>
      <rPr>
        <sz val="8"/>
        <color rgb="FF303030"/>
        <rFont val="Noto Sans CJK SC"/>
        <family val="2"/>
      </rPr>
      <t xml:space="preserve">的投入具有刚性（</t>
    </r>
    <r>
      <rPr>
        <sz val="8"/>
        <color rgb="FF303030"/>
        <rFont val="Arial"/>
        <family val="0"/>
        <charset val="1"/>
      </rPr>
      <t xml:space="preserve">K2 </t>
    </r>
    <r>
      <rPr>
        <sz val="8"/>
        <color rgb="FF303030"/>
        <rFont val="Noto Sans CJK SC"/>
        <family val="2"/>
      </rPr>
      <t xml:space="preserve">新厂已在爬坡、合资协议延长至 </t>
    </r>
    <r>
      <rPr>
        <sz val="8"/>
        <color rgb="FF303030"/>
        <rFont val="Arial"/>
        <family val="0"/>
        <charset val="1"/>
      </rPr>
      <t xml:space="preserve">2034 </t>
    </r>
    <r>
      <rPr>
        <sz val="8"/>
        <color rgb="FF303030"/>
        <rFont val="Noto Sans CJK SC"/>
        <family val="2"/>
      </rPr>
      <t xml:space="preserve">年），所以资本强度占比会被动抬高。</t>
    </r>
  </si>
  <si>
    <r>
      <rPr>
        <sz val="8"/>
        <color rgb="FFB3202C"/>
        <rFont val="Noto Sans CJK SC"/>
        <family val="2"/>
      </rPr>
      <t xml:space="preserve">公司披露削减 </t>
    </r>
    <r>
      <rPr>
        <sz val="8"/>
        <color rgb="FFB3202C"/>
        <rFont val="Arial"/>
        <family val="0"/>
        <charset val="1"/>
      </rPr>
      <t xml:space="preserve">Flash Ventures </t>
    </r>
    <r>
      <rPr>
        <sz val="8"/>
        <color rgb="FFB3202C"/>
        <rFont val="Noto Sans CJK SC"/>
        <family val="2"/>
      </rPr>
      <t xml:space="preserve">出资或推迟 </t>
    </r>
    <r>
      <rPr>
        <sz val="8"/>
        <color rgb="FFB3202C"/>
        <rFont val="Arial"/>
        <family val="0"/>
        <charset val="1"/>
      </rPr>
      <t xml:space="preserve">BiCS10 </t>
    </r>
    <r>
      <rPr>
        <sz val="8"/>
        <color rgb="FFB3202C"/>
        <rFont val="Noto Sans CJK SC"/>
        <family val="2"/>
      </rPr>
      <t xml:space="preserve">扩产</t>
    </r>
  </si>
  <si>
    <r>
      <rPr>
        <b val="true"/>
        <sz val="9"/>
        <color rgb="FF16305B"/>
        <rFont val="Noto Sans CJK SC"/>
        <family val="2"/>
      </rPr>
      <t xml:space="preserve">营运资本比 </t>
    </r>
    <r>
      <rPr>
        <b val="true"/>
        <sz val="9"/>
        <color rgb="FF16305B"/>
        <rFont val="Arial"/>
        <family val="0"/>
        <charset val="1"/>
      </rPr>
      <t xml:space="preserve">20%</t>
    </r>
  </si>
  <si>
    <r>
      <rPr>
        <b val="true"/>
        <sz val="9"/>
        <color rgb="FFC0392B"/>
        <rFont val="Noto Sans CJK SC"/>
        <family val="2"/>
      </rPr>
      <t xml:space="preserve">占年化收入 </t>
    </r>
    <r>
      <rPr>
        <b val="true"/>
        <sz val="9"/>
        <color rgb="FFC0392B"/>
        <rFont val="Arial"/>
        <family val="0"/>
        <charset val="1"/>
      </rPr>
      <t xml:space="preserve">20%</t>
    </r>
  </si>
  <si>
    <r>
      <rPr>
        <sz val="8"/>
        <color rgb="FF404040"/>
        <rFont val="Arial"/>
        <family val="0"/>
        <charset val="1"/>
      </rPr>
      <t xml:space="preserve">FY26 Q2/Q3/Q4 </t>
    </r>
    <r>
      <rPr>
        <sz val="8"/>
        <color rgb="FF404040"/>
        <rFont val="Noto Sans CJK SC"/>
        <family val="2"/>
      </rPr>
      <t xml:space="preserve">实际 </t>
    </r>
    <r>
      <rPr>
        <sz val="8"/>
        <color rgb="FF404040"/>
        <rFont val="Arial"/>
        <family val="0"/>
        <charset val="1"/>
      </rPr>
      <t xml:space="preserve">19.3% / 17.3% / 17.9%</t>
    </r>
  </si>
  <si>
    <r>
      <rPr>
        <sz val="8"/>
        <color rgb="FF303030"/>
        <rFont val="Noto Sans CJK SC"/>
        <family val="2"/>
      </rPr>
      <t xml:space="preserve">下行周期里应收回收变慢、渠道存货积压，营运资本占比通常上升 </t>
    </r>
    <r>
      <rPr>
        <sz val="8"/>
        <color rgb="FF303030"/>
        <rFont val="Arial"/>
        <family val="0"/>
        <charset val="1"/>
      </rPr>
      <t xml:space="preserve">2–3pp</t>
    </r>
    <r>
      <rPr>
        <sz val="8"/>
        <color rgb="FF303030"/>
        <rFont val="Noto Sans CJK SC"/>
        <family val="2"/>
      </rPr>
      <t xml:space="preserve">。</t>
    </r>
    <r>
      <rPr>
        <sz val="8"/>
        <color rgb="FF303030"/>
        <rFont val="Arial"/>
        <family val="0"/>
        <charset val="1"/>
      </rPr>
      <t xml:space="preserve">FY25 Q4 </t>
    </r>
    <r>
      <rPr>
        <sz val="8"/>
        <color rgb="FF303030"/>
        <rFont val="Noto Sans CJK SC"/>
        <family val="2"/>
      </rPr>
      <t xml:space="preserve">的读数是 </t>
    </r>
    <r>
      <rPr>
        <sz val="8"/>
        <color rgb="FF303030"/>
        <rFont val="Arial"/>
        <family val="0"/>
        <charset val="1"/>
      </rPr>
      <t xml:space="preserve">31.3%</t>
    </r>
    <r>
      <rPr>
        <sz val="8"/>
        <color rgb="FF303030"/>
        <rFont val="Noto Sans CJK SC"/>
        <family val="2"/>
      </rPr>
      <t xml:space="preserve">。</t>
    </r>
  </si>
  <si>
    <r>
      <rPr>
        <sz val="8"/>
        <color rgb="FFB3202C"/>
        <rFont val="Noto Sans CJK SC"/>
        <family val="2"/>
      </rPr>
      <t xml:space="preserve">应收账款周转天数连续两季超过 </t>
    </r>
    <r>
      <rPr>
        <sz val="8"/>
        <color rgb="FFB3202C"/>
        <rFont val="Arial"/>
        <family val="0"/>
        <charset val="1"/>
      </rPr>
      <t xml:space="preserve">60 </t>
    </r>
    <r>
      <rPr>
        <sz val="8"/>
        <color rgb="FFB3202C"/>
        <rFont val="Noto Sans CJK SC"/>
        <family val="2"/>
      </rPr>
      <t xml:space="preserve">天</t>
    </r>
  </si>
  <si>
    <r>
      <rPr>
        <sz val="9"/>
        <color rgb="FF3D3D3D"/>
        <rFont val="Noto Sans CJK SC"/>
        <family val="2"/>
      </rPr>
      <t xml:space="preserve">关于股票回购：公司剩余回购授权 </t>
    </r>
    <r>
      <rPr>
        <sz val="9"/>
        <color rgb="FF3D3D3D"/>
        <rFont val="Arial"/>
        <family val="0"/>
        <charset val="1"/>
      </rPr>
      <t xml:space="preserve">$15.5B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FY26 Q4 </t>
    </r>
    <r>
      <rPr>
        <sz val="9"/>
        <color rgb="FF3D3D3D"/>
        <rFont val="Noto Sans CJK SC"/>
        <family val="2"/>
      </rPr>
      <t xml:space="preserve">已回购 </t>
    </r>
    <r>
      <rPr>
        <sz val="9"/>
        <color rgb="FF3D3D3D"/>
        <rFont val="Arial"/>
        <family val="0"/>
        <charset val="1"/>
      </rPr>
      <t xml:space="preserve">$4,524M</t>
    </r>
    <r>
      <rPr>
        <sz val="9"/>
        <color rgb="FF3D3D3D"/>
        <rFont val="Noto Sans CJK SC"/>
        <family val="2"/>
      </rPr>
      <t xml:space="preserve">，并承诺「投资业务后 </t>
    </r>
    <r>
      <rPr>
        <sz val="9"/>
        <color rgb="FF3D3D3D"/>
        <rFont val="Arial"/>
        <family val="0"/>
        <charset val="1"/>
      </rPr>
      <t xml:space="preserve">100% </t>
    </r>
    <r>
      <rPr>
        <sz val="9"/>
        <color rgb="FF3D3D3D"/>
        <rFont val="Noto Sans CJK SC"/>
        <family val="2"/>
      </rPr>
      <t xml:space="preserve">的剩余现金回馈股东」。本模型刻意不把回购建进每股价值——因为按公允价值回购既不创造也不毁灭每股内在价值，只有当回购价格低于内在价值时才增厚。把回购当作估值加分项，是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里常见的重复计算。回购的真实意义在于：它降低了「现金被低效再投资」的风险，这一点已经体现在较低的 </t>
    </r>
    <r>
      <rPr>
        <sz val="9"/>
        <color rgb="FF3D3D3D"/>
        <rFont val="Arial"/>
        <family val="0"/>
        <charset val="1"/>
      </rPr>
      <t xml:space="preserve">WACC </t>
    </r>
    <r>
      <rPr>
        <sz val="9"/>
        <color rgb="FF3D3D3D"/>
        <rFont val="Noto Sans CJK SC"/>
        <family val="2"/>
      </rPr>
      <t xml:space="preserve">里。</t>
    </r>
  </si>
  <si>
    <r>
      <rPr>
        <sz val="9"/>
        <color rgb="FF3D3D3D"/>
        <rFont val="Noto Sans CJK SC"/>
        <family val="2"/>
      </rPr>
      <t xml:space="preserve">敏感性表的近似说明：为了让每一格都能独立重算，表内对「预测期现值合计」做了一次折现率换算（把按控制台 </t>
    </r>
    <r>
      <rPr>
        <sz val="9"/>
        <color rgb="FF3D3D3D"/>
        <rFont val="Arial"/>
        <family val="0"/>
        <charset val="1"/>
      </rPr>
      <t xml:space="preserve">WACC </t>
    </r>
    <r>
      <rPr>
        <sz val="9"/>
        <color rgb="FF3D3D3D"/>
        <rFont val="Noto Sans CJK SC"/>
        <family val="2"/>
      </rPr>
      <t xml:space="preserve">折现的结果按新 </t>
    </r>
    <r>
      <rPr>
        <sz val="9"/>
        <color rgb="FF3D3D3D"/>
        <rFont val="Arial"/>
        <family val="0"/>
        <charset val="1"/>
      </rPr>
      <t xml:space="preserve">WACC </t>
    </r>
    <r>
      <rPr>
        <sz val="9"/>
        <color rgb="FF3D3D3D"/>
        <rFont val="Noto Sans CJK SC"/>
        <family val="2"/>
      </rPr>
      <t xml:space="preserve">重新折现，等价于对整段现金流用久期约 </t>
    </r>
    <r>
      <rPr>
        <sz val="9"/>
        <color rgb="FF3D3D3D"/>
        <rFont val="Arial"/>
        <family val="0"/>
        <charset val="1"/>
      </rPr>
      <t xml:space="preserve">3.5 </t>
    </r>
    <r>
      <rPr>
        <sz val="9"/>
        <color rgb="FF3D3D3D"/>
        <rFont val="Noto Sans CJK SC"/>
        <family val="2"/>
      </rPr>
      <t xml:space="preserve">年做近似），终值部分则是完整重算的。中心格（加粗）与上方第 ⑪ 行的精确结果会有 </t>
    </r>
    <r>
      <rPr>
        <sz val="9"/>
        <color rgb="FF3D3D3D"/>
        <rFont val="Arial"/>
        <family val="0"/>
        <charset val="1"/>
      </rPr>
      <t xml:space="preserve">1%–3% </t>
    </r>
    <r>
      <rPr>
        <sz val="9"/>
        <color rgb="FF3D3D3D"/>
        <rFont val="Noto Sans CJK SC"/>
        <family val="2"/>
      </rPr>
      <t xml:space="preserve">的差异，属于近似造成的，不影响结论方向。</t>
    </r>
  </si>
  <si>
    <r>
      <rPr>
        <b val="true"/>
        <sz val="11"/>
        <color rgb="FFFFFFFF"/>
        <rFont val="Arial"/>
        <family val="0"/>
        <charset val="1"/>
      </rPr>
      <t xml:space="preserve">09  </t>
    </r>
    <r>
      <rPr>
        <b val="true"/>
        <sz val="11"/>
        <color rgb="FFFFFFFF"/>
        <rFont val="Noto Sans CJK SC"/>
        <family val="2"/>
      </rPr>
      <t xml:space="preserve">参数控制台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拖动滑标，上方全表与下方全部图表实时重算（悲观情形）</t>
    </r>
  </si>
  <si>
    <r>
      <rPr>
        <sz val="9"/>
        <color rgb="FF3D3D3D"/>
        <rFont val="Noto Sans CJK SC"/>
        <family val="2"/>
      </rPr>
      <t xml:space="preserve">怎么用：按住中间那条灰色滚动条左右拖动，或点两端箭头微调（每次一格）。左边黄色格是换算后的当前值，右边蓝色格是滑标的原始整数——也可以直接在蓝色格里键入数字。若你的 </t>
    </r>
    <r>
      <rPr>
        <sz val="9"/>
        <color rgb="FF3D3D3D"/>
        <rFont val="Arial"/>
        <family val="0"/>
        <charset val="1"/>
      </rPr>
      <t xml:space="preserve">Excel </t>
    </r>
    <r>
      <rPr>
        <sz val="9"/>
        <color rgb="FF3D3D3D"/>
        <rFont val="Noto Sans CJK SC"/>
        <family val="2"/>
      </rPr>
      <t xml:space="preserve">不显示滑标（网页版或部分移动端），直接改蓝色格即可，效果完全一样。三张情形表的滑标区间已按各自的论点分别设定。</t>
    </r>
  </si>
  <si>
    <r>
      <rPr>
        <b val="true"/>
        <sz val="9"/>
        <color rgb="FF16305B"/>
        <rFont val="Arial"/>
        <family val="0"/>
        <charset val="1"/>
      </rPr>
      <t xml:space="preserve">FY27 Q1 </t>
    </r>
    <r>
      <rPr>
        <b val="true"/>
        <sz val="9"/>
        <color rgb="FF16305B"/>
        <rFont val="Noto Sans CJK SC"/>
        <family val="2"/>
      </rPr>
      <t xml:space="preserve">收入（</t>
    </r>
    <r>
      <rPr>
        <b val="true"/>
        <sz val="9"/>
        <color rgb="FF16305B"/>
        <rFont val="Arial"/>
        <family val="0"/>
        <charset val="1"/>
      </rPr>
      <t xml:space="preserve">$M</t>
    </r>
    <r>
      <rPr>
        <b val="true"/>
        <sz val="9"/>
        <color rgb="FF16305B"/>
        <rFont val="Noto Sans CJK SC"/>
        <family val="2"/>
      </rPr>
      <t xml:space="preserve">）</t>
    </r>
  </si>
  <si>
    <t xml:space="preserve">$7,000 – $16,000</t>
  </si>
  <si>
    <r>
      <rPr>
        <sz val="8"/>
        <color rgb="FF4A4A4A"/>
        <rFont val="Noto Sans CJK SC"/>
        <family val="2"/>
      </rPr>
      <t xml:space="preserve">公司 </t>
    </r>
    <r>
      <rPr>
        <sz val="8"/>
        <color rgb="FF4A4A4A"/>
        <rFont val="Arial"/>
        <family val="0"/>
        <charset val="1"/>
      </rPr>
      <t xml:space="preserve">FY27 Q1 </t>
    </r>
    <r>
      <rPr>
        <sz val="8"/>
        <color rgb="FF4A4A4A"/>
        <rFont val="Noto Sans CJK SC"/>
        <family val="2"/>
      </rPr>
      <t xml:space="preserve">官方指引 </t>
    </r>
    <r>
      <rPr>
        <sz val="8"/>
        <color rgb="FF4A4A4A"/>
        <rFont val="Arial"/>
        <family val="0"/>
        <charset val="1"/>
      </rPr>
      <t xml:space="preserve">$10,300–10,800M</t>
    </r>
    <r>
      <rPr>
        <sz val="8"/>
        <color rgb="FF4A4A4A"/>
        <rFont val="Noto Sans CJK SC"/>
        <family val="2"/>
      </rPr>
      <t xml:space="preserve">（</t>
    </r>
    <r>
      <rPr>
        <sz val="8"/>
        <color rgb="FF4A4A4A"/>
        <rFont val="Arial"/>
        <family val="0"/>
        <charset val="1"/>
      </rPr>
      <t xml:space="preserve">2026-08-05</t>
    </r>
    <r>
      <rPr>
        <sz val="8"/>
        <color rgb="FF4A4A4A"/>
        <rFont val="Noto Sans CJK SC"/>
        <family val="2"/>
      </rPr>
      <t xml:space="preserve">）；卖方一致预期为 </t>
    </r>
    <r>
      <rPr>
        <sz val="8"/>
        <color rgb="FF4A4A4A"/>
        <rFont val="Arial"/>
        <family val="0"/>
        <charset val="1"/>
      </rPr>
      <t xml:space="preserve">$11,160M</t>
    </r>
    <r>
      <rPr>
        <sz val="8"/>
        <color rgb="FF4A4A4A"/>
        <rFont val="Noto Sans CJK SC"/>
        <family val="2"/>
      </rPr>
      <t xml:space="preserve">，指引低于预期，当日股价跌 </t>
    </r>
    <r>
      <rPr>
        <sz val="8"/>
        <color rgb="FF4A4A4A"/>
        <rFont val="Arial"/>
        <family val="0"/>
        <charset val="1"/>
      </rPr>
      <t xml:space="preserve">5%</t>
    </r>
    <r>
      <rPr>
        <sz val="8"/>
        <color rgb="FF4A4A4A"/>
        <rFont val="Noto Sans CJK SC"/>
        <family val="2"/>
      </rPr>
      <t xml:space="preserve">。每格 </t>
    </r>
    <r>
      <rPr>
        <sz val="8"/>
        <color rgb="FF4A4A4A"/>
        <rFont val="Arial"/>
        <family val="0"/>
        <charset val="1"/>
      </rPr>
      <t xml:space="preserve">$50M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</si>
  <si>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季度环比增速 </t>
    </r>
    <r>
      <rPr>
        <b val="true"/>
        <sz val="9"/>
        <color rgb="FF16305B"/>
        <rFont val="Arial"/>
        <family val="0"/>
        <charset val="1"/>
      </rPr>
      <t xml:space="preserve">· </t>
    </r>
    <r>
      <rPr>
        <b val="true"/>
        <sz val="9"/>
        <color rgb="FF16305B"/>
        <rFont val="Noto Sans CJK SC"/>
        <family val="2"/>
      </rPr>
      <t xml:space="preserve">平移</t>
    </r>
  </si>
  <si>
    <t xml:space="preserve">−10.0 ~ +10.0pp</t>
  </si>
  <si>
    <r>
      <rPr>
        <sz val="8"/>
        <color rgb="FF4A4A4A"/>
        <rFont val="Noto Sans CJK SC"/>
        <family val="2"/>
      </rPr>
      <t xml:space="preserve">同时作用于 </t>
    </r>
    <r>
      <rPr>
        <sz val="8"/>
        <color rgb="FF4A4A4A"/>
        <rFont val="Arial"/>
        <family val="0"/>
        <charset val="1"/>
      </rPr>
      <t xml:space="preserve">Q2/Q3/Q4 </t>
    </r>
    <r>
      <rPr>
        <sz val="8"/>
        <color rgb="FF4A4A4A"/>
        <rFont val="Noto Sans CJK SC"/>
        <family val="2"/>
      </rPr>
      <t xml:space="preserve">三个季度的环比增速。往负拉 </t>
    </r>
    <r>
      <rPr>
        <sz val="8"/>
        <color rgb="FF4A4A4A"/>
        <rFont val="Arial"/>
        <family val="0"/>
        <charset val="1"/>
      </rPr>
      <t xml:space="preserve">= </t>
    </r>
    <r>
      <rPr>
        <sz val="8"/>
        <color rgb="FF4A4A4A"/>
        <rFont val="Noto Sans CJK SC"/>
        <family val="2"/>
      </rPr>
      <t xml:space="preserve">周期更早见顶。基准情形隐含 </t>
    </r>
    <r>
      <rPr>
        <sz val="8"/>
        <color rgb="FF4A4A4A"/>
        <rFont val="Arial"/>
        <family val="0"/>
        <charset val="1"/>
      </rPr>
      <t xml:space="preserve">Q2 </t>
    </r>
    <r>
      <rPr>
        <sz val="8"/>
        <color rgb="FF4A4A4A"/>
        <rFont val="Noto Sans CJK SC"/>
        <family val="2"/>
      </rPr>
      <t xml:space="preserve">见顶、</t>
    </r>
    <r>
      <rPr>
        <sz val="8"/>
        <color rgb="FF4A4A4A"/>
        <rFont val="Arial"/>
        <family val="0"/>
        <charset val="1"/>
      </rPr>
      <t xml:space="preserve">Q3 </t>
    </r>
    <r>
      <rPr>
        <sz val="8"/>
        <color rgb="FF4A4A4A"/>
        <rFont val="Noto Sans CJK SC"/>
        <family val="2"/>
      </rPr>
      <t xml:space="preserve">起环比转负。</t>
    </r>
  </si>
  <si>
    <r>
      <rPr>
        <b val="true"/>
        <sz val="9"/>
        <color rgb="FF16305B"/>
        <rFont val="Noto Sans CJK SC"/>
        <family val="2"/>
      </rPr>
      <t xml:space="preserve">毛利率路径 </t>
    </r>
    <r>
      <rPr>
        <b val="true"/>
        <sz val="9"/>
        <color rgb="FF16305B"/>
        <rFont val="Arial"/>
        <family val="0"/>
        <charset val="1"/>
      </rPr>
      <t xml:space="preserve">· </t>
    </r>
    <r>
      <rPr>
        <b val="true"/>
        <sz val="9"/>
        <color rgb="FF16305B"/>
        <rFont val="Noto Sans CJK SC"/>
        <family val="2"/>
      </rPr>
      <t xml:space="preserve">平移</t>
    </r>
  </si>
  <si>
    <t xml:space="preserve">−15.0 ~ +15.0pp</t>
  </si>
  <si>
    <r>
      <rPr>
        <sz val="8"/>
        <color rgb="FF4A4A4A"/>
        <rFont val="Noto Sans CJK SC"/>
        <family val="2"/>
      </rPr>
      <t xml:space="preserve">★ 全模型第一大敏感变量。同时作用于四个季度与 </t>
    </r>
    <r>
      <rPr>
        <sz val="8"/>
        <color rgb="FF4A4A4A"/>
        <rFont val="Arial"/>
        <family val="0"/>
        <charset val="1"/>
      </rPr>
      <t xml:space="preserve">FY28–FY32</t>
    </r>
    <r>
      <rPr>
        <sz val="8"/>
        <color rgb="FF4A4A4A"/>
        <rFont val="Noto Sans CJK SC"/>
        <family val="2"/>
      </rPr>
      <t xml:space="preserve">。对 </t>
    </r>
    <r>
      <rPr>
        <sz val="8"/>
        <color rgb="FF4A4A4A"/>
        <rFont val="Arial"/>
        <family val="0"/>
        <charset val="1"/>
      </rPr>
      <t xml:space="preserve">SNDK </t>
    </r>
    <r>
      <rPr>
        <sz val="8"/>
        <color rgb="FF4A4A4A"/>
        <rFont val="Noto Sans CJK SC"/>
        <family val="2"/>
      </rPr>
      <t xml:space="preserve">而言毛利率 ≈ </t>
    </r>
    <r>
      <rPr>
        <sz val="8"/>
        <color rgb="FF4A4A4A"/>
        <rFont val="Arial"/>
        <family val="0"/>
        <charset val="1"/>
      </rPr>
      <t xml:space="preserve">NAND </t>
    </r>
    <r>
      <rPr>
        <sz val="8"/>
        <color rgb="FF4A4A4A"/>
        <rFont val="Noto Sans CJK SC"/>
        <family val="2"/>
      </rPr>
      <t xml:space="preserve">合约价，公司 </t>
    </r>
    <r>
      <rPr>
        <sz val="8"/>
        <color rgb="FF4A4A4A"/>
        <rFont val="Arial"/>
        <family val="0"/>
        <charset val="1"/>
      </rPr>
      <t xml:space="preserve">FY27 Q1 </t>
    </r>
    <r>
      <rPr>
        <sz val="8"/>
        <color rgb="FF4A4A4A"/>
        <rFont val="Noto Sans CJK SC"/>
        <family val="2"/>
      </rPr>
      <t xml:space="preserve">指引 </t>
    </r>
    <r>
      <rPr>
        <sz val="8"/>
        <color rgb="FF4A4A4A"/>
        <rFont val="Arial"/>
        <family val="0"/>
        <charset val="1"/>
      </rPr>
      <t xml:space="preserve">83%–85%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</si>
  <si>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16305B"/>
        <rFont val="Noto Sans CJK SC"/>
        <family val="2"/>
      </rPr>
      <t xml:space="preserve">终局毛利率（</t>
    </r>
    <r>
      <rPr>
        <b val="true"/>
        <sz val="9"/>
        <color rgb="FF16305B"/>
        <rFont val="Arial"/>
        <family val="0"/>
        <charset val="1"/>
      </rPr>
      <t xml:space="preserve">FY32</t>
    </r>
    <r>
      <rPr>
        <b val="true"/>
        <sz val="9"/>
        <color rgb="FF16305B"/>
        <rFont val="Noto Sans CJK SC"/>
        <family val="2"/>
      </rPr>
      <t xml:space="preserve">）</t>
    </r>
  </si>
  <si>
    <t xml:space="preserve">20.0% – 85.0%</t>
  </si>
  <si>
    <r>
      <rPr>
        <sz val="8"/>
        <color rgb="FF4A4A4A"/>
        <rFont val="Noto Sans CJK SC"/>
        <family val="2"/>
      </rPr>
      <t xml:space="preserve">永续期的盈利中枢。分拆前 </t>
    </r>
    <r>
      <rPr>
        <sz val="8"/>
        <color rgb="FF4A4A4A"/>
        <rFont val="Arial"/>
        <family val="0"/>
        <charset val="1"/>
      </rPr>
      <t xml:space="preserve">SNDK </t>
    </r>
    <r>
      <rPr>
        <sz val="8"/>
        <color rgb="FF4A4A4A"/>
        <rFont val="Noto Sans CJK SC"/>
        <family val="2"/>
      </rPr>
      <t xml:space="preserve">正常年份毛利率约 </t>
    </r>
    <r>
      <rPr>
        <sz val="8"/>
        <color rgb="FF4A4A4A"/>
        <rFont val="Arial"/>
        <family val="0"/>
        <charset val="1"/>
      </rPr>
      <t xml:space="preserve">30%</t>
    </r>
    <r>
      <rPr>
        <sz val="8"/>
        <color rgb="FF4A4A4A"/>
        <rFont val="Noto Sans CJK SC"/>
        <family val="2"/>
      </rPr>
      <t xml:space="preserve">，</t>
    </r>
    <r>
      <rPr>
        <sz val="8"/>
        <color rgb="FF4A4A4A"/>
        <rFont val="Arial"/>
        <family val="0"/>
        <charset val="1"/>
      </rPr>
      <t xml:space="preserve">FY26 Q1 </t>
    </r>
    <r>
      <rPr>
        <sz val="8"/>
        <color rgb="FF4A4A4A"/>
        <rFont val="Noto Sans CJK SC"/>
        <family val="2"/>
      </rPr>
      <t xml:space="preserve">仍只有 </t>
    </r>
    <r>
      <rPr>
        <sz val="8"/>
        <color rgb="FF4A4A4A"/>
        <rFont val="Arial"/>
        <family val="0"/>
        <charset val="1"/>
      </rPr>
      <t xml:space="preserve">29.8%</t>
    </r>
    <r>
      <rPr>
        <sz val="8"/>
        <color rgb="FF4A4A4A"/>
        <rFont val="Noto Sans CJK SC"/>
        <family val="2"/>
      </rPr>
      <t xml:space="preserve">，</t>
    </r>
    <r>
      <rPr>
        <sz val="8"/>
        <color rgb="FF4A4A4A"/>
        <rFont val="Arial"/>
        <family val="0"/>
        <charset val="1"/>
      </rPr>
      <t xml:space="preserve">FY26 Q4 </t>
    </r>
    <r>
      <rPr>
        <sz val="8"/>
        <color rgb="FF4A4A4A"/>
        <rFont val="Noto Sans CJK SC"/>
        <family val="2"/>
      </rPr>
      <t xml:space="preserve">峰值 </t>
    </r>
    <r>
      <rPr>
        <sz val="8"/>
        <color rgb="FF4A4A4A"/>
        <rFont val="Arial"/>
        <family val="0"/>
        <charset val="1"/>
      </rPr>
      <t xml:space="preserve">84.6%</t>
    </r>
    <r>
      <rPr>
        <sz val="8"/>
        <color rgb="FF4A4A4A"/>
        <rFont val="Noto Sans CJK SC"/>
        <family val="2"/>
      </rPr>
      <t xml:space="preserve">，管理层长期目标约 </t>
    </r>
    <r>
      <rPr>
        <sz val="8"/>
        <color rgb="FF4A4A4A"/>
        <rFont val="Arial"/>
        <family val="0"/>
        <charset val="1"/>
      </rPr>
      <t xml:space="preserve">80%——</t>
    </r>
    <r>
      <rPr>
        <sz val="8"/>
        <color rgb="FF4A4A4A"/>
        <rFont val="Noto Sans CJK SC"/>
        <family val="2"/>
      </rPr>
      <t xml:space="preserve">你信哪一个，结论就完全不同。</t>
    </r>
  </si>
  <si>
    <r>
      <rPr>
        <b val="true"/>
        <sz val="9"/>
        <color rgb="FF16305B"/>
        <rFont val="Arial"/>
        <family val="0"/>
        <charset val="1"/>
      </rPr>
      <t xml:space="preserve">FY29–FY32 </t>
    </r>
    <r>
      <rPr>
        <b val="true"/>
        <sz val="9"/>
        <color rgb="FF16305B"/>
        <rFont val="Noto Sans CJK SC"/>
        <family val="2"/>
      </rPr>
      <t xml:space="preserve">收入增速 </t>
    </r>
    <r>
      <rPr>
        <b val="true"/>
        <sz val="9"/>
        <color rgb="FF16305B"/>
        <rFont val="Arial"/>
        <family val="0"/>
        <charset val="1"/>
      </rPr>
      <t xml:space="preserve">· </t>
    </r>
    <r>
      <rPr>
        <b val="true"/>
        <sz val="9"/>
        <color rgb="FF16305B"/>
        <rFont val="Noto Sans CJK SC"/>
        <family val="2"/>
      </rPr>
      <t xml:space="preserve">平移</t>
    </r>
  </si>
  <si>
    <t xml:space="preserve">−10.0 ~ +15.0pp</t>
  </si>
  <si>
    <r>
      <rPr>
        <sz val="8"/>
        <color rgb="FF4A4A4A"/>
        <rFont val="Noto Sans CJK SC"/>
        <family val="2"/>
      </rPr>
      <t xml:space="preserve">长期 </t>
    </r>
    <r>
      <rPr>
        <sz val="8"/>
        <color rgb="FF4A4A4A"/>
        <rFont val="Arial"/>
        <family val="0"/>
        <charset val="1"/>
      </rPr>
      <t xml:space="preserve">bit </t>
    </r>
    <r>
      <rPr>
        <sz val="8"/>
        <color rgb="FF4A4A4A"/>
        <rFont val="Noto Sans CJK SC"/>
        <family val="2"/>
      </rPr>
      <t xml:space="preserve">增长假设。管理层 </t>
    </r>
    <r>
      <rPr>
        <sz val="8"/>
        <color rgb="FF4A4A4A"/>
        <rFont val="Arial"/>
        <family val="0"/>
        <charset val="1"/>
      </rPr>
      <t xml:space="preserve">2026 </t>
    </r>
    <r>
      <rPr>
        <sz val="8"/>
        <color rgb="FF4A4A4A"/>
        <rFont val="Noto Sans CJK SC"/>
        <family val="2"/>
      </rPr>
      <t xml:space="preserve">投资者日口径为「中高双位数，与 </t>
    </r>
    <r>
      <rPr>
        <sz val="8"/>
        <color rgb="FF4A4A4A"/>
        <rFont val="Arial"/>
        <family val="0"/>
        <charset val="1"/>
      </rPr>
      <t xml:space="preserve">bit </t>
    </r>
    <r>
      <rPr>
        <sz val="8"/>
        <color rgb="FF4A4A4A"/>
        <rFont val="Noto Sans CJK SC"/>
        <family val="2"/>
      </rPr>
      <t xml:space="preserve">增长一致」，并给出 </t>
    </r>
    <r>
      <rPr>
        <sz val="8"/>
        <color rgb="FF4A4A4A"/>
        <rFont val="Arial"/>
        <family val="0"/>
        <charset val="1"/>
      </rPr>
      <t xml:space="preserve">FY2028–FY2030 </t>
    </r>
    <r>
      <rPr>
        <sz val="8"/>
        <color rgb="FF4A4A4A"/>
        <rFont val="Noto Sans CJK SC"/>
        <family val="2"/>
      </rPr>
      <t xml:space="preserve">框架。</t>
    </r>
  </si>
  <si>
    <r>
      <rPr>
        <b val="true"/>
        <sz val="9"/>
        <color rgb="FF16305B"/>
        <rFont val="Noto Sans CJK SC"/>
        <family val="2"/>
      </rPr>
      <t xml:space="preserve">营业费用率（</t>
    </r>
    <r>
      <rPr>
        <b val="true"/>
        <sz val="9"/>
        <color rgb="FF16305B"/>
        <rFont val="Arial"/>
        <family val="0"/>
        <charset val="1"/>
      </rPr>
      <t xml:space="preserve">% of </t>
    </r>
    <r>
      <rPr>
        <b val="true"/>
        <sz val="9"/>
        <color rgb="FF16305B"/>
        <rFont val="Noto Sans CJK SC"/>
        <family val="2"/>
      </rPr>
      <t xml:space="preserve">收入）</t>
    </r>
  </si>
  <si>
    <t xml:space="preserve">3.0% – 20.0%</t>
  </si>
  <si>
    <r>
      <rPr>
        <sz val="8"/>
        <color rgb="FF4A4A4A"/>
        <rFont val="Noto Sans CJK SC"/>
        <family val="2"/>
      </rPr>
      <t xml:space="preserve">投资者日目标约 </t>
    </r>
    <r>
      <rPr>
        <sz val="8"/>
        <color rgb="FF4A4A4A"/>
        <rFont val="Arial"/>
        <family val="0"/>
        <charset val="1"/>
      </rPr>
      <t xml:space="preserve">5%</t>
    </r>
    <r>
      <rPr>
        <sz val="8"/>
        <color rgb="FF4A4A4A"/>
        <rFont val="Noto Sans CJK SC"/>
        <family val="2"/>
      </rPr>
      <t xml:space="preserve">。</t>
    </r>
    <r>
      <rPr>
        <sz val="8"/>
        <color rgb="FF4A4A4A"/>
        <rFont val="Arial"/>
        <family val="0"/>
        <charset val="1"/>
      </rPr>
      <t xml:space="preserve">FY26 </t>
    </r>
    <r>
      <rPr>
        <sz val="8"/>
        <color rgb="FF4A4A4A"/>
        <rFont val="Noto Sans CJK SC"/>
        <family val="2"/>
      </rPr>
      <t xml:space="preserve">全年实际 </t>
    </r>
    <r>
      <rPr>
        <sz val="8"/>
        <color rgb="FF4A4A4A"/>
        <rFont val="Arial"/>
        <family val="0"/>
        <charset val="1"/>
      </rPr>
      <t xml:space="preserve">10.3%</t>
    </r>
    <r>
      <rPr>
        <sz val="8"/>
        <color rgb="FF4A4A4A"/>
        <rFont val="Noto Sans CJK SC"/>
        <family val="2"/>
      </rPr>
      <t xml:space="preserve">（含分拆一次性费用），</t>
    </r>
    <r>
      <rPr>
        <sz val="8"/>
        <color rgb="FF4A4A4A"/>
        <rFont val="Arial"/>
        <family val="0"/>
        <charset val="1"/>
      </rPr>
      <t xml:space="preserve">FY26 Q4 </t>
    </r>
    <r>
      <rPr>
        <sz val="8"/>
        <color rgb="FF4A4A4A"/>
        <rFont val="Noto Sans CJK SC"/>
        <family val="2"/>
      </rPr>
      <t xml:space="preserve">单季已降到 </t>
    </r>
    <r>
      <rPr>
        <sz val="8"/>
        <color rgb="FF4A4A4A"/>
        <rFont val="Arial"/>
        <family val="0"/>
        <charset val="1"/>
      </rPr>
      <t xml:space="preserve">6.1%</t>
    </r>
    <r>
      <rPr>
        <sz val="8"/>
        <color rgb="FF4A4A4A"/>
        <rFont val="Noto Sans CJK SC"/>
        <family val="2"/>
      </rPr>
      <t xml:space="preserve">，</t>
    </r>
    <r>
      <rPr>
        <sz val="8"/>
        <color rgb="FF4A4A4A"/>
        <rFont val="Arial"/>
        <family val="0"/>
        <charset val="1"/>
      </rPr>
      <t xml:space="preserve">FY27 Q1 GAAP </t>
    </r>
    <r>
      <rPr>
        <sz val="8"/>
        <color rgb="FF4A4A4A"/>
        <rFont val="Noto Sans CJK SC"/>
        <family val="2"/>
      </rPr>
      <t xml:space="preserve">指引 </t>
    </r>
    <r>
      <rPr>
        <sz val="8"/>
        <color rgb="FF4A4A4A"/>
        <rFont val="Arial"/>
        <family val="0"/>
        <charset val="1"/>
      </rPr>
      <t xml:space="preserve">$574–614M</t>
    </r>
    <r>
      <rPr>
        <sz val="8"/>
        <color rgb="FF4A4A4A"/>
        <rFont val="Noto Sans CJK SC"/>
        <family val="2"/>
      </rPr>
      <t xml:space="preserve">（按指引中值收入约 </t>
    </r>
    <r>
      <rPr>
        <sz val="8"/>
        <color rgb="FF4A4A4A"/>
        <rFont val="Arial"/>
        <family val="0"/>
        <charset val="1"/>
      </rPr>
      <t xml:space="preserve">5.5%</t>
    </r>
    <r>
      <rPr>
        <sz val="8"/>
        <color rgb="FF4A4A4A"/>
        <rFont val="Noto Sans CJK SC"/>
        <family val="2"/>
      </rPr>
      <t xml:space="preserve">）。</t>
    </r>
  </si>
  <si>
    <t xml:space="preserve">有效税率</t>
  </si>
  <si>
    <t xml:space="preserve">5.0% – 30.0%</t>
  </si>
  <si>
    <r>
      <rPr>
        <sz val="8"/>
        <color rgb="FF4A4A4A"/>
        <rFont val="Arial"/>
        <family val="0"/>
        <charset val="1"/>
      </rPr>
      <t xml:space="preserve">FY26 </t>
    </r>
    <r>
      <rPr>
        <sz val="8"/>
        <color rgb="FF4A4A4A"/>
        <rFont val="Noto Sans CJK SC"/>
        <family val="2"/>
      </rPr>
      <t xml:space="preserve">实际 </t>
    </r>
    <r>
      <rPr>
        <sz val="8"/>
        <color rgb="FF4A4A4A"/>
        <rFont val="Arial"/>
        <family val="0"/>
        <charset val="1"/>
      </rPr>
      <t xml:space="preserve">GAAP </t>
    </r>
    <r>
      <rPr>
        <sz val="8"/>
        <color rgb="FF4A4A4A"/>
        <rFont val="Noto Sans CJK SC"/>
        <family val="2"/>
      </rPr>
      <t xml:space="preserve">有效税率 </t>
    </r>
    <r>
      <rPr>
        <sz val="8"/>
        <color rgb="FF4A4A4A"/>
        <rFont val="Arial"/>
        <family val="0"/>
        <charset val="1"/>
      </rPr>
      <t xml:space="preserve">12.2%</t>
    </r>
    <r>
      <rPr>
        <sz val="8"/>
        <color rgb="FF4A4A4A"/>
        <rFont val="Noto Sans CJK SC"/>
        <family val="2"/>
      </rPr>
      <t xml:space="preserve">（</t>
    </r>
    <r>
      <rPr>
        <sz val="8"/>
        <color rgb="FF4A4A4A"/>
        <rFont val="Arial"/>
        <family val="0"/>
        <charset val="1"/>
      </rPr>
      <t xml:space="preserve">1,584 ÷ 13,017</t>
    </r>
    <r>
      <rPr>
        <sz val="8"/>
        <color rgb="FF4A4A4A"/>
        <rFont val="Noto Sans CJK SC"/>
        <family val="2"/>
      </rPr>
      <t xml:space="preserve">）；公司非 </t>
    </r>
    <r>
      <rPr>
        <sz val="8"/>
        <color rgb="FF4A4A4A"/>
        <rFont val="Arial"/>
        <family val="0"/>
        <charset val="1"/>
      </rPr>
      <t xml:space="preserve">GAAP </t>
    </r>
    <r>
      <rPr>
        <sz val="8"/>
        <color rgb="FF4A4A4A"/>
        <rFont val="Noto Sans CJK SC"/>
        <family val="2"/>
      </rPr>
      <t xml:space="preserve">指引用 </t>
    </r>
    <r>
      <rPr>
        <sz val="8"/>
        <color rgb="FF4A4A4A"/>
        <rFont val="Arial"/>
        <family val="0"/>
        <charset val="1"/>
      </rPr>
      <t xml:space="preserve">15.0%</t>
    </r>
    <r>
      <rPr>
        <sz val="8"/>
        <color rgb="FF4A4A4A"/>
        <rFont val="Noto Sans CJK SC"/>
        <family val="2"/>
      </rPr>
      <t xml:space="preserve">。爱尔兰</t>
    </r>
    <r>
      <rPr>
        <sz val="8"/>
        <color rgb="FF4A4A4A"/>
        <rFont val="Arial"/>
        <family val="0"/>
        <charset val="1"/>
      </rPr>
      <t xml:space="preserve">/</t>
    </r>
    <r>
      <rPr>
        <sz val="8"/>
        <color rgb="FF4A4A4A"/>
        <rFont val="Noto Sans CJK SC"/>
        <family val="2"/>
      </rPr>
      <t xml:space="preserve">日本结构使实际税率低于美国法定 </t>
    </r>
    <r>
      <rPr>
        <sz val="8"/>
        <color rgb="FF4A4A4A"/>
        <rFont val="Arial"/>
        <family val="0"/>
        <charset val="1"/>
      </rPr>
      <t xml:space="preserve">21%</t>
    </r>
    <r>
      <rPr>
        <sz val="8"/>
        <color rgb="FF4A4A4A"/>
        <rFont val="Noto Sans CJK SC"/>
        <family val="2"/>
      </rPr>
      <t xml:space="preserve">，但周期回落时递延税项会推高实际税率。</t>
    </r>
  </si>
  <si>
    <r>
      <rPr>
        <b val="true"/>
        <sz val="9"/>
        <color rgb="FF16305B"/>
        <rFont val="Noto Sans CJK SC"/>
        <family val="2"/>
      </rPr>
      <t xml:space="preserve">自有资本开支（</t>
    </r>
    <r>
      <rPr>
        <b val="true"/>
        <sz val="9"/>
        <color rgb="FF16305B"/>
        <rFont val="Arial"/>
        <family val="0"/>
        <charset val="1"/>
      </rPr>
      <t xml:space="preserve">% </t>
    </r>
    <r>
      <rPr>
        <b val="true"/>
        <sz val="9"/>
        <color rgb="FF16305B"/>
        <rFont val="Noto Sans CJK SC"/>
        <family val="2"/>
      </rPr>
      <t xml:space="preserve">收入）</t>
    </r>
  </si>
  <si>
    <t xml:space="preserve">0.5% – 10.0%</t>
  </si>
  <si>
    <r>
      <rPr>
        <sz val="8"/>
        <color rgb="FF4A4A4A"/>
        <rFont val="Arial"/>
        <family val="0"/>
        <charset val="1"/>
      </rPr>
      <t xml:space="preserve">★ FY26 </t>
    </r>
    <r>
      <rPr>
        <sz val="8"/>
        <color rgb="FF4A4A4A"/>
        <rFont val="Noto Sans CJK SC"/>
        <family val="2"/>
      </rPr>
      <t xml:space="preserve">实际仅 </t>
    </r>
    <r>
      <rPr>
        <sz val="8"/>
        <color rgb="FF4A4A4A"/>
        <rFont val="Arial"/>
        <family val="0"/>
        <charset val="1"/>
      </rPr>
      <t xml:space="preserve">0.87%</t>
    </r>
    <r>
      <rPr>
        <sz val="8"/>
        <color rgb="FF4A4A4A"/>
        <rFont val="Noto Sans CJK SC"/>
        <family val="2"/>
      </rPr>
      <t xml:space="preserve">（</t>
    </r>
    <r>
      <rPr>
        <sz val="8"/>
        <color rgb="FF4A4A4A"/>
        <rFont val="Arial"/>
        <family val="0"/>
        <charset val="1"/>
      </rPr>
      <t xml:space="preserve">$177M</t>
    </r>
    <r>
      <rPr>
        <sz val="8"/>
        <color rgb="FF4A4A4A"/>
        <rFont val="Noto Sans CJK SC"/>
        <family val="2"/>
      </rPr>
      <t xml:space="preserve">），</t>
    </r>
    <r>
      <rPr>
        <sz val="8"/>
        <color rgb="FF4A4A4A"/>
        <rFont val="Arial"/>
        <family val="0"/>
        <charset val="1"/>
      </rPr>
      <t xml:space="preserve">FY25 </t>
    </r>
    <r>
      <rPr>
        <sz val="8"/>
        <color rgb="FF4A4A4A"/>
        <rFont val="Noto Sans CJK SC"/>
        <family val="2"/>
      </rPr>
      <t xml:space="preserve">为 </t>
    </r>
    <r>
      <rPr>
        <sz val="8"/>
        <color rgb="FF4A4A4A"/>
        <rFont val="Arial"/>
        <family val="0"/>
        <charset val="1"/>
      </rPr>
      <t xml:space="preserve">2.77%</t>
    </r>
    <r>
      <rPr>
        <sz val="8"/>
        <color rgb="FF4A4A4A"/>
        <rFont val="Noto Sans CJK SC"/>
        <family val="2"/>
      </rPr>
      <t xml:space="preserve">。这个数字异常低，因为晶圆厂在合资公司里——见下一行。公司在 </t>
    </r>
    <r>
      <rPr>
        <sz val="8"/>
        <color rgb="FF4A4A4A"/>
        <rFont val="Arial"/>
        <family val="0"/>
        <charset val="1"/>
      </rPr>
      <t xml:space="preserve">Q4 </t>
    </r>
    <r>
      <rPr>
        <sz val="8"/>
        <color rgb="FF4A4A4A"/>
        <rFont val="Noto Sans CJK SC"/>
        <family val="2"/>
      </rPr>
      <t xml:space="preserve">电话会明确表示为 </t>
    </r>
    <r>
      <rPr>
        <sz val="8"/>
        <color rgb="FF4A4A4A"/>
        <rFont val="Arial"/>
        <family val="0"/>
        <charset val="1"/>
      </rPr>
      <t xml:space="preserve">BiCS8/BiCS10 </t>
    </r>
    <r>
      <rPr>
        <sz val="8"/>
        <color rgb="FF4A4A4A"/>
        <rFont val="Noto Sans CJK SC"/>
        <family val="2"/>
      </rPr>
      <t xml:space="preserve">扩产要提高资本开支。</t>
    </r>
  </si>
  <si>
    <r>
      <rPr>
        <b val="true"/>
        <sz val="9"/>
        <color rgb="FF16305B"/>
        <rFont val="Arial"/>
        <family val="0"/>
        <charset val="1"/>
      </rPr>
      <t xml:space="preserve">Flash Ventures </t>
    </r>
    <r>
      <rPr>
        <b val="true"/>
        <sz val="9"/>
        <color rgb="FF16305B"/>
        <rFont val="Noto Sans CJK SC"/>
        <family val="2"/>
      </rPr>
      <t xml:space="preserve">净投入（</t>
    </r>
    <r>
      <rPr>
        <b val="true"/>
        <sz val="9"/>
        <color rgb="FF16305B"/>
        <rFont val="Arial"/>
        <family val="0"/>
        <charset val="1"/>
      </rPr>
      <t xml:space="preserve">% </t>
    </r>
    <r>
      <rPr>
        <b val="true"/>
        <sz val="9"/>
        <color rgb="FF16305B"/>
        <rFont val="Noto Sans CJK SC"/>
        <family val="2"/>
      </rPr>
      <t xml:space="preserve">收入）</t>
    </r>
  </si>
  <si>
    <t xml:space="preserve">0.0% – 12.0%</t>
  </si>
  <si>
    <r>
      <rPr>
        <sz val="8"/>
        <color rgb="FF4A4A4A"/>
        <rFont val="Arial"/>
        <family val="0"/>
        <charset val="1"/>
      </rPr>
      <t xml:space="preserve">★ SNDK </t>
    </r>
    <r>
      <rPr>
        <sz val="8"/>
        <color rgb="FF4A4A4A"/>
        <rFont val="Noto Sans CJK SC"/>
        <family val="2"/>
      </rPr>
      <t xml:space="preserve">真正的产能投入。</t>
    </r>
    <r>
      <rPr>
        <sz val="8"/>
        <color rgb="FF4A4A4A"/>
        <rFont val="Arial"/>
        <family val="0"/>
        <charset val="1"/>
      </rPr>
      <t xml:space="preserve">FY26 = </t>
    </r>
    <r>
      <rPr>
        <sz val="8"/>
        <color rgb="FF4A4A4A"/>
        <rFont val="Noto Sans CJK SC"/>
        <family val="2"/>
      </rPr>
      <t xml:space="preserve">发放票据 </t>
    </r>
    <r>
      <rPr>
        <sz val="8"/>
        <color rgb="FF4A4A4A"/>
        <rFont val="Arial"/>
        <family val="0"/>
        <charset val="1"/>
      </rPr>
      <t xml:space="preserve">462 − </t>
    </r>
    <r>
      <rPr>
        <sz val="8"/>
        <color rgb="FF4A4A4A"/>
        <rFont val="Noto Sans CJK SC"/>
        <family val="2"/>
      </rPr>
      <t xml:space="preserve">回收 </t>
    </r>
    <r>
      <rPr>
        <sz val="8"/>
        <color rgb="FF4A4A4A"/>
        <rFont val="Arial"/>
        <family val="0"/>
        <charset val="1"/>
      </rPr>
      <t xml:space="preserve">187 = </t>
    </r>
    <r>
      <rPr>
        <sz val="8"/>
        <color rgb="FF4A4A4A"/>
        <rFont val="Noto Sans CJK SC"/>
        <family val="2"/>
      </rPr>
      <t xml:space="preserve">净流出 </t>
    </r>
    <r>
      <rPr>
        <sz val="8"/>
        <color rgb="FF4A4A4A"/>
        <rFont val="Arial"/>
        <family val="0"/>
        <charset val="1"/>
      </rPr>
      <t xml:space="preserve">275</t>
    </r>
    <r>
      <rPr>
        <sz val="8"/>
        <color rgb="FF4A4A4A"/>
        <rFont val="Noto Sans CJK SC"/>
        <family val="2"/>
      </rPr>
      <t xml:space="preserve">，占收入 </t>
    </r>
    <r>
      <rPr>
        <sz val="8"/>
        <color rgb="FF4A4A4A"/>
        <rFont val="Arial"/>
        <family val="0"/>
        <charset val="1"/>
      </rPr>
      <t xml:space="preserve">1.36%</t>
    </r>
    <r>
      <rPr>
        <sz val="8"/>
        <color rgb="FF4A4A4A"/>
        <rFont val="Noto Sans CJK SC"/>
        <family val="2"/>
      </rPr>
      <t xml:space="preserve">；</t>
    </r>
    <r>
      <rPr>
        <sz val="8"/>
        <color rgb="FF4A4A4A"/>
        <rFont val="Arial"/>
        <family val="0"/>
        <charset val="1"/>
      </rPr>
      <t xml:space="preserve">FY25 </t>
    </r>
    <r>
      <rPr>
        <sz val="8"/>
        <color rgb="FF4A4A4A"/>
        <rFont val="Noto Sans CJK SC"/>
        <family val="2"/>
      </rPr>
      <t xml:space="preserve">为净流入 −</t>
    </r>
    <r>
      <rPr>
        <sz val="8"/>
        <color rgb="FF4A4A4A"/>
        <rFont val="Arial"/>
        <family val="0"/>
        <charset val="1"/>
      </rPr>
      <t xml:space="preserve">2.47%</t>
    </r>
    <r>
      <rPr>
        <sz val="8"/>
        <color rgb="FF4A4A4A"/>
        <rFont val="Noto Sans CJK SC"/>
        <family val="2"/>
      </rPr>
      <t xml:space="preserve">（合资厂在还钱）。公司口径的自由现金流把这一项加回，本模型不加回。</t>
    </r>
  </si>
  <si>
    <t xml:space="preserve">营运资本占年化收入比</t>
  </si>
  <si>
    <t xml:space="preserve">5.0% – 40.0%</t>
  </si>
  <si>
    <r>
      <rPr>
        <sz val="8"/>
        <color rgb="FF4A4A4A"/>
        <rFont val="Noto Sans CJK SC"/>
        <family val="2"/>
      </rPr>
      <t xml:space="preserve">★ 口径已改为余额法：营运资本 </t>
    </r>
    <r>
      <rPr>
        <sz val="8"/>
        <color rgb="FF4A4A4A"/>
        <rFont val="Arial"/>
        <family val="0"/>
        <charset val="1"/>
      </rPr>
      <t xml:space="preserve">= </t>
    </r>
    <r>
      <rPr>
        <sz val="8"/>
        <color rgb="FF4A4A4A"/>
        <rFont val="Noto Sans CJK SC"/>
        <family val="2"/>
      </rPr>
      <t xml:space="preserve">应收 </t>
    </r>
    <r>
      <rPr>
        <sz val="8"/>
        <color rgb="FF4A4A4A"/>
        <rFont val="Arial"/>
        <family val="0"/>
        <charset val="1"/>
      </rPr>
      <t xml:space="preserve">+ </t>
    </r>
    <r>
      <rPr>
        <sz val="8"/>
        <color rgb="FF4A4A4A"/>
        <rFont val="Noto Sans CJK SC"/>
        <family val="2"/>
      </rPr>
      <t xml:space="preserve">存货 − 应付 − 应付关联方。历史读数 </t>
    </r>
    <r>
      <rPr>
        <sz val="8"/>
        <color rgb="FF4A4A4A"/>
        <rFont val="Arial"/>
        <family val="0"/>
        <charset val="1"/>
      </rPr>
      <t xml:space="preserve">FY26 Q2/Q3/Q4 = 19.3% / 17.3% / 17.9%</t>
    </r>
    <r>
      <rPr>
        <sz val="8"/>
        <color rgb="FF4A4A4A"/>
        <rFont val="Noto Sans CJK SC"/>
        <family val="2"/>
      </rPr>
      <t xml:space="preserve">，</t>
    </r>
    <r>
      <rPr>
        <sz val="8"/>
        <color rgb="FF4A4A4A"/>
        <rFont val="Arial"/>
        <family val="0"/>
        <charset val="1"/>
      </rPr>
      <t xml:space="preserve">FY25 Q4 </t>
    </r>
    <r>
      <rPr>
        <sz val="8"/>
        <color rgb="FF4A4A4A"/>
        <rFont val="Noto Sans CJK SC"/>
        <family val="2"/>
      </rPr>
      <t xml:space="preserve">为 </t>
    </r>
    <r>
      <rPr>
        <sz val="8"/>
        <color rgb="FF4A4A4A"/>
        <rFont val="Arial"/>
        <family val="0"/>
        <charset val="1"/>
      </rPr>
      <t xml:space="preserve">31.3%</t>
    </r>
    <r>
      <rPr>
        <sz val="8"/>
        <color rgb="FF4A4A4A"/>
        <rFont val="Noto Sans CJK SC"/>
        <family val="2"/>
      </rPr>
      <t xml:space="preserve">。见 </t>
    </r>
    <r>
      <rPr>
        <sz val="8"/>
        <color rgb="FF4A4A4A"/>
        <rFont val="Arial"/>
        <family val="0"/>
        <charset val="1"/>
      </rPr>
      <t xml:space="preserve">00 </t>
    </r>
    <r>
      <rPr>
        <sz val="8"/>
        <color rgb="FF4A4A4A"/>
        <rFont val="Noto Sans CJK SC"/>
        <family val="2"/>
      </rPr>
      <t xml:space="preserve">表第 </t>
    </r>
    <r>
      <rPr>
        <sz val="8"/>
        <color rgb="FF4A4A4A"/>
        <rFont val="Arial"/>
        <family val="0"/>
        <charset val="1"/>
      </rPr>
      <t xml:space="preserve">07 </t>
    </r>
    <r>
      <rPr>
        <sz val="8"/>
        <color rgb="FF4A4A4A"/>
        <rFont val="Noto Sans CJK SC"/>
        <family val="2"/>
      </rPr>
      <t xml:space="preserve">节。</t>
    </r>
  </si>
  <si>
    <r>
      <rPr>
        <b val="true"/>
        <sz val="9"/>
        <color rgb="FF16305B"/>
        <rFont val="Noto Sans CJK SC"/>
        <family val="2"/>
      </rPr>
      <t xml:space="preserve">折现率 </t>
    </r>
    <r>
      <rPr>
        <b val="true"/>
        <sz val="9"/>
        <color rgb="FF16305B"/>
        <rFont val="Arial"/>
        <family val="0"/>
        <charset val="1"/>
      </rPr>
      <t xml:space="preserve">WACC</t>
    </r>
  </si>
  <si>
    <t xml:space="preserve">6.0% – 22.0%</t>
  </si>
  <si>
    <r>
      <rPr>
        <sz val="8"/>
        <color rgb="FF4A4A4A"/>
        <rFont val="Noto Sans CJK SC"/>
        <family val="2"/>
      </rPr>
      <t xml:space="preserve">公司零负债，</t>
    </r>
    <r>
      <rPr>
        <sz val="8"/>
        <color rgb="FF4A4A4A"/>
        <rFont val="Arial"/>
        <family val="0"/>
        <charset val="1"/>
      </rPr>
      <t xml:space="preserve">WACC = </t>
    </r>
    <r>
      <rPr>
        <sz val="8"/>
        <color rgb="FF4A4A4A"/>
        <rFont val="Noto Sans CJK SC"/>
        <family val="2"/>
      </rPr>
      <t xml:space="preserve">股权成本。默认按 </t>
    </r>
    <r>
      <rPr>
        <sz val="8"/>
        <color rgb="FF4A4A4A"/>
        <rFont val="Arial"/>
        <family val="0"/>
        <charset val="1"/>
      </rPr>
      <t xml:space="preserve">CAPM</t>
    </r>
    <r>
      <rPr>
        <sz val="8"/>
        <color rgb="FF4A4A4A"/>
        <rFont val="Noto Sans CJK SC"/>
        <family val="2"/>
      </rPr>
      <t xml:space="preserve">：无风险利率 </t>
    </r>
    <r>
      <rPr>
        <sz val="8"/>
        <color rgb="FF4A4A4A"/>
        <rFont val="Arial"/>
        <family val="0"/>
        <charset val="1"/>
      </rPr>
      <t xml:space="preserve">4.2% + β × </t>
    </r>
    <r>
      <rPr>
        <sz val="8"/>
        <color rgb="FF4A4A4A"/>
        <rFont val="Noto Sans CJK SC"/>
        <family val="2"/>
      </rPr>
      <t xml:space="preserve">股权风险溢价 </t>
    </r>
    <r>
      <rPr>
        <sz val="8"/>
        <color rgb="FF4A4A4A"/>
        <rFont val="Arial"/>
        <family val="0"/>
        <charset val="1"/>
      </rPr>
      <t xml:space="preserve">5.0%</t>
    </r>
    <r>
      <rPr>
        <sz val="8"/>
        <color rgb="FF4A4A4A"/>
        <rFont val="Noto Sans CJK SC"/>
        <family val="2"/>
      </rPr>
      <t xml:space="preserve">。</t>
    </r>
    <r>
      <rPr>
        <sz val="8"/>
        <color rgb="FF4A4A4A"/>
        <rFont val="Arial"/>
        <family val="0"/>
        <charset val="1"/>
      </rPr>
      <t xml:space="preserve">SNDK </t>
    </r>
    <r>
      <rPr>
        <sz val="8"/>
        <color rgb="FF4A4A4A"/>
        <rFont val="Noto Sans CJK SC"/>
        <family val="2"/>
      </rPr>
      <t xml:space="preserve">上市不足两年，回归 </t>
    </r>
    <r>
      <rPr>
        <sz val="8"/>
        <color rgb="FF4A4A4A"/>
        <rFont val="Arial"/>
        <family val="0"/>
        <charset val="1"/>
      </rPr>
      <t xml:space="preserve">β </t>
    </r>
    <r>
      <rPr>
        <sz val="8"/>
        <color rgb="FF4A4A4A"/>
        <rFont val="Noto Sans CJK SC"/>
        <family val="2"/>
      </rPr>
      <t xml:space="preserve">不可用，本模型改为直接设定 </t>
    </r>
    <r>
      <rPr>
        <sz val="8"/>
        <color rgb="FF4A4A4A"/>
        <rFont val="Arial"/>
        <family val="0"/>
        <charset val="1"/>
      </rPr>
      <t xml:space="preserve">WACC</t>
    </r>
    <r>
      <rPr>
        <sz val="8"/>
        <color rgb="FF4A4A4A"/>
        <rFont val="Noto Sans CJK SC"/>
        <family val="2"/>
      </rPr>
      <t xml:space="preserve">、反算隐含 </t>
    </r>
    <r>
      <rPr>
        <sz val="8"/>
        <color rgb="FF4A4A4A"/>
        <rFont val="Arial"/>
        <family val="0"/>
        <charset val="1"/>
      </rPr>
      <t xml:space="preserve">β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</si>
  <si>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16305B"/>
        <rFont val="Noto Sans CJK SC"/>
        <family val="2"/>
      </rPr>
      <t xml:space="preserve">永续增长率 </t>
    </r>
    <r>
      <rPr>
        <b val="true"/>
        <sz val="9"/>
        <color rgb="FF16305B"/>
        <rFont val="Arial"/>
        <family val="0"/>
        <charset val="1"/>
      </rPr>
      <t xml:space="preserve">g</t>
    </r>
  </si>
  <si>
    <t xml:space="preserve">0.0% – 6.0%</t>
  </si>
  <si>
    <r>
      <rPr>
        <sz val="8"/>
        <color rgb="FF4A4A4A"/>
        <rFont val="Noto Sans CJK SC"/>
        <family val="2"/>
      </rPr>
      <t xml:space="preserve">★ 必须低于长期名义 </t>
    </r>
    <r>
      <rPr>
        <sz val="8"/>
        <color rgb="FF4A4A4A"/>
        <rFont val="Arial"/>
        <family val="0"/>
        <charset val="1"/>
      </rPr>
      <t xml:space="preserve">GDP </t>
    </r>
    <r>
      <rPr>
        <sz val="8"/>
        <color rgb="FF4A4A4A"/>
        <rFont val="Noto Sans CJK SC"/>
        <family val="2"/>
      </rPr>
      <t xml:space="preserve">增速（约 </t>
    </r>
    <r>
      <rPr>
        <sz val="8"/>
        <color rgb="FF4A4A4A"/>
        <rFont val="Arial"/>
        <family val="0"/>
        <charset val="1"/>
      </rPr>
      <t xml:space="preserve">4%</t>
    </r>
    <r>
      <rPr>
        <sz val="8"/>
        <color rgb="FF4A4A4A"/>
        <rFont val="Noto Sans CJK SC"/>
        <family val="2"/>
      </rPr>
      <t xml:space="preserve">）。</t>
    </r>
    <r>
      <rPr>
        <sz val="8"/>
        <color rgb="FF4A4A4A"/>
        <rFont val="Arial"/>
        <family val="0"/>
        <charset val="1"/>
      </rPr>
      <t xml:space="preserve">g </t>
    </r>
    <r>
      <rPr>
        <sz val="8"/>
        <color rgb="FF4A4A4A"/>
        <rFont val="Noto Sans CJK SC"/>
        <family val="2"/>
      </rPr>
      <t xml:space="preserve">每上调 </t>
    </r>
    <r>
      <rPr>
        <sz val="8"/>
        <color rgb="FF4A4A4A"/>
        <rFont val="Arial"/>
        <family val="0"/>
        <charset val="1"/>
      </rPr>
      <t xml:space="preserve">0.5pp</t>
    </r>
    <r>
      <rPr>
        <sz val="8"/>
        <color rgb="FF4A4A4A"/>
        <rFont val="Noto Sans CJK SC"/>
        <family val="2"/>
      </rPr>
      <t xml:space="preserve">，终值可能变动 </t>
    </r>
    <r>
      <rPr>
        <sz val="8"/>
        <color rgb="FF4A4A4A"/>
        <rFont val="Arial"/>
        <family val="0"/>
        <charset val="1"/>
      </rPr>
      <t xml:space="preserve">10% </t>
    </r>
    <r>
      <rPr>
        <sz val="8"/>
        <color rgb="FF4A4A4A"/>
        <rFont val="Noto Sans CJK SC"/>
        <family val="2"/>
      </rPr>
      <t xml:space="preserve">以上——这是 </t>
    </r>
    <r>
      <rPr>
        <sz val="8"/>
        <color rgb="FF4A4A4A"/>
        <rFont val="Arial"/>
        <family val="0"/>
        <charset val="1"/>
      </rPr>
      <t xml:space="preserve">DCF </t>
    </r>
    <r>
      <rPr>
        <sz val="8"/>
        <color rgb="FF4A4A4A"/>
        <rFont val="Noto Sans CJK SC"/>
        <family val="2"/>
      </rPr>
      <t xml:space="preserve">最脆弱的一个数字。</t>
    </r>
  </si>
  <si>
    <r>
      <rPr>
        <b val="true"/>
        <sz val="11"/>
        <color rgb="FFFFFFFF"/>
        <rFont val="Arial"/>
        <family val="0"/>
        <charset val="1"/>
      </rPr>
      <t xml:space="preserve">10  </t>
    </r>
    <r>
      <rPr>
        <b val="true"/>
        <sz val="11"/>
        <color rgb="FFFFFFFF"/>
        <rFont val="Noto Sans CJK SC"/>
        <family val="2"/>
      </rPr>
      <t xml:space="preserve">实时读数（随滑标即时变化）</t>
    </r>
  </si>
  <si>
    <r>
      <rPr>
        <b val="true"/>
        <sz val="9"/>
        <color rgb="FF16305B"/>
        <rFont val="Noto Sans CJK SC"/>
        <family val="2"/>
      </rPr>
      <t xml:space="preserve">终值占 </t>
    </r>
    <r>
      <rPr>
        <b val="true"/>
        <sz val="9"/>
        <color rgb="FF16305B"/>
        <rFont val="Arial"/>
        <family val="0"/>
        <charset val="1"/>
      </rPr>
      <t xml:space="preserve">EV </t>
    </r>
    <r>
      <rPr>
        <b val="true"/>
        <sz val="9"/>
        <color rgb="FF16305B"/>
        <rFont val="Noto Sans CJK SC"/>
        <family val="2"/>
      </rPr>
      <t xml:space="preserve">比重</t>
    </r>
  </si>
  <si>
    <r>
      <rPr>
        <b val="true"/>
        <sz val="9"/>
        <color rgb="FF16305B"/>
        <rFont val="Noto Sans CJK SC"/>
        <family val="2"/>
      </rPr>
      <t xml:space="preserve">企业价值 </t>
    </r>
    <r>
      <rPr>
        <b val="true"/>
        <sz val="9"/>
        <color rgb="FF16305B"/>
        <rFont val="Arial"/>
        <family val="0"/>
        <charset val="1"/>
      </rPr>
      <t xml:space="preserve">EV</t>
    </r>
  </si>
  <si>
    <t xml:space="preserve">FY27 EBIT</t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</si>
  <si>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每股收益</t>
    </r>
  </si>
  <si>
    <r>
      <rPr>
        <b val="true"/>
        <sz val="9"/>
        <color rgb="FF16305B"/>
        <rFont val="Arial"/>
        <family val="0"/>
        <charset val="1"/>
      </rPr>
      <t xml:space="preserve">FY32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</si>
  <si>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b val="true"/>
        <sz val="9"/>
        <color rgb="FF16305B"/>
        <rFont val="Arial"/>
        <family val="0"/>
        <charset val="1"/>
      </rPr>
      <t xml:space="preserve">FY32 FCFF </t>
    </r>
    <r>
      <rPr>
        <b val="true"/>
        <sz val="9"/>
        <color rgb="FF16305B"/>
        <rFont val="Noto Sans CJK SC"/>
        <family val="2"/>
      </rPr>
      <t xml:space="preserve">率</t>
    </r>
  </si>
  <si>
    <r>
      <rPr>
        <b val="true"/>
        <sz val="9"/>
        <color rgb="FF16305B"/>
        <rFont val="Noto Sans CJK SC"/>
        <family val="2"/>
      </rPr>
      <t xml:space="preserve">隐含退出 </t>
    </r>
    <r>
      <rPr>
        <b val="true"/>
        <sz val="9"/>
        <color rgb="FF16305B"/>
        <rFont val="Arial"/>
        <family val="0"/>
        <charset val="1"/>
      </rPr>
      <t xml:space="preserve">EV/EBITDA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</si>
  <si>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Arial"/>
        <family val="0"/>
        <charset val="1"/>
      </rPr>
      <t xml:space="preserve">10.1  </t>
    </r>
    <r>
      <rPr>
        <b val="true"/>
        <sz val="11"/>
        <color rgb="FFFFFFFF"/>
        <rFont val="Noto Sans CJK SC"/>
        <family val="2"/>
      </rPr>
      <t xml:space="preserve">五种口径的每股价值并排对照</t>
    </r>
  </si>
  <si>
    <r>
      <rPr>
        <sz val="9"/>
        <color rgb="FF3D3D3D"/>
        <rFont val="Noto Sans CJK SC"/>
        <family val="2"/>
      </rPr>
      <t xml:space="preserve">把 </t>
    </r>
    <r>
      <rPr>
        <sz val="9"/>
        <color rgb="FF3D3D3D"/>
        <rFont val="Arial"/>
        <family val="0"/>
        <charset val="1"/>
      </rPr>
      <t xml:space="preserve">DCF</t>
    </r>
    <r>
      <rPr>
        <sz val="9"/>
        <color rgb="FF3D3D3D"/>
        <rFont val="Noto Sans CJK SC"/>
        <family val="2"/>
      </rPr>
      <t xml:space="preserve">、含回购的 </t>
    </r>
    <r>
      <rPr>
        <sz val="9"/>
        <color rgb="FF3D3D3D"/>
        <rFont val="Arial"/>
        <family val="0"/>
        <charset val="1"/>
      </rPr>
      <t xml:space="preserve">EPS×P/E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12 </t>
    </r>
    <r>
      <rPr>
        <sz val="9"/>
        <color rgb="FF3D3D3D"/>
        <rFont val="Noto Sans CJK SC"/>
        <family val="2"/>
      </rPr>
      <t xml:space="preserve">个月目标价、当前股价、卖方一致目标价放在一起。★ 如果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EPS×P/E </t>
    </r>
    <r>
      <rPr>
        <sz val="9"/>
        <color rgb="FF3D3D3D"/>
        <rFont val="Noto Sans CJK SC"/>
        <family val="2"/>
      </rPr>
      <t xml:space="preserve">差得很远，先回到第 </t>
    </r>
    <r>
      <rPr>
        <sz val="9"/>
        <color rgb="FF3D3D3D"/>
        <rFont val="Arial"/>
        <family val="0"/>
        <charset val="1"/>
      </rPr>
      <t xml:space="preserve">06 </t>
    </r>
    <r>
      <rPr>
        <sz val="9"/>
        <color rgb="FF3D3D3D"/>
        <rFont val="Noto Sans CJK SC"/>
        <family val="2"/>
      </rPr>
      <t xml:space="preserve">节的第 ⑤ 行「本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隐含的 </t>
    </r>
    <r>
      <rPr>
        <sz val="9"/>
        <color rgb="FF3D3D3D"/>
        <rFont val="Arial"/>
        <family val="0"/>
        <charset val="1"/>
      </rPr>
      <t xml:space="preserve">FY32 </t>
    </r>
    <r>
      <rPr>
        <sz val="9"/>
        <color rgb="FF3D3D3D"/>
        <rFont val="Noto Sans CJK SC"/>
        <family val="2"/>
      </rPr>
      <t xml:space="preserve">退出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」，把该节的 </t>
    </r>
    <r>
      <rPr>
        <sz val="9"/>
        <color rgb="FF3D3D3D"/>
        <rFont val="Arial"/>
        <family val="0"/>
        <charset val="1"/>
      </rPr>
      <t xml:space="preserve">FY2032 P/E </t>
    </r>
    <r>
      <rPr>
        <sz val="9"/>
        <color rgb="FF3D3D3D"/>
        <rFont val="Noto Sans CJK SC"/>
        <family val="2"/>
      </rPr>
      <t xml:space="preserve">滑标拖到那个数，两者应当收敛；仍不收敛，说明问题出在回购价假设（第 ⑫ 行）。</t>
    </r>
  </si>
  <si>
    <t xml:space="preserve">估值方法</t>
  </si>
  <si>
    <t xml:space="preserve">每股价值</t>
  </si>
  <si>
    <r>
      <rPr>
        <b val="true"/>
        <sz val="9"/>
        <color rgb="FF000000"/>
        <rFont val="Arial"/>
        <family val="0"/>
        <charset val="1"/>
      </rPr>
      <t xml:space="preserve">DCF</t>
    </r>
    <r>
      <rPr>
        <b val="true"/>
        <sz val="9"/>
        <color rgb="FF000000"/>
        <rFont val="Noto Sans CJK SC"/>
        <family val="2"/>
      </rPr>
      <t xml:space="preserve">（企业自由现金流）</t>
    </r>
  </si>
  <si>
    <r>
      <rPr>
        <sz val="8"/>
        <color rgb="FF404040"/>
        <rFont val="Noto Sans CJK SC"/>
        <family val="2"/>
      </rPr>
      <t xml:space="preserve">第 </t>
    </r>
    <r>
      <rPr>
        <sz val="8"/>
        <color rgb="FF404040"/>
        <rFont val="Arial"/>
        <family val="0"/>
        <charset val="1"/>
      </rPr>
      <t xml:space="preserve">04 </t>
    </r>
    <r>
      <rPr>
        <sz val="8"/>
        <color rgb="FF404040"/>
        <rFont val="Noto Sans CJK SC"/>
        <family val="2"/>
      </rPr>
      <t xml:space="preserve">节结果，对回购中性</t>
    </r>
  </si>
  <si>
    <r>
      <rPr>
        <b val="true"/>
        <sz val="9"/>
        <color rgb="FF000000"/>
        <rFont val="Arial"/>
        <family val="0"/>
        <charset val="1"/>
      </rPr>
      <t xml:space="preserve">EPS × P/E</t>
    </r>
    <r>
      <rPr>
        <b val="true"/>
        <sz val="9"/>
        <color rgb="FF000000"/>
        <rFont val="Noto Sans CJK SC"/>
        <family val="2"/>
      </rPr>
      <t xml:space="preserve">（含回购）</t>
    </r>
  </si>
  <si>
    <r>
      <rPr>
        <sz val="8"/>
        <color rgb="FF404040"/>
        <rFont val="Noto Sans CJK SC"/>
        <family val="2"/>
      </rPr>
      <t xml:space="preserve">第 </t>
    </r>
    <r>
      <rPr>
        <sz val="8"/>
        <color rgb="FF404040"/>
        <rFont val="Arial"/>
        <family val="0"/>
        <charset val="1"/>
      </rPr>
      <t xml:space="preserve">06 </t>
    </r>
    <r>
      <rPr>
        <sz val="8"/>
        <color rgb="FF404040"/>
        <rFont val="Noto Sans CJK SC"/>
        <family val="2"/>
      </rPr>
      <t xml:space="preserve">节结果，已计入股数递减与逐年 </t>
    </r>
    <r>
      <rPr>
        <sz val="8"/>
        <color rgb="FF404040"/>
        <rFont val="Arial"/>
        <family val="0"/>
        <charset val="1"/>
      </rPr>
      <t xml:space="preserve">P/E</t>
    </r>
  </si>
  <si>
    <r>
      <rPr>
        <b val="true"/>
        <sz val="9"/>
        <color rgb="FF000000"/>
        <rFont val="Arial"/>
        <family val="0"/>
        <charset val="1"/>
      </rPr>
      <t xml:space="preserve">12 </t>
    </r>
    <r>
      <rPr>
        <b val="true"/>
        <sz val="9"/>
        <color rgb="FF000000"/>
        <rFont val="Noto Sans CJK SC"/>
        <family val="2"/>
      </rPr>
      <t xml:space="preserve">个月目标价（</t>
    </r>
    <r>
      <rPr>
        <b val="true"/>
        <sz val="9"/>
        <color rgb="FF000000"/>
        <rFont val="Arial"/>
        <family val="0"/>
        <charset val="1"/>
      </rPr>
      <t xml:space="preserve">FY27</t>
    </r>
    <r>
      <rPr>
        <b val="true"/>
        <sz val="9"/>
        <color rgb="FF000000"/>
        <rFont val="Noto Sans CJK SC"/>
        <family val="2"/>
      </rPr>
      <t xml:space="preserve">）</t>
    </r>
  </si>
  <si>
    <r>
      <rPr>
        <sz val="8"/>
        <color rgb="FF404040"/>
        <rFont val="Arial"/>
        <family val="0"/>
        <charset val="1"/>
      </rPr>
      <t xml:space="preserve">FY27 EPS × FY27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P/E</t>
    </r>
    <r>
      <rPr>
        <sz val="8"/>
        <color rgb="FF404040"/>
        <rFont val="Noto Sans CJK SC"/>
        <family val="2"/>
      </rPr>
      <t xml:space="preserve">，与卖方一致目标价可比</t>
    </r>
  </si>
  <si>
    <t xml:space="preserve">当前股价</t>
  </si>
  <si>
    <t xml:space="preserve">2026-08-26</t>
  </si>
  <si>
    <r>
      <rPr>
        <sz val="8"/>
        <color rgb="FF404040"/>
        <rFont val="Arial"/>
        <family val="0"/>
        <charset val="1"/>
      </rPr>
      <t xml:space="preserve">S&amp;P Global </t>
    </r>
    <r>
      <rPr>
        <sz val="8"/>
        <color rgb="FF404040"/>
        <rFont val="Noto Sans CJK SC"/>
        <family val="2"/>
      </rPr>
      <t xml:space="preserve">汇总 </t>
    </r>
    <r>
      <rPr>
        <sz val="8"/>
        <color rgb="FF404040"/>
        <rFont val="Arial"/>
        <family val="0"/>
        <charset val="1"/>
      </rPr>
      <t xml:space="preserve">24 </t>
    </r>
    <r>
      <rPr>
        <sz val="8"/>
        <color rgb="FF404040"/>
        <rFont val="Noto Sans CJK SC"/>
        <family val="2"/>
      </rPr>
      <t xml:space="preserve">家机构；最低 </t>
    </r>
    <r>
      <rPr>
        <sz val="8"/>
        <color rgb="FF404040"/>
        <rFont val="Arial"/>
        <family val="0"/>
        <charset val="1"/>
      </rPr>
      <t xml:space="preserve">$1,000</t>
    </r>
    <r>
      <rPr>
        <sz val="8"/>
        <color rgb="FF404040"/>
        <rFont val="Noto Sans CJK SC"/>
        <family val="2"/>
      </rPr>
      <t xml:space="preserve">、最高 </t>
    </r>
    <r>
      <rPr>
        <sz val="8"/>
        <color rgb="FF404040"/>
        <rFont val="Arial"/>
        <family val="0"/>
        <charset val="1"/>
      </rPr>
      <t xml:space="preserve">$3,600</t>
    </r>
  </si>
  <si>
    <r>
      <rPr>
        <b val="true"/>
        <sz val="11"/>
        <color rgb="FFFFFFFF"/>
        <rFont val="Arial"/>
        <family val="0"/>
        <charset val="1"/>
      </rPr>
      <t xml:space="preserve">11  </t>
    </r>
    <r>
      <rPr>
        <b val="true"/>
        <sz val="11"/>
        <color rgb="FFFFFFFF"/>
        <rFont val="Noto Sans CJK SC"/>
        <family val="2"/>
      </rPr>
      <t xml:space="preserve">图表数据源（下方全部图表由本区驱动）</t>
    </r>
  </si>
  <si>
    <t xml:space="preserve">FY26A</t>
  </si>
  <si>
    <r>
      <rPr>
        <b val="true"/>
        <sz val="9"/>
        <color rgb="FF000000"/>
        <rFont val="Noto Sans CJK SC"/>
        <family val="2"/>
      </rPr>
      <t xml:space="preserve">营业利润 </t>
    </r>
    <r>
      <rPr>
        <b val="true"/>
        <sz val="9"/>
        <color rgb="FF000000"/>
        <rFont val="Arial"/>
        <family val="0"/>
        <charset val="1"/>
      </rPr>
      <t xml:space="preserve">EBIT</t>
    </r>
  </si>
  <si>
    <r>
      <rPr>
        <b val="true"/>
        <sz val="9"/>
        <color rgb="FF000000"/>
        <rFont val="Noto Sans CJK SC"/>
        <family val="2"/>
      </rPr>
      <t xml:space="preserve">税后经营利润 </t>
    </r>
    <r>
      <rPr>
        <b val="true"/>
        <sz val="9"/>
        <color rgb="FF000000"/>
        <rFont val="Arial"/>
        <family val="0"/>
        <charset val="1"/>
      </rPr>
      <t xml:space="preserve">NOPAT</t>
    </r>
  </si>
  <si>
    <r>
      <rPr>
        <b val="true"/>
        <sz val="9"/>
        <color rgb="FF000000"/>
        <rFont val="Noto Sans CJK SC"/>
        <family val="2"/>
      </rPr>
      <t xml:space="preserve">自由现金流 </t>
    </r>
    <r>
      <rPr>
        <b val="true"/>
        <sz val="9"/>
        <color rgb="FF000000"/>
        <rFont val="Arial"/>
        <family val="0"/>
        <charset val="1"/>
      </rPr>
      <t xml:space="preserve">FCFF</t>
    </r>
  </si>
  <si>
    <t xml:space="preserve">营业利润率</t>
  </si>
  <si>
    <r>
      <rPr>
        <b val="true"/>
        <sz val="9"/>
        <color rgb="FF000000"/>
        <rFont val="Arial"/>
        <family val="0"/>
        <charset val="1"/>
      </rPr>
      <t xml:space="preserve">FCFF </t>
    </r>
    <r>
      <rPr>
        <b val="true"/>
        <sz val="9"/>
        <color rgb="FF000000"/>
        <rFont val="Noto Sans CJK SC"/>
        <family val="2"/>
      </rPr>
      <t xml:space="preserve">利润率</t>
    </r>
  </si>
  <si>
    <r>
      <rPr>
        <b val="true"/>
        <sz val="9"/>
        <color rgb="FF000000"/>
        <rFont val="Noto Sans CJK SC"/>
        <family val="2"/>
      </rPr>
      <t xml:space="preserve">摊薄每股收益 </t>
    </r>
    <r>
      <rPr>
        <b val="true"/>
        <sz val="9"/>
        <color rgb="FF000000"/>
        <rFont val="Arial"/>
        <family val="0"/>
        <charset val="1"/>
      </rPr>
      <t xml:space="preserve">EPS</t>
    </r>
  </si>
  <si>
    <r>
      <rPr>
        <b val="true"/>
        <sz val="9"/>
        <color rgb="FF000000"/>
        <rFont val="Noto Sans CJK SC"/>
        <family val="2"/>
      </rPr>
      <t xml:space="preserve">收入增速 </t>
    </r>
    <r>
      <rPr>
        <b val="true"/>
        <sz val="9"/>
        <color rgb="FF000000"/>
        <rFont val="Arial"/>
        <family val="0"/>
        <charset val="1"/>
      </rPr>
      <t xml:space="preserve">YoY</t>
    </r>
  </si>
  <si>
    <r>
      <rPr>
        <b val="true"/>
        <sz val="9"/>
        <color rgb="FF000000"/>
        <rFont val="Noto Sans CJK SC"/>
        <family val="2"/>
      </rPr>
      <t xml:space="preserve">经营性每股收益 </t>
    </r>
    <r>
      <rPr>
        <b val="true"/>
        <sz val="9"/>
        <color rgb="FF000000"/>
        <rFont val="Arial"/>
        <family val="0"/>
        <charset val="1"/>
      </rPr>
      <t xml:space="preserve">EPS</t>
    </r>
  </si>
  <si>
    <r>
      <rPr>
        <sz val="9"/>
        <color rgb="FF3D3D3D"/>
        <rFont val="Arial"/>
        <family val="0"/>
        <charset val="1"/>
      </rPr>
      <t xml:space="preserve">FY26A </t>
    </r>
    <r>
      <rPr>
        <sz val="9"/>
        <color rgb="FF3D3D3D"/>
        <rFont val="Noto Sans CJK SC"/>
        <family val="2"/>
      </rPr>
      <t xml:space="preserve">为公司实际数（取自 </t>
    </r>
    <r>
      <rPr>
        <sz val="9"/>
        <color rgb="FF3D3D3D"/>
        <rFont val="Arial"/>
        <family val="0"/>
        <charset val="1"/>
      </rPr>
      <t xml:space="preserve">00 </t>
    </r>
    <r>
      <rPr>
        <sz val="9"/>
        <color rgb="FF3D3D3D"/>
        <rFont val="Noto Sans CJK SC"/>
        <family val="2"/>
      </rPr>
      <t xml:space="preserve">表），</t>
    </r>
    <r>
      <rPr>
        <sz val="9"/>
        <color rgb="FF3D3D3D"/>
        <rFont val="Arial"/>
        <family val="0"/>
        <charset val="1"/>
      </rPr>
      <t xml:space="preserve">FY27–FY32 </t>
    </r>
    <r>
      <rPr>
        <sz val="9"/>
        <color rgb="FF3D3D3D"/>
        <rFont val="Noto Sans CJK SC"/>
        <family val="2"/>
      </rPr>
      <t xml:space="preserve">为本情形预测。</t>
    </r>
    <r>
      <rPr>
        <sz val="9"/>
        <color rgb="FF3D3D3D"/>
        <rFont val="Arial"/>
        <family val="0"/>
        <charset val="1"/>
      </rPr>
      <t xml:space="preserve">EPS </t>
    </r>
    <r>
      <rPr>
        <sz val="9"/>
        <color rgb="FF3D3D3D"/>
        <rFont val="Noto Sans CJK SC"/>
        <family val="2"/>
      </rPr>
      <t xml:space="preserve">一行用的是 </t>
    </r>
    <r>
      <rPr>
        <sz val="9"/>
        <color rgb="FF3D3D3D"/>
        <rFont val="Arial"/>
        <family val="0"/>
        <charset val="1"/>
      </rPr>
      <t xml:space="preserve">NOPAT ÷ </t>
    </r>
    <r>
      <rPr>
        <sz val="9"/>
        <color rgb="FF3D3D3D"/>
        <rFont val="Noto Sans CJK SC"/>
        <family val="2"/>
      </rPr>
      <t xml:space="preserve">摊薄股数，与 </t>
    </r>
    <r>
      <rPr>
        <sz val="9"/>
        <color rgb="FF3D3D3D"/>
        <rFont val="Arial"/>
        <family val="0"/>
        <charset val="1"/>
      </rPr>
      <t xml:space="preserve">GAAP EPS </t>
    </r>
    <r>
      <rPr>
        <sz val="9"/>
        <color rgb="FF3D3D3D"/>
        <rFont val="Noto Sans CJK SC"/>
        <family val="2"/>
      </rPr>
      <t xml:space="preserve">口径不同（不含利息收入与非经营损益），目的是与 </t>
    </r>
    <r>
      <rPr>
        <sz val="9"/>
        <color rgb="FF3D3D3D"/>
        <rFont val="Arial"/>
        <family val="0"/>
        <charset val="1"/>
      </rPr>
      <t xml:space="preserve">FCFF </t>
    </r>
    <r>
      <rPr>
        <sz val="9"/>
        <color rgb="FF3D3D3D"/>
        <rFont val="Noto Sans CJK SC"/>
        <family val="2"/>
      </rPr>
      <t xml:space="preserve">保持同一套口径。</t>
    </r>
  </si>
  <si>
    <r>
      <rPr>
        <sz val="9"/>
        <color rgb="FF3D3D3D"/>
        <rFont val="Noto Sans CJK SC"/>
        <family val="2"/>
      </rPr>
      <t xml:space="preserve">图表说明｜图 </t>
    </r>
    <r>
      <rPr>
        <sz val="9"/>
        <color rgb="FF3D3D3D"/>
        <rFont val="Arial"/>
        <family val="0"/>
        <charset val="1"/>
      </rPr>
      <t xml:space="preserve">1</t>
    </r>
    <r>
      <rPr>
        <sz val="9"/>
        <color rgb="FF3D3D3D"/>
        <rFont val="Noto Sans CJK SC"/>
        <family val="2"/>
      </rPr>
      <t xml:space="preserve">：收入、毛利、营业利润三根柱的相对高度，就是这个情形对「盈利能力能不能维持」的判断。｜图 </t>
    </r>
    <r>
      <rPr>
        <sz val="9"/>
        <color rgb="FF3D3D3D"/>
        <rFont val="Arial"/>
        <family val="0"/>
        <charset val="1"/>
      </rPr>
      <t xml:space="preserve">2</t>
    </r>
    <r>
      <rPr>
        <sz val="9"/>
        <color rgb="FF3D3D3D"/>
        <rFont val="Noto Sans CJK SC"/>
        <family val="2"/>
      </rPr>
      <t xml:space="preserve">：三条利润率曲线放在一起，可以直接对照投资者日的目标（毛利率 </t>
    </r>
    <r>
      <rPr>
        <sz val="9"/>
        <color rgb="FF3D3D3D"/>
        <rFont val="Arial"/>
        <family val="0"/>
        <charset val="1"/>
      </rPr>
      <t xml:space="preserve">80% / </t>
    </r>
    <r>
      <rPr>
        <sz val="9"/>
        <color rgb="FF3D3D3D"/>
        <rFont val="Noto Sans CJK SC"/>
        <family val="2"/>
      </rPr>
      <t xml:space="preserve">营业利润率 </t>
    </r>
    <r>
      <rPr>
        <sz val="9"/>
        <color rgb="FF3D3D3D"/>
        <rFont val="Arial"/>
        <family val="0"/>
        <charset val="1"/>
      </rPr>
      <t xml:space="preserve">75% / </t>
    </r>
    <r>
      <rPr>
        <sz val="9"/>
        <color rgb="FF3D3D3D"/>
        <rFont val="Noto Sans CJK SC"/>
        <family val="2"/>
      </rPr>
      <t xml:space="preserve">调整后 </t>
    </r>
    <r>
      <rPr>
        <sz val="9"/>
        <color rgb="FF3D3D3D"/>
        <rFont val="Arial"/>
        <family val="0"/>
        <charset val="1"/>
      </rPr>
      <t xml:space="preserve">FCF </t>
    </r>
    <r>
      <rPr>
        <sz val="9"/>
        <color rgb="FF3D3D3D"/>
        <rFont val="Noto Sans CJK SC"/>
        <family val="2"/>
      </rPr>
      <t xml:space="preserve">率 </t>
    </r>
    <r>
      <rPr>
        <sz val="9"/>
        <color rgb="FF3D3D3D"/>
        <rFont val="Arial"/>
        <family val="0"/>
        <charset val="1"/>
      </rPr>
      <t xml:space="preserve">50%</t>
    </r>
    <r>
      <rPr>
        <sz val="9"/>
        <color rgb="FF3D3D3D"/>
        <rFont val="Noto Sans CJK SC"/>
        <family val="2"/>
      </rPr>
      <t xml:space="preserve">）。｜图 </t>
    </r>
    <r>
      <rPr>
        <sz val="9"/>
        <color rgb="FF3D3D3D"/>
        <rFont val="Arial"/>
        <family val="0"/>
        <charset val="1"/>
      </rPr>
      <t xml:space="preserve">3</t>
    </r>
    <r>
      <rPr>
        <sz val="9"/>
        <color rgb="FF3D3D3D"/>
        <rFont val="Noto Sans CJK SC"/>
        <family val="2"/>
      </rPr>
      <t xml:space="preserve">：浅蓝柱是税后经营利润，深色柱是自由现金流——两者的差额来自资本开支与营运资本占用。｜图 </t>
    </r>
    <r>
      <rPr>
        <sz val="9"/>
        <color rgb="FF3D3D3D"/>
        <rFont val="Arial"/>
        <family val="0"/>
        <charset val="1"/>
      </rPr>
      <t xml:space="preserve">4</t>
    </r>
    <r>
      <rPr>
        <sz val="9"/>
        <color rgb="FF3D3D3D"/>
        <rFont val="Noto Sans CJK SC"/>
        <family val="2"/>
      </rPr>
      <t xml:space="preserve">：每股收益路径。｜图 </t>
    </r>
    <r>
      <rPr>
        <sz val="9"/>
        <color rgb="FF3D3D3D"/>
        <rFont val="Arial"/>
        <family val="0"/>
        <charset val="1"/>
      </rPr>
      <t xml:space="preserve">5</t>
    </r>
    <r>
      <rPr>
        <sz val="9"/>
        <color rgb="FF3D3D3D"/>
        <rFont val="Noto Sans CJK SC"/>
        <family val="2"/>
      </rPr>
      <t xml:space="preserve">：收入增速从 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+175% </t>
    </r>
    <r>
      <rPr>
        <sz val="9"/>
        <color rgb="FF3D3D3D"/>
        <rFont val="Noto Sans CJK SC"/>
        <family val="2"/>
      </rPr>
      <t xml:space="preserve">回归常态的路径。｜图 </t>
    </r>
    <r>
      <rPr>
        <sz val="9"/>
        <color rgb="FF3D3D3D"/>
        <rFont val="Arial"/>
        <family val="0"/>
        <charset val="1"/>
      </rPr>
      <t xml:space="preserve">6</t>
    </r>
    <r>
      <rPr>
        <sz val="9"/>
        <color rgb="FF3D3D3D"/>
        <rFont val="Noto Sans CJK SC"/>
        <family val="2"/>
      </rPr>
      <t xml:space="preserve">：横条越靠右代表每股价值越高，五组颜色对应五档终局毛利率——条形之间的跨度就是「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价格假设」值多少钱。｜图 </t>
    </r>
    <r>
      <rPr>
        <sz val="9"/>
        <color rgb="FF3D3D3D"/>
        <rFont val="Arial"/>
        <family val="0"/>
        <charset val="1"/>
      </rPr>
      <t xml:space="preserve">7</t>
    </r>
    <r>
      <rPr>
        <sz val="9"/>
        <color rgb="FF3D3D3D"/>
        <rFont val="Noto Sans CJK SC"/>
        <family val="2"/>
      </rPr>
      <t xml:space="preserve">：回购把股本压到什么程度。柱子下降得越快，说明现金返还越猛。｜图 </t>
    </r>
    <r>
      <rPr>
        <sz val="9"/>
        <color rgb="FF3D3D3D"/>
        <rFont val="Arial"/>
        <family val="0"/>
        <charset val="1"/>
      </rPr>
      <t xml:space="preserve">8</t>
    </r>
    <r>
      <rPr>
        <sz val="9"/>
        <color rgb="FF3D3D3D"/>
        <rFont val="Noto Sans CJK SC"/>
        <family val="2"/>
      </rPr>
      <t xml:space="preserve">：四种口径并排——</t>
    </r>
    <r>
      <rPr>
        <sz val="9"/>
        <color rgb="FF3D3D3D"/>
        <rFont val="Arial"/>
        <family val="0"/>
        <charset val="1"/>
      </rPr>
      <t xml:space="preserve">DCF</t>
    </r>
    <r>
      <rPr>
        <sz val="9"/>
        <color rgb="FF3D3D3D"/>
        <rFont val="Noto Sans CJK SC"/>
        <family val="2"/>
      </rPr>
      <t xml:space="preserve">、含回购的 </t>
    </r>
    <r>
      <rPr>
        <sz val="9"/>
        <color rgb="FF3D3D3D"/>
        <rFont val="Arial"/>
        <family val="0"/>
        <charset val="1"/>
      </rPr>
      <t xml:space="preserve">EPS×P/E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12 </t>
    </r>
    <r>
      <rPr>
        <sz val="9"/>
        <color rgb="FF3D3D3D"/>
        <rFont val="Noto Sans CJK SC"/>
        <family val="2"/>
      </rPr>
      <t xml:space="preserve">个月目标价、现价、卖方一致目标价。如果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EPS×P/E </t>
    </r>
    <r>
      <rPr>
        <sz val="9"/>
        <color rgb="FF3D3D3D"/>
        <rFont val="Noto Sans CJK SC"/>
        <family val="2"/>
      </rPr>
      <t xml:space="preserve">差得很远，先去看第 </t>
    </r>
    <r>
      <rPr>
        <sz val="9"/>
        <color rgb="FF3D3D3D"/>
        <rFont val="Arial"/>
        <family val="0"/>
        <charset val="1"/>
      </rPr>
      <t xml:space="preserve">06 </t>
    </r>
    <r>
      <rPr>
        <sz val="9"/>
        <color rgb="FF3D3D3D"/>
        <rFont val="Noto Sans CJK SC"/>
        <family val="2"/>
      </rPr>
      <t xml:space="preserve">节第 ⑤ 行「本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隐含的退出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」。</t>
    </r>
  </si>
  <si>
    <r>
      <rPr>
        <b val="true"/>
        <sz val="16"/>
        <color rgb="FFFFFFFF"/>
        <rFont val="Arial"/>
        <family val="0"/>
        <charset val="1"/>
      </rPr>
      <t xml:space="preserve">BASE · SNDK </t>
    </r>
    <r>
      <rPr>
        <b val="true"/>
        <sz val="16"/>
        <color rgb="FFFFFFFF"/>
        <rFont val="Noto Sans CJK SC"/>
        <family val="2"/>
      </rPr>
      <t xml:space="preserve">现金流折现模型 —— 基准情形</t>
    </r>
  </si>
  <si>
    <r>
      <rPr>
        <sz val="9"/>
        <color rgb="FF3D3D3D"/>
        <rFont val="Noto Sans CJK SC"/>
        <family val="2"/>
      </rPr>
      <t xml:space="preserve">采用公司 </t>
    </r>
    <r>
      <rPr>
        <sz val="9"/>
        <color rgb="FF3D3D3D"/>
        <rFont val="Arial"/>
        <family val="0"/>
        <charset val="1"/>
      </rPr>
      <t xml:space="preserve">FY27 Q1 </t>
    </r>
    <r>
      <rPr>
        <sz val="9"/>
        <color rgb="FF3D3D3D"/>
        <rFont val="Noto Sans CJK SC"/>
        <family val="2"/>
      </rPr>
      <t xml:space="preserve">指引中值作为起点，但不接受管理层「</t>
    </r>
    <r>
      <rPr>
        <sz val="9"/>
        <color rgb="FF3D3D3D"/>
        <rFont val="Arial"/>
        <family val="0"/>
        <charset val="1"/>
      </rPr>
      <t xml:space="preserve">FY28–30 </t>
    </r>
    <r>
      <rPr>
        <sz val="9"/>
        <color rgb="FF3D3D3D"/>
        <rFont val="Noto Sans CJK SC"/>
        <family val="2"/>
      </rPr>
      <t xml:space="preserve">毛利率维持 </t>
    </r>
    <r>
      <rPr>
        <sz val="9"/>
        <color rgb="FF3D3D3D"/>
        <rFont val="Arial"/>
        <family val="0"/>
        <charset val="1"/>
      </rPr>
      <t xml:space="preserve">80%</t>
    </r>
    <r>
      <rPr>
        <sz val="9"/>
        <color rgb="FF3D3D3D"/>
        <rFont val="Noto Sans CJK SC"/>
        <family val="2"/>
      </rPr>
      <t xml:space="preserve">」的长期框架。本情形假设周期在 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见顶、</t>
    </r>
    <r>
      <rPr>
        <sz val="9"/>
        <color rgb="FF3D3D3D"/>
        <rFont val="Arial"/>
        <family val="0"/>
        <charset val="1"/>
      </rPr>
      <t xml:space="preserve">FY28 </t>
    </r>
    <r>
      <rPr>
        <sz val="9"/>
        <color rgb="FF3D3D3D"/>
        <rFont val="Noto Sans CJK SC"/>
        <family val="2"/>
      </rPr>
      <t xml:space="preserve">温和回落一年，之后由 </t>
    </r>
    <r>
      <rPr>
        <sz val="9"/>
        <color rgb="FF3D3D3D"/>
        <rFont val="Arial"/>
        <family val="0"/>
        <charset val="1"/>
      </rPr>
      <t xml:space="preserve">AI </t>
    </r>
    <r>
      <rPr>
        <sz val="9"/>
        <color rgb="FF3D3D3D"/>
        <rFont val="Noto Sans CJK SC"/>
        <family val="2"/>
      </rPr>
      <t xml:space="preserve">数据中心需求托住，毛利率稳定在 </t>
    </r>
    <r>
      <rPr>
        <sz val="9"/>
        <color rgb="FF3D3D3D"/>
        <rFont val="Arial"/>
        <family val="0"/>
        <charset val="1"/>
      </rPr>
      <t xml:space="preserve">66%–72% </t>
    </r>
    <r>
      <rPr>
        <sz val="9"/>
        <color rgb="FF3D3D3D"/>
        <rFont val="Noto Sans CJK SC"/>
        <family val="2"/>
      </rPr>
      <t xml:space="preserve">这个「比历史高、但低于当前峰值」的新中枢。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</si>
  <si>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1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FY27 Q1 </t>
    </r>
    <r>
      <rPr>
        <sz val="9"/>
        <color rgb="FF303030"/>
        <rFont val="Noto Sans CJK SC"/>
        <family val="2"/>
      </rPr>
      <t xml:space="preserve">用官方指引中值 </t>
    </r>
    <r>
      <rPr>
        <sz val="9"/>
        <color rgb="FF303030"/>
        <rFont val="Arial"/>
        <family val="0"/>
        <charset val="1"/>
      </rPr>
      <t xml:space="preserve">$10.55B</t>
    </r>
    <r>
      <rPr>
        <sz val="9"/>
        <color rgb="FF303030"/>
        <rFont val="Noto Sans CJK SC"/>
        <family val="2"/>
      </rPr>
      <t xml:space="preserve">（区间 </t>
    </r>
    <r>
      <rPr>
        <sz val="9"/>
        <color rgb="FF303030"/>
        <rFont val="Arial"/>
        <family val="0"/>
        <charset val="1"/>
      </rPr>
      <t xml:space="preserve">$10.30–10.80B</t>
    </r>
    <r>
      <rPr>
        <sz val="9"/>
        <color rgb="FF303030"/>
        <rFont val="Noto Sans CJK SC"/>
        <family val="2"/>
      </rPr>
      <t xml:space="preserve">）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</si>
  <si>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2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FY28 </t>
    </r>
    <r>
      <rPr>
        <sz val="9"/>
        <color rgb="FF303030"/>
        <rFont val="Noto Sans CJK SC"/>
        <family val="2"/>
      </rPr>
      <t xml:space="preserve">收入 −</t>
    </r>
    <r>
      <rPr>
        <sz val="9"/>
        <color rgb="FF303030"/>
        <rFont val="Arial"/>
        <family val="0"/>
        <charset val="1"/>
      </rPr>
      <t xml:space="preserve">18%</t>
    </r>
    <r>
      <rPr>
        <sz val="9"/>
        <color rgb="FF303030"/>
        <rFont val="Noto Sans CJK SC"/>
        <family val="2"/>
      </rPr>
      <t xml:space="preserve">：一次温和的库存与价格修正，而非崩塌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</si>
  <si>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3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FY29–FY32 </t>
    </r>
    <r>
      <rPr>
        <sz val="9"/>
        <color rgb="FF303030"/>
        <rFont val="Noto Sans CJK SC"/>
        <family val="2"/>
      </rPr>
      <t xml:space="preserve">收入回到中双位数增长，与管理层的 </t>
    </r>
    <r>
      <rPr>
        <sz val="9"/>
        <color rgb="FF303030"/>
        <rFont val="Arial"/>
        <family val="0"/>
        <charset val="1"/>
      </rPr>
      <t xml:space="preserve">bit </t>
    </r>
    <r>
      <rPr>
        <sz val="9"/>
        <color rgb="FF303030"/>
        <rFont val="Noto Sans CJK SC"/>
        <family val="2"/>
      </rPr>
      <t xml:space="preserve">增长口径一致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</si>
  <si>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4</t>
    </r>
    <r>
      <rPr>
        <sz val="9"/>
        <color rgb="FF303030"/>
        <rFont val="Noto Sans CJK SC"/>
        <family val="2"/>
      </rPr>
      <t xml:space="preserve">．终局毛利率 </t>
    </r>
    <r>
      <rPr>
        <sz val="9"/>
        <color rgb="FF303030"/>
        <rFont val="Arial"/>
        <family val="0"/>
        <charset val="1"/>
      </rPr>
      <t xml:space="preserve">68%</t>
    </r>
    <r>
      <rPr>
        <sz val="9"/>
        <color rgb="FF303030"/>
        <rFont val="Noto Sans CJK SC"/>
        <family val="2"/>
      </rPr>
      <t xml:space="preserve">，显著高于分拆前的 </t>
    </r>
    <r>
      <rPr>
        <sz val="9"/>
        <color rgb="FF303030"/>
        <rFont val="Arial"/>
        <family val="0"/>
        <charset val="1"/>
      </rPr>
      <t xml:space="preserve">30%</t>
    </r>
    <r>
      <rPr>
        <sz val="9"/>
        <color rgb="FF303030"/>
        <rFont val="Noto Sans CJK SC"/>
        <family val="2"/>
      </rPr>
      <t xml:space="preserve">，但低于管理层的 </t>
    </r>
    <r>
      <rPr>
        <sz val="9"/>
        <color rgb="FF303030"/>
        <rFont val="Arial"/>
        <family val="0"/>
        <charset val="1"/>
      </rPr>
      <t xml:space="preserve">80%</t>
    </r>
  </si>
  <si>
    <r>
      <rPr>
        <b val="true"/>
        <sz val="9"/>
        <color rgb="FF16305B"/>
        <rFont val="Arial"/>
        <family val="0"/>
        <charset val="1"/>
      </rPr>
      <t xml:space="preserve">$41.9B</t>
    </r>
    <r>
      <rPr>
        <b val="true"/>
        <sz val="9"/>
        <color rgb="FF16305B"/>
        <rFont val="Noto Sans CJK SC"/>
        <family val="2"/>
      </rPr>
      <t xml:space="preserve">（</t>
    </r>
    <r>
      <rPr>
        <b val="true"/>
        <sz val="9"/>
        <color rgb="FF16305B"/>
        <rFont val="Arial"/>
        <family val="0"/>
        <charset val="1"/>
      </rPr>
      <t xml:space="preserve">Q2 </t>
    </r>
    <r>
      <rPr>
        <b val="true"/>
        <sz val="9"/>
        <color rgb="FF16305B"/>
        <rFont val="Noto Sans CJK SC"/>
        <family val="2"/>
      </rPr>
      <t xml:space="preserve">见顶后回落）</t>
    </r>
  </si>
  <si>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全年 </t>
    </r>
    <r>
      <rPr>
        <sz val="8"/>
        <color rgb="FF404040"/>
        <rFont val="Arial"/>
        <family val="0"/>
        <charset val="1"/>
      </rPr>
      <t xml:space="preserve">$20.2B</t>
    </r>
    <r>
      <rPr>
        <sz val="8"/>
        <color rgb="FF404040"/>
        <rFont val="Noto Sans CJK SC"/>
        <family val="2"/>
      </rPr>
      <t xml:space="preserve">；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年化 </t>
    </r>
    <r>
      <rPr>
        <sz val="8"/>
        <color rgb="FF404040"/>
        <rFont val="Arial"/>
        <family val="0"/>
        <charset val="1"/>
      </rPr>
      <t xml:space="preserve">$35.9B</t>
    </r>
  </si>
  <si>
    <r>
      <rPr>
        <sz val="8"/>
        <color rgb="FF303030"/>
        <rFont val="Noto Sans CJK SC"/>
        <family val="2"/>
      </rPr>
      <t xml:space="preserve">起点用公司 </t>
    </r>
    <r>
      <rPr>
        <sz val="8"/>
        <color rgb="FF303030"/>
        <rFont val="Arial"/>
        <family val="0"/>
        <charset val="1"/>
      </rPr>
      <t xml:space="preserve">FY27 Q1 </t>
    </r>
    <r>
      <rPr>
        <sz val="8"/>
        <color rgb="FF303030"/>
        <rFont val="Noto Sans CJK SC"/>
        <family val="2"/>
      </rPr>
      <t xml:space="preserve">指引中值 </t>
    </r>
    <r>
      <rPr>
        <sz val="8"/>
        <color rgb="FF303030"/>
        <rFont val="Arial"/>
        <family val="0"/>
        <charset val="1"/>
      </rPr>
      <t xml:space="preserve">$10.55B</t>
    </r>
    <r>
      <rPr>
        <sz val="8"/>
        <color rgb="FF303030"/>
        <rFont val="Noto Sans CJK SC"/>
        <family val="2"/>
      </rPr>
      <t xml:space="preserve">。注意该指引低于卖方一致预期的 </t>
    </r>
    <r>
      <rPr>
        <sz val="8"/>
        <color rgb="FF303030"/>
        <rFont val="Arial"/>
        <family val="0"/>
        <charset val="1"/>
      </rPr>
      <t xml:space="preserve">$11.16B</t>
    </r>
    <r>
      <rPr>
        <sz val="8"/>
        <color rgb="FF303030"/>
        <rFont val="Noto Sans CJK SC"/>
        <family val="2"/>
      </rPr>
      <t xml:space="preserve">，公布当日股价跌 </t>
    </r>
    <r>
      <rPr>
        <sz val="8"/>
        <color rgb="FF303030"/>
        <rFont val="Arial"/>
        <family val="0"/>
        <charset val="1"/>
      </rPr>
      <t xml:space="preserve">5%——</t>
    </r>
    <r>
      <rPr>
        <sz val="8"/>
        <color rgb="FF303030"/>
        <rFont val="Noto Sans CJK SC"/>
        <family val="2"/>
      </rPr>
      <t xml:space="preserve">说明市场预期比公司自己的指引更乐观。本情形的 </t>
    </r>
    <r>
      <rPr>
        <sz val="8"/>
        <color rgb="FF303030"/>
        <rFont val="Arial"/>
        <family val="0"/>
        <charset val="1"/>
      </rPr>
      <t xml:space="preserve">FY27 </t>
    </r>
    <r>
      <rPr>
        <sz val="8"/>
        <color rgb="FF303030"/>
        <rFont val="Noto Sans CJK SC"/>
        <family val="2"/>
      </rPr>
      <t xml:space="preserve">全年 </t>
    </r>
    <r>
      <rPr>
        <sz val="8"/>
        <color rgb="FF303030"/>
        <rFont val="Arial"/>
        <family val="0"/>
        <charset val="1"/>
      </rPr>
      <t xml:space="preserve">$41.9B </t>
    </r>
    <r>
      <rPr>
        <sz val="8"/>
        <color rgb="FF303030"/>
        <rFont val="Noto Sans CJK SC"/>
        <family val="2"/>
      </rPr>
      <t xml:space="preserve">低于「</t>
    </r>
    <r>
      <rPr>
        <sz val="8"/>
        <color rgb="FF303030"/>
        <rFont val="Arial"/>
        <family val="0"/>
        <charset val="1"/>
      </rPr>
      <t xml:space="preserve">Q1 </t>
    </r>
    <r>
      <rPr>
        <sz val="8"/>
        <color rgb="FF303030"/>
        <rFont val="Noto Sans CJK SC"/>
        <family val="2"/>
      </rPr>
      <t xml:space="preserve">指引年化」的 </t>
    </r>
    <r>
      <rPr>
        <sz val="8"/>
        <color rgb="FF303030"/>
        <rFont val="Arial"/>
        <family val="0"/>
        <charset val="1"/>
      </rPr>
      <t xml:space="preserve">$42.2B</t>
    </r>
    <r>
      <rPr>
        <sz val="8"/>
        <color rgb="FF303030"/>
        <rFont val="Noto Sans CJK SC"/>
        <family val="2"/>
      </rPr>
      <t xml:space="preserve">，属于偏谨慎的设定。</t>
    </r>
  </si>
  <si>
    <r>
      <rPr>
        <sz val="8"/>
        <color rgb="FFB3202C"/>
        <rFont val="Arial"/>
        <family val="0"/>
        <charset val="1"/>
      </rPr>
      <t xml:space="preserve">FY27 Q2 </t>
    </r>
    <r>
      <rPr>
        <sz val="8"/>
        <color rgb="FFB3202C"/>
        <rFont val="Noto Sans CJK SC"/>
        <family val="2"/>
      </rPr>
      <t xml:space="preserve">指引若超过 </t>
    </r>
    <r>
      <rPr>
        <sz val="8"/>
        <color rgb="FFB3202C"/>
        <rFont val="Arial"/>
        <family val="0"/>
        <charset val="1"/>
      </rPr>
      <t xml:space="preserve">$12B</t>
    </r>
    <r>
      <rPr>
        <sz val="8"/>
        <color rgb="FFB3202C"/>
        <rFont val="Noto Sans CJK SC"/>
        <family val="2"/>
      </rPr>
      <t xml:space="preserve">，说明本情形的见顶时点过早</t>
    </r>
  </si>
  <si>
    <r>
      <rPr>
        <b val="true"/>
        <sz val="9"/>
        <color rgb="FF16305B"/>
        <rFont val="Noto Sans CJK SC"/>
        <family val="2"/>
      </rPr>
      <t xml:space="preserve">终局毛利率 </t>
    </r>
    <r>
      <rPr>
        <b val="true"/>
        <sz val="9"/>
        <color rgb="FF16305B"/>
        <rFont val="Arial"/>
        <family val="0"/>
        <charset val="1"/>
      </rPr>
      <t xml:space="preserve">68%</t>
    </r>
  </si>
  <si>
    <t xml:space="preserve">FY32 = 68%</t>
  </si>
  <si>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峰值 </t>
    </r>
    <r>
      <rPr>
        <sz val="8"/>
        <color rgb="FF404040"/>
        <rFont val="Arial"/>
        <family val="0"/>
        <charset val="1"/>
      </rPr>
      <t xml:space="preserve">84.6%</t>
    </r>
    <r>
      <rPr>
        <sz val="8"/>
        <color rgb="FF404040"/>
        <rFont val="Noto Sans CJK SC"/>
        <family val="2"/>
      </rPr>
      <t xml:space="preserve">；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全年 </t>
    </r>
    <r>
      <rPr>
        <sz val="8"/>
        <color rgb="FF404040"/>
        <rFont val="Arial"/>
        <family val="0"/>
        <charset val="1"/>
      </rPr>
      <t xml:space="preserve">71.5%</t>
    </r>
  </si>
  <si>
    <r>
      <rPr>
        <sz val="8"/>
        <color rgb="FF303030"/>
        <rFont val="Noto Sans CJK SC"/>
        <family val="2"/>
      </rPr>
      <t xml:space="preserve">介于管理层长期目标 </t>
    </r>
    <r>
      <rPr>
        <sz val="8"/>
        <color rgb="FF303030"/>
        <rFont val="Arial"/>
        <family val="0"/>
        <charset val="1"/>
      </rPr>
      <t xml:space="preserve">80% </t>
    </r>
    <r>
      <rPr>
        <sz val="8"/>
        <color rgb="FF303030"/>
        <rFont val="Noto Sans CJK SC"/>
        <family val="2"/>
      </rPr>
      <t xml:space="preserve">与历史中枢 </t>
    </r>
    <r>
      <rPr>
        <sz val="8"/>
        <color rgb="FF303030"/>
        <rFont val="Arial"/>
        <family val="0"/>
        <charset val="1"/>
      </rPr>
      <t xml:space="preserve">30% </t>
    </r>
    <r>
      <rPr>
        <sz val="8"/>
        <color rgb="FF303030"/>
        <rFont val="Noto Sans CJK SC"/>
        <family val="2"/>
      </rPr>
      <t xml:space="preserve">之间。支撑理由是 </t>
    </r>
    <r>
      <rPr>
        <sz val="8"/>
        <color rgb="FF303030"/>
        <rFont val="Arial"/>
        <family val="0"/>
        <charset val="1"/>
      </rPr>
      <t xml:space="preserve">NBM </t>
    </r>
    <r>
      <rPr>
        <sz val="8"/>
        <color rgb="FF303030"/>
        <rFont val="Noto Sans CJK SC"/>
        <family val="2"/>
      </rPr>
      <t xml:space="preserve">合约：公司已签署超过 </t>
    </r>
    <r>
      <rPr>
        <sz val="8"/>
        <color rgb="FF303030"/>
        <rFont val="Arial"/>
        <family val="0"/>
        <charset val="1"/>
      </rPr>
      <t xml:space="preserve">$42B </t>
    </r>
    <r>
      <rPr>
        <sz val="8"/>
        <color rgb="FF303030"/>
        <rFont val="Noto Sans CJK SC"/>
        <family val="2"/>
      </rPr>
      <t xml:space="preserve">含最低收入保证的多年期协议，管理层预计 </t>
    </r>
    <r>
      <rPr>
        <sz val="8"/>
        <color rgb="FF303030"/>
        <rFont val="Arial"/>
        <family val="0"/>
        <charset val="1"/>
      </rPr>
      <t xml:space="preserve">NBM </t>
    </r>
    <r>
      <rPr>
        <sz val="8"/>
        <color rgb="FF303030"/>
        <rFont val="Noto Sans CJK SC"/>
        <family val="2"/>
      </rPr>
      <t xml:space="preserve">将覆盖 </t>
    </r>
    <r>
      <rPr>
        <sz val="8"/>
        <color rgb="FF303030"/>
        <rFont val="Arial"/>
        <family val="0"/>
        <charset val="1"/>
      </rPr>
      <t xml:space="preserve">FY2027 </t>
    </r>
    <r>
      <rPr>
        <sz val="8"/>
        <color rgb="FF303030"/>
        <rFont val="Noto Sans CJK SC"/>
        <family val="2"/>
      </rPr>
      <t xml:space="preserve">一半以上的 </t>
    </r>
    <r>
      <rPr>
        <sz val="8"/>
        <color rgb="FF303030"/>
        <rFont val="Arial"/>
        <family val="0"/>
        <charset val="1"/>
      </rPr>
      <t xml:space="preserve">bit——</t>
    </r>
    <r>
      <rPr>
        <sz val="8"/>
        <color rgb="FF303030"/>
        <rFont val="Noto Sans CJK SC"/>
        <family val="2"/>
      </rPr>
      <t xml:space="preserve">这把定价从现货市场部分转成了合约市场。但本情形不接受「</t>
    </r>
    <r>
      <rPr>
        <sz val="8"/>
        <color rgb="FF303030"/>
        <rFont val="Arial"/>
        <family val="0"/>
        <charset val="1"/>
      </rPr>
      <t xml:space="preserve">80% </t>
    </r>
    <r>
      <rPr>
        <sz val="8"/>
        <color rgb="FF303030"/>
        <rFont val="Noto Sans CJK SC"/>
        <family val="2"/>
      </rPr>
      <t xml:space="preserve">可以维持到永续」。</t>
    </r>
  </si>
  <si>
    <r>
      <rPr>
        <sz val="8"/>
        <color rgb="FFB3202C"/>
        <rFont val="Arial"/>
        <family val="0"/>
        <charset val="1"/>
      </rPr>
      <t xml:space="preserve">NBM </t>
    </r>
    <r>
      <rPr>
        <sz val="8"/>
        <color rgb="FFB3202C"/>
        <rFont val="Noto Sans CJK SC"/>
        <family val="2"/>
      </rPr>
      <t xml:space="preserve">覆盖率若低于管理层指引的 </t>
    </r>
    <r>
      <rPr>
        <sz val="8"/>
        <color rgb="FFB3202C"/>
        <rFont val="Arial"/>
        <family val="0"/>
        <charset val="1"/>
      </rPr>
      <t xml:space="preserve">50%</t>
    </r>
    <r>
      <rPr>
        <sz val="8"/>
        <color rgb="FFB3202C"/>
        <rFont val="Noto Sans CJK SC"/>
        <family val="2"/>
      </rPr>
      <t xml:space="preserve">；或 </t>
    </r>
    <r>
      <rPr>
        <sz val="8"/>
        <color rgb="FFB3202C"/>
        <rFont val="Arial"/>
        <family val="0"/>
        <charset val="1"/>
      </rPr>
      <t xml:space="preserve">NBM </t>
    </r>
    <r>
      <rPr>
        <sz val="8"/>
        <color rgb="FFB3202C"/>
        <rFont val="Noto Sans CJK SC"/>
        <family val="2"/>
      </rPr>
      <t xml:space="preserve">续约价格显著低于现价</t>
    </r>
  </si>
  <si>
    <t xml:space="preserve">WACC 12.0%</t>
  </si>
  <si>
    <r>
      <rPr>
        <b val="true"/>
        <sz val="9"/>
        <color rgb="FF16305B"/>
        <rFont val="Noto Sans CJK SC"/>
        <family val="2"/>
      </rPr>
      <t xml:space="preserve">隐含 </t>
    </r>
    <r>
      <rPr>
        <b val="true"/>
        <sz val="9"/>
        <color rgb="FF16305B"/>
        <rFont val="Arial"/>
        <family val="0"/>
        <charset val="1"/>
      </rPr>
      <t xml:space="preserve">β ≈ 1.56</t>
    </r>
  </si>
  <si>
    <r>
      <rPr>
        <sz val="8"/>
        <color rgb="FF303030"/>
        <rFont val="Noto Sans CJK SC"/>
        <family val="2"/>
      </rPr>
      <t xml:space="preserve">美光等成熟存储股的 </t>
    </r>
    <r>
      <rPr>
        <sz val="8"/>
        <color rgb="FF303030"/>
        <rFont val="Arial"/>
        <family val="0"/>
        <charset val="1"/>
      </rPr>
      <t xml:space="preserve">β </t>
    </r>
    <r>
      <rPr>
        <sz val="8"/>
        <color rgb="FF303030"/>
        <rFont val="Noto Sans CJK SC"/>
        <family val="2"/>
      </rPr>
      <t xml:space="preserve">通常在 </t>
    </r>
    <r>
      <rPr>
        <sz val="8"/>
        <color rgb="FF303030"/>
        <rFont val="Arial"/>
        <family val="0"/>
        <charset val="1"/>
      </rPr>
      <t xml:space="preserve">1.3–1.6</t>
    </r>
    <r>
      <rPr>
        <sz val="8"/>
        <color rgb="FF303030"/>
        <rFont val="Noto Sans CJK SC"/>
        <family val="2"/>
      </rPr>
      <t xml:space="preserve">。</t>
    </r>
    <r>
      <rPr>
        <sz val="8"/>
        <color rgb="FF303030"/>
        <rFont val="Arial"/>
        <family val="0"/>
        <charset val="1"/>
      </rPr>
      <t xml:space="preserve">SNDK </t>
    </r>
    <r>
      <rPr>
        <sz val="8"/>
        <color rgb="FF303030"/>
        <rFont val="Noto Sans CJK SC"/>
        <family val="2"/>
      </rPr>
      <t xml:space="preserve">因规模更小、产品更单一而略高。</t>
    </r>
  </si>
  <si>
    <r>
      <rPr>
        <sz val="8"/>
        <color rgb="FFB3202C"/>
        <rFont val="Arial"/>
        <family val="0"/>
        <charset val="1"/>
      </rPr>
      <t xml:space="preserve">β </t>
    </r>
    <r>
      <rPr>
        <sz val="8"/>
        <color rgb="FFB3202C"/>
        <rFont val="Noto Sans CJK SC"/>
        <family val="2"/>
      </rPr>
      <t xml:space="preserve">可用后（上市满两年）与回归值对照</t>
    </r>
  </si>
  <si>
    <r>
      <rPr>
        <b val="true"/>
        <sz val="9"/>
        <color rgb="FF16305B"/>
        <rFont val="Noto Sans CJK SC"/>
        <family val="2"/>
      </rPr>
      <t xml:space="preserve">资本强度 </t>
    </r>
    <r>
      <rPr>
        <b val="true"/>
        <sz val="9"/>
        <color rgb="FF16305B"/>
        <rFont val="Arial"/>
        <family val="0"/>
        <charset val="1"/>
      </rPr>
      <t xml:space="preserve">5.0%</t>
    </r>
  </si>
  <si>
    <r>
      <rPr>
        <b val="true"/>
        <sz val="9"/>
        <color rgb="FF16305B"/>
        <rFont val="Noto Sans CJK SC"/>
        <family val="2"/>
      </rPr>
      <t xml:space="preserve">自有 </t>
    </r>
    <r>
      <rPr>
        <b val="true"/>
        <sz val="9"/>
        <color rgb="FF16305B"/>
        <rFont val="Arial"/>
        <family val="0"/>
        <charset val="1"/>
      </rPr>
      <t xml:space="preserve">1.8% + FV 3.2%</t>
    </r>
  </si>
  <si>
    <r>
      <rPr>
        <sz val="8"/>
        <color rgb="FF303030"/>
        <rFont val="Noto Sans CJK SC"/>
        <family val="2"/>
      </rPr>
      <t xml:space="preserve">公司在 </t>
    </r>
    <r>
      <rPr>
        <sz val="8"/>
        <color rgb="FF303030"/>
        <rFont val="Arial"/>
        <family val="0"/>
        <charset val="1"/>
      </rPr>
      <t xml:space="preserve">FY26 Q4 </t>
    </r>
    <r>
      <rPr>
        <sz val="8"/>
        <color rgb="FF303030"/>
        <rFont val="Noto Sans CJK SC"/>
        <family val="2"/>
      </rPr>
      <t xml:space="preserve">电话会明确表示为 </t>
    </r>
    <r>
      <rPr>
        <sz val="8"/>
        <color rgb="FF303030"/>
        <rFont val="Arial"/>
        <family val="0"/>
        <charset val="1"/>
      </rPr>
      <t xml:space="preserve">BiCS8/BiCS10 </t>
    </r>
    <r>
      <rPr>
        <sz val="8"/>
        <color rgb="FF303030"/>
        <rFont val="Noto Sans CJK SC"/>
        <family val="2"/>
      </rPr>
      <t xml:space="preserve">提高资本开支；铠侠与 </t>
    </r>
    <r>
      <rPr>
        <sz val="8"/>
        <color rgb="FF303030"/>
        <rFont val="Arial"/>
        <family val="0"/>
        <charset val="1"/>
      </rPr>
      <t xml:space="preserve">SNDK </t>
    </r>
    <r>
      <rPr>
        <sz val="8"/>
        <color rgb="FF303030"/>
        <rFont val="Noto Sans CJK SC"/>
        <family val="2"/>
      </rPr>
      <t xml:space="preserve">已在北上 </t>
    </r>
    <r>
      <rPr>
        <sz val="8"/>
        <color rgb="FF303030"/>
        <rFont val="Arial"/>
        <family val="0"/>
        <charset val="1"/>
      </rPr>
      <t xml:space="preserve">K2 </t>
    </r>
    <r>
      <rPr>
        <sz val="8"/>
        <color rgb="FF303030"/>
        <rFont val="Noto Sans CJK SC"/>
        <family val="2"/>
      </rPr>
      <t xml:space="preserve">厂启动 </t>
    </r>
    <r>
      <rPr>
        <sz val="8"/>
        <color rgb="FF303030"/>
        <rFont val="Arial"/>
        <family val="0"/>
        <charset val="1"/>
      </rPr>
      <t xml:space="preserve">10 </t>
    </r>
    <r>
      <rPr>
        <sz val="8"/>
        <color rgb="FF303030"/>
        <rFont val="Noto Sans CJK SC"/>
        <family val="2"/>
      </rPr>
      <t xml:space="preserve">代产品量产，并把合资框架延长至 </t>
    </r>
    <r>
      <rPr>
        <sz val="8"/>
        <color rgb="FF303030"/>
        <rFont val="Arial"/>
        <family val="0"/>
        <charset val="1"/>
      </rPr>
      <t xml:space="preserve">2034 </t>
    </r>
    <r>
      <rPr>
        <sz val="8"/>
        <color rgb="FF303030"/>
        <rFont val="Noto Sans CJK SC"/>
        <family val="2"/>
      </rPr>
      <t xml:space="preserve">年 </t>
    </r>
    <r>
      <rPr>
        <sz val="8"/>
        <color rgb="FF303030"/>
        <rFont val="Arial"/>
        <family val="0"/>
        <charset val="1"/>
      </rPr>
      <t xml:space="preserve">12 </t>
    </r>
    <r>
      <rPr>
        <sz val="8"/>
        <color rgb="FF303030"/>
        <rFont val="Noto Sans CJK SC"/>
        <family val="2"/>
      </rPr>
      <t xml:space="preserve">月。历史 </t>
    </r>
    <r>
      <rPr>
        <sz val="8"/>
        <color rgb="FF303030"/>
        <rFont val="Arial"/>
        <family val="0"/>
        <charset val="1"/>
      </rPr>
      <t xml:space="preserve">2.2% </t>
    </r>
    <r>
      <rPr>
        <sz val="8"/>
        <color rgb="FF303030"/>
        <rFont val="Noto Sans CJK SC"/>
        <family val="2"/>
      </rPr>
      <t xml:space="preserve">不具外推性。</t>
    </r>
  </si>
  <si>
    <r>
      <rPr>
        <sz val="8"/>
        <color rgb="FFB3202C"/>
        <rFont val="Noto Sans CJK SC"/>
        <family val="2"/>
      </rPr>
      <t xml:space="preserve">公司披露具体的多年资本开支计划；</t>
    </r>
    <r>
      <rPr>
        <sz val="8"/>
        <color rgb="FFB3202C"/>
        <rFont val="Arial"/>
        <family val="0"/>
        <charset val="1"/>
      </rPr>
      <t xml:space="preserve">Flash Ventures </t>
    </r>
    <r>
      <rPr>
        <sz val="8"/>
        <color rgb="FFB3202C"/>
        <rFont val="Noto Sans CJK SC"/>
        <family val="2"/>
      </rPr>
      <t xml:space="preserve">出资节奏变化</t>
    </r>
  </si>
  <si>
    <r>
      <rPr>
        <b val="true"/>
        <sz val="9"/>
        <color rgb="FF16305B"/>
        <rFont val="Noto Sans CJK SC"/>
        <family val="2"/>
      </rPr>
      <t xml:space="preserve">营运资本比 </t>
    </r>
    <r>
      <rPr>
        <b val="true"/>
        <sz val="9"/>
        <color rgb="FF16305B"/>
        <rFont val="Arial"/>
        <family val="0"/>
        <charset val="1"/>
      </rPr>
      <t xml:space="preserve">18%</t>
    </r>
  </si>
  <si>
    <r>
      <rPr>
        <b val="true"/>
        <sz val="9"/>
        <color rgb="FF16305B"/>
        <rFont val="Noto Sans CJK SC"/>
        <family val="2"/>
      </rPr>
      <t xml:space="preserve">占年化收入 </t>
    </r>
    <r>
      <rPr>
        <b val="true"/>
        <sz val="9"/>
        <color rgb="FF16305B"/>
        <rFont val="Arial"/>
        <family val="0"/>
        <charset val="1"/>
      </rPr>
      <t xml:space="preserve">18%</t>
    </r>
  </si>
  <si>
    <r>
      <rPr>
        <sz val="8"/>
        <color rgb="FF303030"/>
        <rFont val="Noto Sans CJK SC"/>
        <family val="2"/>
      </rPr>
      <t xml:space="preserve">直接取近三季度的中枢。★ 本模型未把 </t>
    </r>
    <r>
      <rPr>
        <sz val="8"/>
        <color rgb="FF303030"/>
        <rFont val="Arial"/>
        <family val="0"/>
        <charset val="1"/>
      </rPr>
      <t xml:space="preserve">NBM </t>
    </r>
    <r>
      <rPr>
        <sz val="8"/>
        <color rgb="FF303030"/>
        <rFont val="Noto Sans CJK SC"/>
        <family val="2"/>
      </rPr>
      <t xml:space="preserve">客户预付款（</t>
    </r>
    <r>
      <rPr>
        <sz val="8"/>
        <color rgb="FF303030"/>
        <rFont val="Arial"/>
        <family val="0"/>
        <charset val="1"/>
      </rPr>
      <t xml:space="preserve">FY26 </t>
    </r>
    <r>
      <rPr>
        <sz val="8"/>
        <color rgb="FF303030"/>
        <rFont val="Noto Sans CJK SC"/>
        <family val="2"/>
      </rPr>
      <t xml:space="preserve">末 </t>
    </r>
    <r>
      <rPr>
        <sz val="8"/>
        <color rgb="FF303030"/>
        <rFont val="Arial"/>
        <family val="0"/>
        <charset val="1"/>
      </rPr>
      <t xml:space="preserve">$2,742M</t>
    </r>
    <r>
      <rPr>
        <sz val="8"/>
        <color rgb="FF303030"/>
        <rFont val="Noto Sans CJK SC"/>
        <family val="2"/>
      </rPr>
      <t xml:space="preserve">）计入抵减——那是保守处理，因为预付款会随交付释放。</t>
    </r>
  </si>
  <si>
    <r>
      <rPr>
        <sz val="8"/>
        <color rgb="FFB3202C"/>
        <rFont val="Noto Sans CJK SC"/>
        <family val="2"/>
      </rPr>
      <t xml:space="preserve">应收账款周转天数偏离 </t>
    </r>
    <r>
      <rPr>
        <sz val="8"/>
        <color rgb="FFB3202C"/>
        <rFont val="Arial"/>
        <family val="0"/>
        <charset val="1"/>
      </rPr>
      <t xml:space="preserve">40–50 </t>
    </r>
    <r>
      <rPr>
        <sz val="8"/>
        <color rgb="FFB3202C"/>
        <rFont val="Noto Sans CJK SC"/>
        <family val="2"/>
      </rPr>
      <t xml:space="preserve">天区间；合同负债余额大幅波动</t>
    </r>
  </si>
  <si>
    <r>
      <rPr>
        <b val="true"/>
        <sz val="11"/>
        <color rgb="FFFFFFFF"/>
        <rFont val="Arial"/>
        <family val="0"/>
        <charset val="1"/>
      </rPr>
      <t xml:space="preserve">09  </t>
    </r>
    <r>
      <rPr>
        <b val="true"/>
        <sz val="11"/>
        <color rgb="FFFFFFFF"/>
        <rFont val="Noto Sans CJK SC"/>
        <family val="2"/>
      </rPr>
      <t xml:space="preserve">参数控制台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拖动滑标，上方全表与下方全部图表实时重算（基准情形）</t>
    </r>
  </si>
  <si>
    <r>
      <rPr>
        <b val="true"/>
        <sz val="16"/>
        <color rgb="FFFFFFFF"/>
        <rFont val="Arial"/>
        <family val="0"/>
        <charset val="1"/>
      </rPr>
      <t xml:space="preserve">BULL · SNDK </t>
    </r>
    <r>
      <rPr>
        <b val="true"/>
        <sz val="16"/>
        <color rgb="FFFFFFFF"/>
        <rFont val="Noto Sans CJK SC"/>
        <family val="2"/>
      </rPr>
      <t xml:space="preserve">现金流折现模型 —— 乐观情形</t>
    </r>
  </si>
  <si>
    <r>
      <rPr>
        <sz val="9"/>
        <color rgb="FF3D3D3D"/>
        <rFont val="Noto Sans CJK SC"/>
        <family val="2"/>
      </rPr>
      <t xml:space="preserve">直接采用公司 </t>
    </r>
    <r>
      <rPr>
        <sz val="9"/>
        <color rgb="FF3D3D3D"/>
        <rFont val="Arial"/>
        <family val="0"/>
        <charset val="1"/>
      </rPr>
      <t xml:space="preserve">2026 </t>
    </r>
    <r>
      <rPr>
        <sz val="9"/>
        <color rgb="FF3D3D3D"/>
        <rFont val="Noto Sans CJK SC"/>
        <family val="2"/>
      </rPr>
      <t xml:space="preserve">投资者日给出的 </t>
    </r>
    <r>
      <rPr>
        <sz val="9"/>
        <color rgb="FF3D3D3D"/>
        <rFont val="Arial"/>
        <family val="0"/>
        <charset val="1"/>
      </rPr>
      <t xml:space="preserve">FY2028–FY2030 </t>
    </r>
    <r>
      <rPr>
        <sz val="9"/>
        <color rgb="FF3D3D3D"/>
        <rFont val="Noto Sans CJK SC"/>
        <family val="2"/>
      </rPr>
      <t xml:space="preserve">长期框架：收入中高双位数增长、非 </t>
    </r>
    <r>
      <rPr>
        <sz val="9"/>
        <color rgb="FF3D3D3D"/>
        <rFont val="Arial"/>
        <family val="0"/>
        <charset val="1"/>
      </rPr>
      <t xml:space="preserve">GAAP </t>
    </r>
    <r>
      <rPr>
        <sz val="9"/>
        <color rgb="FF3D3D3D"/>
        <rFont val="Noto Sans CJK SC"/>
        <family val="2"/>
      </rPr>
      <t xml:space="preserve">毛利率约 </t>
    </r>
    <r>
      <rPr>
        <sz val="9"/>
        <color rgb="FF3D3D3D"/>
        <rFont val="Arial"/>
        <family val="0"/>
        <charset val="1"/>
      </rPr>
      <t xml:space="preserve">80%</t>
    </r>
    <r>
      <rPr>
        <sz val="9"/>
        <color rgb="FF3D3D3D"/>
        <rFont val="Noto Sans CJK SC"/>
        <family val="2"/>
      </rPr>
      <t xml:space="preserve">、营业利润率约 </t>
    </r>
    <r>
      <rPr>
        <sz val="9"/>
        <color rgb="FF3D3D3D"/>
        <rFont val="Arial"/>
        <family val="0"/>
        <charset val="1"/>
      </rPr>
      <t xml:space="preserve">75%</t>
    </r>
    <r>
      <rPr>
        <sz val="9"/>
        <color rgb="FF3D3D3D"/>
        <rFont val="Noto Sans CJK SC"/>
        <family val="2"/>
      </rPr>
      <t xml:space="preserve">、费用率约 </t>
    </r>
    <r>
      <rPr>
        <sz val="9"/>
        <color rgb="FF3D3D3D"/>
        <rFont val="Arial"/>
        <family val="0"/>
        <charset val="1"/>
      </rPr>
      <t xml:space="preserve">5%</t>
    </r>
    <r>
      <rPr>
        <sz val="9"/>
        <color rgb="FF3D3D3D"/>
        <rFont val="Noto Sans CJK SC"/>
        <family val="2"/>
      </rPr>
      <t xml:space="preserve">、调整后自由现金流率约 </t>
    </r>
    <r>
      <rPr>
        <sz val="9"/>
        <color rgb="FF3D3D3D"/>
        <rFont val="Arial"/>
        <family val="0"/>
        <charset val="1"/>
      </rPr>
      <t xml:space="preserve">50%</t>
    </r>
    <r>
      <rPr>
        <sz val="9"/>
        <color rgb="FF3D3D3D"/>
        <rFont val="Noto Sans CJK SC"/>
        <family val="2"/>
      </rPr>
      <t xml:space="preserve">。背后的逻辑是 </t>
    </r>
    <r>
      <rPr>
        <sz val="9"/>
        <color rgb="FF3D3D3D"/>
        <rFont val="Arial"/>
        <family val="0"/>
        <charset val="1"/>
      </rPr>
      <t xml:space="preserve">NBM </t>
    </r>
    <r>
      <rPr>
        <sz val="9"/>
        <color rgb="FF3D3D3D"/>
        <rFont val="Noto Sans CJK SC"/>
        <family val="2"/>
      </rPr>
      <t xml:space="preserve">长约锁定了 </t>
    </r>
    <r>
      <rPr>
        <sz val="9"/>
        <color rgb="FF3D3D3D"/>
        <rFont val="Arial"/>
        <family val="0"/>
        <charset val="1"/>
      </rPr>
      <t xml:space="preserve">FY28 </t>
    </r>
    <r>
      <rPr>
        <sz val="9"/>
        <color rgb="FF3D3D3D"/>
        <rFont val="Noto Sans CJK SC"/>
        <family val="2"/>
      </rPr>
      <t xml:space="preserve">三分之二的 </t>
    </r>
    <r>
      <rPr>
        <sz val="9"/>
        <color rgb="FF3D3D3D"/>
        <rFont val="Arial"/>
        <family val="0"/>
        <charset val="1"/>
      </rPr>
      <t xml:space="preserve">bit</t>
    </r>
    <r>
      <rPr>
        <sz val="9"/>
        <color rgb="FF3D3D3D"/>
        <rFont val="Noto Sans CJK SC"/>
        <family val="2"/>
      </rPr>
      <t xml:space="preserve">，把存储从周期股变成了合约制生意。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</si>
  <si>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1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FY27 Q1 </t>
    </r>
    <r>
      <rPr>
        <sz val="9"/>
        <color rgb="FF303030"/>
        <rFont val="Noto Sans CJK SC"/>
        <family val="2"/>
      </rPr>
      <t xml:space="preserve">取指引上沿附近 </t>
    </r>
    <r>
      <rPr>
        <sz val="9"/>
        <color rgb="FF303030"/>
        <rFont val="Arial"/>
        <family val="0"/>
        <charset val="1"/>
      </rPr>
      <t xml:space="preserve">$10.70B</t>
    </r>
    <r>
      <rPr>
        <sz val="9"/>
        <color rgb="FF303030"/>
        <rFont val="Noto Sans CJK SC"/>
        <family val="2"/>
      </rPr>
      <t xml:space="preserve">，其后随数据中心放量继续爬坡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</si>
  <si>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2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FY28–FY30 </t>
    </r>
    <r>
      <rPr>
        <sz val="9"/>
        <color rgb="FF303030"/>
        <rFont val="Noto Sans CJK SC"/>
        <family val="2"/>
      </rPr>
      <t xml:space="preserve">完全对齐投资者日框架：收入 </t>
    </r>
    <r>
      <rPr>
        <sz val="9"/>
        <color rgb="FF303030"/>
        <rFont val="Arial"/>
        <family val="0"/>
        <charset val="1"/>
      </rPr>
      <t xml:space="preserve">+16%~18%</t>
    </r>
    <r>
      <rPr>
        <sz val="9"/>
        <color rgb="FF303030"/>
        <rFont val="Noto Sans CJK SC"/>
        <family val="2"/>
      </rPr>
      <t xml:space="preserve">、毛利率 </t>
    </r>
    <r>
      <rPr>
        <sz val="9"/>
        <color rgb="FF303030"/>
        <rFont val="Arial"/>
        <family val="0"/>
        <charset val="1"/>
      </rPr>
      <t xml:space="preserve">80%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</si>
  <si>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3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NBM </t>
    </r>
    <r>
      <rPr>
        <sz val="9"/>
        <color rgb="FF303030"/>
        <rFont val="Noto Sans CJK SC"/>
        <family val="2"/>
      </rPr>
      <t xml:space="preserve">长约把周期性削平——这是本情形与另外两个情形最根本的分歧点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</si>
  <si>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4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WACC </t>
    </r>
    <r>
      <rPr>
        <sz val="9"/>
        <color rgb="FF303030"/>
        <rFont val="Noto Sans CJK SC"/>
        <family val="2"/>
      </rPr>
      <t xml:space="preserve">降到 </t>
    </r>
    <r>
      <rPr>
        <sz val="9"/>
        <color rgb="FF303030"/>
        <rFont val="Arial"/>
        <family val="0"/>
        <charset val="1"/>
      </rPr>
      <t xml:space="preserve">10.5%</t>
    </r>
    <r>
      <rPr>
        <sz val="9"/>
        <color rgb="FF303030"/>
        <rFont val="Noto Sans CJK SC"/>
        <family val="2"/>
      </rPr>
      <t xml:space="preserve">（现金流可预测性提高），永续增长 </t>
    </r>
    <r>
      <rPr>
        <sz val="9"/>
        <color rgb="FF303030"/>
        <rFont val="Arial"/>
        <family val="0"/>
        <charset val="1"/>
      </rPr>
      <t xml:space="preserve">3.5%</t>
    </r>
  </si>
  <si>
    <r>
      <rPr>
        <b val="true"/>
        <sz val="9"/>
        <color rgb="FF2E7D4F"/>
        <rFont val="Arial"/>
        <family val="0"/>
        <charset val="1"/>
      </rPr>
      <t xml:space="preserve">$49.2B</t>
    </r>
    <r>
      <rPr>
        <b val="true"/>
        <sz val="9"/>
        <color rgb="FF2E7D4F"/>
        <rFont val="Noto Sans CJK SC"/>
        <family val="2"/>
      </rPr>
      <t xml:space="preserve">（逐季爬坡）</t>
    </r>
  </si>
  <si>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年化 </t>
    </r>
    <r>
      <rPr>
        <sz val="8"/>
        <color rgb="FF404040"/>
        <rFont val="Arial"/>
        <family val="0"/>
        <charset val="1"/>
      </rPr>
      <t xml:space="preserve">$35.9B</t>
    </r>
    <r>
      <rPr>
        <sz val="8"/>
        <color rgb="FF404040"/>
        <rFont val="Noto Sans CJK SC"/>
        <family val="2"/>
      </rPr>
      <t xml:space="preserve">；卖方 </t>
    </r>
    <r>
      <rPr>
        <sz val="8"/>
        <color rgb="FF404040"/>
        <rFont val="Arial"/>
        <family val="0"/>
        <charset val="1"/>
      </rPr>
      <t xml:space="preserve">Q1 </t>
    </r>
    <r>
      <rPr>
        <sz val="8"/>
        <color rgb="FF404040"/>
        <rFont val="Noto Sans CJK SC"/>
        <family val="2"/>
      </rPr>
      <t xml:space="preserve">一致预期 </t>
    </r>
    <r>
      <rPr>
        <sz val="8"/>
        <color rgb="FF404040"/>
        <rFont val="Arial"/>
        <family val="0"/>
        <charset val="1"/>
      </rPr>
      <t xml:space="preserve">$11.16B</t>
    </r>
  </si>
  <si>
    <r>
      <rPr>
        <sz val="8"/>
        <color rgb="FF303030"/>
        <rFont val="Noto Sans CJK SC"/>
        <family val="2"/>
      </rPr>
      <t xml:space="preserve">假设公司 </t>
    </r>
    <r>
      <rPr>
        <sz val="8"/>
        <color rgb="FF303030"/>
        <rFont val="Arial"/>
        <family val="0"/>
        <charset val="1"/>
      </rPr>
      <t xml:space="preserve">Q1 </t>
    </r>
    <r>
      <rPr>
        <sz val="8"/>
        <color rgb="FF303030"/>
        <rFont val="Noto Sans CJK SC"/>
        <family val="2"/>
      </rPr>
      <t xml:space="preserve">指引偏保守、实际落在上沿，其后随数据中心放量继续爬坡。公司在投资者日给出闪存 </t>
    </r>
    <r>
      <rPr>
        <sz val="8"/>
        <color rgb="FF303030"/>
        <rFont val="Arial"/>
        <family val="0"/>
        <charset val="1"/>
      </rPr>
      <t xml:space="preserve">TAM </t>
    </r>
    <r>
      <rPr>
        <sz val="8"/>
        <color rgb="FF303030"/>
        <rFont val="Noto Sans CJK SC"/>
        <family val="2"/>
      </rPr>
      <t xml:space="preserve">从 </t>
    </r>
    <r>
      <rPr>
        <sz val="8"/>
        <color rgb="FF303030"/>
        <rFont val="Arial"/>
        <family val="0"/>
        <charset val="1"/>
      </rPr>
      <t xml:space="preserve">2026 </t>
    </r>
    <r>
      <rPr>
        <sz val="8"/>
        <color rgb="FF303030"/>
        <rFont val="Noto Sans CJK SC"/>
        <family val="2"/>
      </rPr>
      <t xml:space="preserve">年 </t>
    </r>
    <r>
      <rPr>
        <sz val="8"/>
        <color rgb="FF303030"/>
        <rFont val="Arial"/>
        <family val="0"/>
        <charset val="1"/>
      </rPr>
      <t xml:space="preserve">$300B </t>
    </r>
    <r>
      <rPr>
        <sz val="8"/>
        <color rgb="FF303030"/>
        <rFont val="Noto Sans CJK SC"/>
        <family val="2"/>
      </rPr>
      <t xml:space="preserve">增至 </t>
    </r>
    <r>
      <rPr>
        <sz val="8"/>
        <color rgb="FF303030"/>
        <rFont val="Arial"/>
        <family val="0"/>
        <charset val="1"/>
      </rPr>
      <t xml:space="preserve">2027 </t>
    </r>
    <r>
      <rPr>
        <sz val="8"/>
        <color rgb="FF303030"/>
        <rFont val="Noto Sans CJK SC"/>
        <family val="2"/>
      </rPr>
      <t xml:space="preserve">年 </t>
    </r>
    <r>
      <rPr>
        <sz val="8"/>
        <color rgb="FF303030"/>
        <rFont val="Arial"/>
        <family val="0"/>
        <charset val="1"/>
      </rPr>
      <t xml:space="preserve">$500B </t>
    </r>
    <r>
      <rPr>
        <sz val="8"/>
        <color rgb="FF303030"/>
        <rFont val="Noto Sans CJK SC"/>
        <family val="2"/>
      </rPr>
      <t xml:space="preserve">的判断，数据中心占 </t>
    </r>
    <r>
      <rPr>
        <sz val="8"/>
        <color rgb="FF303030"/>
        <rFont val="Arial"/>
        <family val="0"/>
        <charset val="1"/>
      </rPr>
      <t xml:space="preserve">TAM </t>
    </r>
    <r>
      <rPr>
        <sz val="8"/>
        <color rgb="FF303030"/>
        <rFont val="Noto Sans CJK SC"/>
        <family val="2"/>
      </rPr>
      <t xml:space="preserve">比重已从 </t>
    </r>
    <r>
      <rPr>
        <sz val="8"/>
        <color rgb="FF303030"/>
        <rFont val="Arial"/>
        <family val="0"/>
        <charset val="1"/>
      </rPr>
      <t xml:space="preserve">20% </t>
    </r>
    <r>
      <rPr>
        <sz val="8"/>
        <color rgb="FF303030"/>
        <rFont val="Noto Sans CJK SC"/>
        <family val="2"/>
      </rPr>
      <t xml:space="preserve">升到 </t>
    </r>
    <r>
      <rPr>
        <sz val="8"/>
        <color rgb="FF303030"/>
        <rFont val="Arial"/>
        <family val="0"/>
        <charset val="1"/>
      </rPr>
      <t xml:space="preserve">50%</t>
    </r>
    <r>
      <rPr>
        <sz val="8"/>
        <color rgb="FF303030"/>
        <rFont val="Noto Sans CJK SC"/>
        <family val="2"/>
      </rPr>
      <t xml:space="preserve">。</t>
    </r>
  </si>
  <si>
    <t xml:space="preserve">任一季度收入环比转负</t>
  </si>
  <si>
    <r>
      <rPr>
        <b val="true"/>
        <sz val="9"/>
        <color rgb="FF16305B"/>
        <rFont val="Noto Sans CJK SC"/>
        <family val="2"/>
      </rPr>
      <t xml:space="preserve">终局毛利率 </t>
    </r>
    <r>
      <rPr>
        <b val="true"/>
        <sz val="9"/>
        <color rgb="FF16305B"/>
        <rFont val="Arial"/>
        <family val="0"/>
        <charset val="1"/>
      </rPr>
      <t xml:space="preserve">76%</t>
    </r>
  </si>
  <si>
    <r>
      <rPr>
        <b val="true"/>
        <sz val="9"/>
        <color rgb="FF2E7D4F"/>
        <rFont val="Arial"/>
        <family val="0"/>
        <charset val="1"/>
      </rPr>
      <t xml:space="preserve">FY32 = 76%</t>
    </r>
    <r>
      <rPr>
        <b val="true"/>
        <sz val="9"/>
        <color rgb="FF2E7D4F"/>
        <rFont val="Noto Sans CJK SC"/>
        <family val="2"/>
      </rPr>
      <t xml:space="preserve">，</t>
    </r>
    <r>
      <rPr>
        <b val="true"/>
        <sz val="9"/>
        <color rgb="FF2E7D4F"/>
        <rFont val="Arial"/>
        <family val="0"/>
        <charset val="1"/>
      </rPr>
      <t xml:space="preserve">FY28–30 = 80%</t>
    </r>
  </si>
  <si>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实际 </t>
    </r>
    <r>
      <rPr>
        <sz val="8"/>
        <color rgb="FF404040"/>
        <rFont val="Arial"/>
        <family val="0"/>
        <charset val="1"/>
      </rPr>
      <t xml:space="preserve">84.6%</t>
    </r>
  </si>
  <si>
    <r>
      <rPr>
        <sz val="8"/>
        <color rgb="FF303030"/>
        <rFont val="Noto Sans CJK SC"/>
        <family val="2"/>
      </rPr>
      <t xml:space="preserve">直接采用公司 </t>
    </r>
    <r>
      <rPr>
        <sz val="8"/>
        <color rgb="FF303030"/>
        <rFont val="Arial"/>
        <family val="0"/>
        <charset val="1"/>
      </rPr>
      <t xml:space="preserve">2026 </t>
    </r>
    <r>
      <rPr>
        <sz val="8"/>
        <color rgb="FF303030"/>
        <rFont val="Noto Sans CJK SC"/>
        <family val="2"/>
      </rPr>
      <t xml:space="preserve">投资者日 </t>
    </r>
    <r>
      <rPr>
        <sz val="8"/>
        <color rgb="FF303030"/>
        <rFont val="Arial"/>
        <family val="0"/>
        <charset val="1"/>
      </rPr>
      <t xml:space="preserve">FY2028–FY2030 </t>
    </r>
    <r>
      <rPr>
        <sz val="8"/>
        <color rgb="FF303030"/>
        <rFont val="Noto Sans CJK SC"/>
        <family val="2"/>
      </rPr>
      <t xml:space="preserve">框架：非 </t>
    </r>
    <r>
      <rPr>
        <sz val="8"/>
        <color rgb="FF303030"/>
        <rFont val="Arial"/>
        <family val="0"/>
        <charset val="1"/>
      </rPr>
      <t xml:space="preserve">GAAP </t>
    </r>
    <r>
      <rPr>
        <sz val="8"/>
        <color rgb="FF303030"/>
        <rFont val="Noto Sans CJK SC"/>
        <family val="2"/>
      </rPr>
      <t xml:space="preserve">毛利率约 </t>
    </r>
    <r>
      <rPr>
        <sz val="8"/>
        <color rgb="FF303030"/>
        <rFont val="Arial"/>
        <family val="0"/>
        <charset val="1"/>
      </rPr>
      <t xml:space="preserve">80%</t>
    </r>
    <r>
      <rPr>
        <sz val="8"/>
        <color rgb="FF303030"/>
        <rFont val="Noto Sans CJK SC"/>
        <family val="2"/>
      </rPr>
      <t xml:space="preserve">、营业利润率约 </t>
    </r>
    <r>
      <rPr>
        <sz val="8"/>
        <color rgb="FF303030"/>
        <rFont val="Arial"/>
        <family val="0"/>
        <charset val="1"/>
      </rPr>
      <t xml:space="preserve">75%</t>
    </r>
    <r>
      <rPr>
        <sz val="8"/>
        <color rgb="FF303030"/>
        <rFont val="Noto Sans CJK SC"/>
        <family val="2"/>
      </rPr>
      <t xml:space="preserve">、费用率约 </t>
    </r>
    <r>
      <rPr>
        <sz val="8"/>
        <color rgb="FF303030"/>
        <rFont val="Arial"/>
        <family val="0"/>
        <charset val="1"/>
      </rPr>
      <t xml:space="preserve">5%</t>
    </r>
    <r>
      <rPr>
        <sz val="8"/>
        <color rgb="FF303030"/>
        <rFont val="Noto Sans CJK SC"/>
        <family val="2"/>
      </rPr>
      <t xml:space="preserve">、调整后自由现金流率约 </t>
    </r>
    <r>
      <rPr>
        <sz val="8"/>
        <color rgb="FF303030"/>
        <rFont val="Arial"/>
        <family val="0"/>
        <charset val="1"/>
      </rPr>
      <t xml:space="preserve">50%</t>
    </r>
    <r>
      <rPr>
        <sz val="8"/>
        <color rgb="FF303030"/>
        <rFont val="Noto Sans CJK SC"/>
        <family val="2"/>
      </rPr>
      <t xml:space="preserve">。逻辑基础是 </t>
    </r>
    <r>
      <rPr>
        <sz val="8"/>
        <color rgb="FF303030"/>
        <rFont val="Arial"/>
        <family val="0"/>
        <charset val="1"/>
      </rPr>
      <t xml:space="preserve">NBM </t>
    </r>
    <r>
      <rPr>
        <sz val="8"/>
        <color rgb="FF303030"/>
        <rFont val="Noto Sans CJK SC"/>
        <family val="2"/>
      </rPr>
      <t xml:space="preserve">长约锁定 </t>
    </r>
    <r>
      <rPr>
        <sz val="8"/>
        <color rgb="FF303030"/>
        <rFont val="Arial"/>
        <family val="0"/>
        <charset val="1"/>
      </rPr>
      <t xml:space="preserve">FY28 </t>
    </r>
    <r>
      <rPr>
        <sz val="8"/>
        <color rgb="FF303030"/>
        <rFont val="Noto Sans CJK SC"/>
        <family val="2"/>
      </rPr>
      <t xml:space="preserve">三分之二的 </t>
    </r>
    <r>
      <rPr>
        <sz val="8"/>
        <color rgb="FF303030"/>
        <rFont val="Arial"/>
        <family val="0"/>
        <charset val="1"/>
      </rPr>
      <t xml:space="preserve">bit</t>
    </r>
    <r>
      <rPr>
        <sz val="8"/>
        <color rgb="FF303030"/>
        <rFont val="Noto Sans CJK SC"/>
        <family val="2"/>
      </rPr>
      <t xml:space="preserve">，把存储从周期股变成合约制生意。</t>
    </r>
  </si>
  <si>
    <r>
      <rPr>
        <sz val="8"/>
        <color rgb="FFB3202C"/>
        <rFont val="Noto Sans CJK SC"/>
        <family val="2"/>
      </rPr>
      <t xml:space="preserve">★ 这是本情形与另外两个最根本的分歧点。若某一季度毛利率环比下滑超过 </t>
    </r>
    <r>
      <rPr>
        <sz val="8"/>
        <color rgb="FFB3202C"/>
        <rFont val="Arial"/>
        <family val="0"/>
        <charset val="1"/>
      </rPr>
      <t xml:space="preserve">5pp</t>
    </r>
    <r>
      <rPr>
        <sz val="8"/>
        <color rgb="FFB3202C"/>
        <rFont val="Noto Sans CJK SC"/>
        <family val="2"/>
      </rPr>
      <t xml:space="preserve">，整个「结构性去周期」的论点就要重估</t>
    </r>
  </si>
  <si>
    <t xml:space="preserve">WACC 10.5%</t>
  </si>
  <si>
    <r>
      <rPr>
        <b val="true"/>
        <sz val="9"/>
        <color rgb="FF2E7D4F"/>
        <rFont val="Noto Sans CJK SC"/>
        <family val="2"/>
      </rPr>
      <t xml:space="preserve">隐含 </t>
    </r>
    <r>
      <rPr>
        <b val="true"/>
        <sz val="9"/>
        <color rgb="FF2E7D4F"/>
        <rFont val="Arial"/>
        <family val="0"/>
        <charset val="1"/>
      </rPr>
      <t xml:space="preserve">β ≈ 1.26</t>
    </r>
  </si>
  <si>
    <r>
      <rPr>
        <sz val="8"/>
        <color rgb="FF303030"/>
        <rFont val="Noto Sans CJK SC"/>
        <family val="2"/>
      </rPr>
      <t xml:space="preserve">若 </t>
    </r>
    <r>
      <rPr>
        <sz val="8"/>
        <color rgb="FF303030"/>
        <rFont val="Arial"/>
        <family val="0"/>
        <charset val="1"/>
      </rPr>
      <t xml:space="preserve">NBM </t>
    </r>
    <r>
      <rPr>
        <sz val="8"/>
        <color rgb="FF303030"/>
        <rFont val="Noto Sans CJK SC"/>
        <family val="2"/>
      </rPr>
      <t xml:space="preserve">长约真的把现金流合约化，可预测性提高，风险溢价应当下降。</t>
    </r>
    <r>
      <rPr>
        <sz val="8"/>
        <color rgb="FF303030"/>
        <rFont val="Arial"/>
        <family val="0"/>
        <charset val="1"/>
      </rPr>
      <t xml:space="preserve">β 1.26 </t>
    </r>
    <r>
      <rPr>
        <sz val="8"/>
        <color rgb="FF303030"/>
        <rFont val="Noto Sans CJK SC"/>
        <family val="2"/>
      </rPr>
      <t xml:space="preserve">已接近大盘上方一档。</t>
    </r>
  </si>
  <si>
    <t xml:space="preserve">合约收入占比若不能持续提升，此假设不成立</t>
  </si>
  <si>
    <r>
      <rPr>
        <b val="true"/>
        <sz val="9"/>
        <color rgb="FF16305B"/>
        <rFont val="Noto Sans CJK SC"/>
        <family val="2"/>
      </rPr>
      <t xml:space="preserve">资本强度 </t>
    </r>
    <r>
      <rPr>
        <b val="true"/>
        <sz val="9"/>
        <color rgb="FF16305B"/>
        <rFont val="Arial"/>
        <family val="0"/>
        <charset val="1"/>
      </rPr>
      <t xml:space="preserve">4.5%</t>
    </r>
  </si>
  <si>
    <r>
      <rPr>
        <b val="true"/>
        <sz val="9"/>
        <color rgb="FF2E7D4F"/>
        <rFont val="Noto Sans CJK SC"/>
        <family val="2"/>
      </rPr>
      <t xml:space="preserve">自有 </t>
    </r>
    <r>
      <rPr>
        <b val="true"/>
        <sz val="9"/>
        <color rgb="FF2E7D4F"/>
        <rFont val="Arial"/>
        <family val="0"/>
        <charset val="1"/>
      </rPr>
      <t xml:space="preserve">1.7% + FV 2.8%</t>
    </r>
  </si>
  <si>
    <r>
      <rPr>
        <sz val="8"/>
        <color rgb="FF303030"/>
        <rFont val="Noto Sans CJK SC"/>
        <family val="2"/>
      </rPr>
      <t xml:space="preserve">收入分母做大后，同样的绝对投入摊薄成更低的占比。但仍显著高于历史，因为 </t>
    </r>
    <r>
      <rPr>
        <sz val="8"/>
        <color rgb="FF303030"/>
        <rFont val="Arial"/>
        <family val="0"/>
        <charset val="1"/>
      </rPr>
      <t xml:space="preserve">BiCS10 </t>
    </r>
    <r>
      <rPr>
        <sz val="8"/>
        <color rgb="FF303030"/>
        <rFont val="Noto Sans CJK SC"/>
        <family val="2"/>
      </rPr>
      <t xml:space="preserve">与 </t>
    </r>
    <r>
      <rPr>
        <sz val="8"/>
        <color rgb="FF303030"/>
        <rFont val="Arial"/>
        <family val="0"/>
        <charset val="1"/>
      </rPr>
      <t xml:space="preserve">K2 </t>
    </r>
    <r>
      <rPr>
        <sz val="8"/>
        <color rgb="FF303030"/>
        <rFont val="Noto Sans CJK SC"/>
        <family val="2"/>
      </rPr>
      <t xml:space="preserve">新厂的投入是确定的。</t>
    </r>
  </si>
  <si>
    <t xml:space="preserve">投入的绝对额若超过收入增速，占比假设需上调</t>
  </si>
  <si>
    <r>
      <rPr>
        <b val="true"/>
        <sz val="9"/>
        <color rgb="FF16305B"/>
        <rFont val="Noto Sans CJK SC"/>
        <family val="2"/>
      </rPr>
      <t xml:space="preserve">营运资本比 </t>
    </r>
    <r>
      <rPr>
        <b val="true"/>
        <sz val="9"/>
        <color rgb="FF16305B"/>
        <rFont val="Arial"/>
        <family val="0"/>
        <charset val="1"/>
      </rPr>
      <t xml:space="preserve">16%</t>
    </r>
  </si>
  <si>
    <r>
      <rPr>
        <b val="true"/>
        <sz val="9"/>
        <color rgb="FF2E7D4F"/>
        <rFont val="Noto Sans CJK SC"/>
        <family val="2"/>
      </rPr>
      <t xml:space="preserve">占年化收入 </t>
    </r>
    <r>
      <rPr>
        <b val="true"/>
        <sz val="9"/>
        <color rgb="FF2E7D4F"/>
        <rFont val="Arial"/>
        <family val="0"/>
        <charset val="1"/>
      </rPr>
      <t xml:space="preserve">16%</t>
    </r>
  </si>
  <si>
    <r>
      <rPr>
        <sz val="8"/>
        <color rgb="FF303030"/>
        <rFont val="Arial"/>
        <family val="0"/>
        <charset val="1"/>
      </rPr>
      <t xml:space="preserve">NBM </t>
    </r>
    <r>
      <rPr>
        <sz val="8"/>
        <color rgb="FF303030"/>
        <rFont val="Noto Sans CJK SC"/>
        <family val="2"/>
      </rPr>
      <t xml:space="preserve">合约带来的客户预付款与最低收入保证会降低净营运资本占用，取近三季度低端再下调 </t>
    </r>
    <r>
      <rPr>
        <sz val="8"/>
        <color rgb="FF303030"/>
        <rFont val="Arial"/>
        <family val="0"/>
        <charset val="1"/>
      </rPr>
      <t xml:space="preserve">1pp</t>
    </r>
    <r>
      <rPr>
        <sz val="8"/>
        <color rgb="FF303030"/>
        <rFont val="Noto Sans CJK SC"/>
        <family val="2"/>
      </rPr>
      <t xml:space="preserve">。</t>
    </r>
  </si>
  <si>
    <t xml:space="preserve">应收账款增速持续快于收入增速</t>
  </si>
  <si>
    <r>
      <rPr>
        <b val="true"/>
        <sz val="11"/>
        <color rgb="FFFFFFFF"/>
        <rFont val="Arial"/>
        <family val="0"/>
        <charset val="1"/>
      </rPr>
      <t xml:space="preserve">09  </t>
    </r>
    <r>
      <rPr>
        <b val="true"/>
        <sz val="11"/>
        <color rgb="FFFFFFFF"/>
        <rFont val="Noto Sans CJK SC"/>
        <family val="2"/>
      </rPr>
      <t xml:space="preserve">参数控制台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拖动滑标，上方全表与下方全部图表实时重算（乐观情形）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</si>
</sst>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\$#,##0.00"/>
    <numFmt numFmtId="166" formatCode="\$#,##0\M"/>
    <numFmt numFmtId="167" formatCode="#,##0.0"/>
    <numFmt numFmtId="168" formatCode="0.00%"/>
    <numFmt numFmtId="169" formatCode="\$#,##0"/>
    <numFmt numFmtId="170" formatCode="\+0.0%;[RED]\-0.0%"/>
    <numFmt numFmtId="171" formatCode="0.0%"/>
    <numFmt numFmtId="172" formatCode="#,##0"/>
    <numFmt numFmtId="173" formatCode="#,##0;[RED]\(#,##0\);\-"/>
    <numFmt numFmtId="174" formatCode="0.0%;[RED]\-0.0%;\-"/>
    <numFmt numFmtId="175" formatCode="#,##0.00;[RED]\(#,##0.00\);\-"/>
    <numFmt numFmtId="176" formatCode="0%"/>
    <numFmt numFmtId="177" formatCode="0%;[RED]\-0%;\-"/>
    <numFmt numFmtId="178" formatCode="0.0\天"/>
    <numFmt numFmtId="179" formatCode="0.00"/>
    <numFmt numFmtId="180" formatCode="0.00\x"/>
    <numFmt numFmtId="181" formatCode="0.0\x"/>
    <numFmt numFmtId="182" formatCode="0.000"/>
    <numFmt numFmtId="183" formatCode="0"/>
    <numFmt numFmtId="184" formatCode="&quot;+$&quot;#,##0;[RED]&quot;-$&quot;#,##0"/>
    <numFmt numFmtId="185" formatCode="0\x"/>
    <numFmt numFmtId="186" formatCode="\+0.00&quot;pp&quot;;[RED]\-0.00&quot;pp&quot;;0.00&quot;pp&quot;"/>
  </numFmts>
  <fonts count="7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i val="true"/>
      <sz val="9"/>
      <color rgb="FF7A7A7A"/>
      <name val="Noto Sans CJK SC"/>
      <family val="2"/>
    </font>
    <font>
      <i val="true"/>
      <sz val="9"/>
      <color rgb="FF7A7A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9"/>
      <color rgb="FF16305B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404040"/>
      <name val="Noto Sans CJK SC"/>
      <family val="2"/>
    </font>
    <font>
      <b val="true"/>
      <sz val="9"/>
      <color rgb="FF16305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303030"/>
      <name val="Arial"/>
      <family val="0"/>
      <charset val="1"/>
    </font>
    <font>
      <sz val="9"/>
      <color rgb="FF303030"/>
      <name val="Noto Sans CJK SC"/>
      <family val="2"/>
    </font>
    <font>
      <b val="true"/>
      <sz val="12"/>
      <color rgb="FF16305B"/>
      <name val="Arial"/>
      <family val="0"/>
      <charset val="1"/>
    </font>
    <font>
      <b val="true"/>
      <sz val="12"/>
      <color rgb="FF2E7D4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9"/>
      <color rgb="FF3D3D3D"/>
      <name val="Noto Sans CJK SC"/>
      <family val="2"/>
    </font>
    <font>
      <sz val="9"/>
      <color rgb="FF3D3D3D"/>
      <name val="Arial"/>
      <family val="0"/>
      <charset val="1"/>
    </font>
    <font>
      <sz val="9"/>
      <color rgb="FF000000"/>
      <name val="Noto Sans CJK SC"/>
      <family val="2"/>
    </font>
    <font>
      <sz val="9"/>
      <color rgb="FF000000"/>
      <name val="Arial"/>
      <family val="0"/>
      <charset val="1"/>
    </font>
    <font>
      <sz val="9"/>
      <color rgb="FF606060"/>
      <name val="Arial"/>
      <family val="0"/>
      <charset val="1"/>
    </font>
    <font>
      <b val="true"/>
      <sz val="9"/>
      <color rgb="FFB3202C"/>
      <name val="Noto Sans CJK SC"/>
      <family val="2"/>
    </font>
    <font>
      <b val="true"/>
      <sz val="9"/>
      <color rgb="FFB3202C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008000"/>
      <name val="Noto Sans CJK SC"/>
      <family val="2"/>
    </font>
    <font>
      <b val="true"/>
      <sz val="9"/>
      <color rgb="FF008000"/>
      <name val="Arial"/>
      <family val="0"/>
      <charset val="1"/>
    </font>
    <font>
      <sz val="8"/>
      <color rgb="FF404040"/>
      <name val="Noto Sans CJK SC"/>
      <family val="2"/>
    </font>
    <font>
      <sz val="8"/>
      <color rgb="FF40404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B3202C"/>
      <name val="Arial"/>
      <family val="0"/>
      <charset val="1"/>
    </font>
    <font>
      <b val="true"/>
      <sz val="11"/>
      <color rgb="FFB3202C"/>
      <name val="Arial"/>
      <family val="0"/>
      <charset val="1"/>
    </font>
    <font>
      <b val="true"/>
      <sz val="13"/>
      <color rgb="FF16305B"/>
      <name val="Noto Sans CJK SC"/>
      <family val="2"/>
    </font>
    <font>
      <b val="true"/>
      <sz val="13"/>
      <color rgb="FF16305B"/>
      <name val="Arial"/>
      <family val="2"/>
    </font>
    <font>
      <sz val="9"/>
      <color rgb="FF595959"/>
      <name val="Arial"/>
      <family val="2"/>
    </font>
    <font>
      <b val="true"/>
      <sz val="9.5"/>
      <color rgb="FF404040"/>
      <name val="Noto Sans CJK SC"/>
      <family val="2"/>
    </font>
    <font>
      <sz val="9"/>
      <color rgb="FF404040"/>
      <name val="Arial"/>
      <family val="2"/>
    </font>
    <font>
      <b val="true"/>
      <sz val="9"/>
      <color rgb="FFC0392B"/>
      <name val="Arial"/>
      <family val="0"/>
      <charset val="1"/>
    </font>
    <font>
      <b val="true"/>
      <sz val="9"/>
      <color rgb="FF60606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4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7A7A7A"/>
      <name val="Arial"/>
      <family val="0"/>
      <charset val="1"/>
    </font>
    <font>
      <sz val="8"/>
      <color rgb="FF4A4A4A"/>
      <name val="Noto Sans CJK SC"/>
      <family val="2"/>
    </font>
    <font>
      <sz val="8"/>
      <color rgb="FF4A4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6305B"/>
      <name val="Arial"/>
      <family val="0"/>
      <charset val="1"/>
    </font>
    <font>
      <b val="true"/>
      <sz val="9"/>
      <color rgb="FFC0392B"/>
      <name val="Noto Sans CJK SC"/>
      <family val="2"/>
    </font>
    <font>
      <sz val="8"/>
      <color rgb="FF303030"/>
      <name val="Arial"/>
      <family val="0"/>
      <charset val="1"/>
    </font>
    <font>
      <sz val="8"/>
      <color rgb="FF303030"/>
      <name val="Noto Sans CJK SC"/>
      <family val="2"/>
    </font>
    <font>
      <sz val="8"/>
      <color rgb="FFB3202C"/>
      <name val="Arial"/>
      <family val="0"/>
      <charset val="1"/>
    </font>
    <font>
      <sz val="8"/>
      <color rgb="FFB3202C"/>
      <name val="Noto Sans CJK SC"/>
      <family val="2"/>
    </font>
    <font>
      <b val="true"/>
      <sz val="11"/>
      <color rgb="FFC0392B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6305B"/>
      <name val="Arial"/>
      <family val="0"/>
      <charset val="1"/>
    </font>
    <font>
      <b val="true"/>
      <sz val="13"/>
      <color rgb="FF16305B"/>
      <name val="Arial"/>
      <family val="0"/>
      <charset val="1"/>
    </font>
    <font>
      <b val="true"/>
      <sz val="11"/>
      <color rgb="FF16305B"/>
      <name val="Arial"/>
      <family val="0"/>
      <charset val="1"/>
    </font>
    <font>
      <b val="true"/>
      <sz val="9"/>
      <color rgb="FF2E7D4F"/>
      <name val="Arial"/>
      <family val="0"/>
      <charset val="1"/>
    </font>
    <font>
      <b val="true"/>
      <sz val="14"/>
      <color rgb="FF2E7D4F"/>
      <name val="Arial"/>
      <family val="0"/>
      <charset val="1"/>
    </font>
    <font>
      <b val="true"/>
      <sz val="13"/>
      <color rgb="FF2E7D4F"/>
      <name val="Arial"/>
      <family val="0"/>
      <charset val="1"/>
    </font>
    <font>
      <b val="true"/>
      <sz val="9"/>
      <color rgb="FF2E7D4F"/>
      <name val="Noto Sans CJK SC"/>
      <family val="2"/>
    </font>
    <font>
      <b val="true"/>
      <sz val="11"/>
      <color rgb="FF2E7D4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6305B"/>
        <bgColor rgb="FF303030"/>
      </patternFill>
    </fill>
    <fill>
      <patternFill patternType="solid">
        <fgColor rgb="FFF4F7FB"/>
        <bgColor rgb="FFEAF1FB"/>
      </patternFill>
    </fill>
    <fill>
      <patternFill patternType="solid">
        <fgColor rgb="FF2E5C8A"/>
        <bgColor rgb="FF44688F"/>
      </patternFill>
    </fill>
    <fill>
      <patternFill patternType="solid">
        <fgColor rgb="FFDCE6F2"/>
        <bgColor rgb="FFE9EDF2"/>
      </patternFill>
    </fill>
    <fill>
      <patternFill patternType="solid">
        <fgColor rgb="FFFFF4D6"/>
        <bgColor rgb="FFFBE7EA"/>
      </patternFill>
    </fill>
    <fill>
      <patternFill patternType="solid">
        <fgColor rgb="FFC0392B"/>
        <bgColor rgb="FFB3202C"/>
      </patternFill>
    </fill>
    <fill>
      <patternFill patternType="solid">
        <fgColor rgb="FFE4F0E2"/>
        <bgColor rgb="FFE9EDF2"/>
      </patternFill>
    </fill>
    <fill>
      <patternFill patternType="solid">
        <fgColor rgb="FF2E7D4F"/>
        <bgColor rgb="FF1E6B3A"/>
      </patternFill>
    </fill>
    <fill>
      <patternFill patternType="solid">
        <fgColor rgb="FFFBE7EA"/>
        <bgColor rgb="FFFCE4EC"/>
      </patternFill>
    </fill>
    <fill>
      <patternFill patternType="solid">
        <fgColor rgb="FF44688F"/>
        <bgColor rgb="FF2E5C8A"/>
      </patternFill>
    </fill>
    <fill>
      <patternFill patternType="solid">
        <fgColor rgb="FFC9D8EC"/>
        <bgColor rgb="FFC9D2DD"/>
      </patternFill>
    </fill>
    <fill>
      <patternFill patternType="solid">
        <fgColor rgb="FFFCE4EC"/>
        <bgColor rgb="FFFBE7EA"/>
      </patternFill>
    </fill>
    <fill>
      <patternFill patternType="solid">
        <fgColor rgb="FFFFFFFF"/>
        <bgColor rgb="FFF4F7FB"/>
      </patternFill>
    </fill>
    <fill>
      <patternFill patternType="solid">
        <fgColor rgb="FFEAF1FB"/>
        <bgColor rgb="FFE9ED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2DD"/>
      </left>
      <right style="thin">
        <color rgb="FFC9D2DD"/>
      </right>
      <top style="thin">
        <color rgb="FFC9D2DD"/>
      </top>
      <bottom style="medium">
        <color rgb="FF44688F"/>
      </bottom>
      <diagonal/>
    </border>
    <border diagonalUp="false" diagonalDown="false"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  <border diagonalUp="false" diagonalDown="false">
      <left style="thin">
        <color rgb="FFC9D2DD"/>
      </left>
      <right/>
      <top style="thin">
        <color rgb="FFC9D2DD"/>
      </top>
      <bottom style="thin">
        <color rgb="FFC9D2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3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3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3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3" fontId="4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4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5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4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4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5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5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5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5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6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3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6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6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6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7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7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1E6B3A"/>
        <sz val="10"/>
      </font>
      <fill>
        <patternFill>
          <bgColor rgb="FFE4F0E2"/>
        </patternFill>
      </fill>
    </dxf>
    <dxf>
      <font>
        <name val="Arial"/>
        <charset val="1"/>
        <family val="0"/>
        <b val="1"/>
        <color rgb="FF9B1B26"/>
        <sz val="10"/>
      </font>
      <fill>
        <patternFill>
          <bgColor rgb="FFF8D0D5"/>
        </patternFill>
      </fill>
    </dxf>
    <dxf>
      <font>
        <name val="Arial"/>
        <charset val="1"/>
        <family val="0"/>
        <b val="1"/>
        <color rgb="FF1E6B3A"/>
        <sz val="14"/>
      </font>
      <fill>
        <patternFill>
          <bgColor rgb="FFE4F0E2"/>
        </patternFill>
      </fill>
    </dxf>
    <dxf>
      <font>
        <name val="Arial"/>
        <charset val="1"/>
        <family val="0"/>
        <b val="1"/>
        <color rgb="FF9B1B26"/>
        <sz val="14"/>
      </font>
      <fill>
        <patternFill>
          <bgColor rgb="FFF8D0D5"/>
        </patternFill>
      </fill>
    </dxf>
    <dxf>
      <font>
        <name val="Arial"/>
        <charset val="1"/>
        <family val="0"/>
        <b val="1"/>
        <color rgb="FF1E6B3A"/>
        <sz val="9"/>
      </font>
      <fill>
        <patternFill>
          <bgColor rgb="FFE4F0E2"/>
        </patternFill>
      </fill>
    </dxf>
    <dxf>
      <font>
        <name val="Arial"/>
        <charset val="1"/>
        <family val="0"/>
        <b val="1"/>
        <color rgb="FF9B1B26"/>
        <sz val="9"/>
      </font>
      <fill>
        <patternFill>
          <bgColor rgb="FFF8D0D5"/>
        </patternFill>
      </fill>
    </dxf>
    <dxf>
      <font>
        <name val="Arial"/>
        <charset val="1"/>
        <family val="0"/>
        <b val="1"/>
        <color rgb="FF1E6B3A"/>
        <sz val="13"/>
      </font>
      <fill>
        <patternFill>
          <bgColor rgb="FFE4F0E2"/>
        </patternFill>
      </fill>
    </dxf>
    <dxf>
      <font>
        <name val="Arial"/>
        <charset val="1"/>
        <family val="0"/>
        <b val="1"/>
        <color rgb="FF9B1B26"/>
        <sz val="13"/>
      </font>
      <fill>
        <patternFill>
          <bgColor rgb="FFF8D0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F7FB"/>
      <rgbColor rgb="FFFF00FF"/>
      <rgbColor rgb="FF00FFFF"/>
      <rgbColor rgb="FF800000"/>
      <rgbColor rgb="FF008000"/>
      <rgbColor rgb="FF000080"/>
      <rgbColor rgb="FF606060"/>
      <rgbColor rgb="FF800080"/>
      <rgbColor rgb="FF2E7D4F"/>
      <rgbColor rgb="FFBFBFBF"/>
      <rgbColor rgb="FF7A7A7A"/>
      <rgbColor rgb="FFA6C4E8"/>
      <rgbColor rgb="FFB3202C"/>
      <rgbColor rgb="FFFFF4D6"/>
      <rgbColor rgb="FFEAF1FB"/>
      <rgbColor rgb="FF595959"/>
      <rgbColor rgb="FFFF8080"/>
      <rgbColor rgb="FF2E5C8A"/>
      <rgbColor rgb="FFC9D8EC"/>
      <rgbColor rgb="FF000080"/>
      <rgbColor rgb="FFFF00FF"/>
      <rgbColor rgb="FFDCE6F2"/>
      <rgbColor rgb="FF00FFFF"/>
      <rgbColor rgb="FF800080"/>
      <rgbColor rgb="FF800000"/>
      <rgbColor rgb="FF1E6B3A"/>
      <rgbColor rgb="FF0000FF"/>
      <rgbColor rgb="FF00CCFF"/>
      <rgbColor rgb="FFE9EDF2"/>
      <rgbColor rgb="FFE4F0E2"/>
      <rgbColor rgb="FFFBE7EA"/>
      <rgbColor rgb="FF9DC3E6"/>
      <rgbColor rgb="FFC9D2DD"/>
      <rgbColor rgb="FFB7C0CC"/>
      <rgbColor rgb="FFF8D0D5"/>
      <rgbColor rgb="FF4472C4"/>
      <rgbColor rgb="FF33CCCC"/>
      <rgbColor rgb="FF99CC00"/>
      <rgbColor rgb="FFFCE4EC"/>
      <rgbColor rgb="FFE08A1E"/>
      <rgbColor rgb="FFFF6600"/>
      <rgbColor rgb="FF44688F"/>
      <rgbColor rgb="FF7FB069"/>
      <rgbColor rgb="FF16305B"/>
      <rgbColor rgb="FF2E9B57"/>
      <rgbColor rgb="FF4A4A4A"/>
      <rgbColor rgb="FF3D3D3D"/>
      <rgbColor rgb="FF9B1B26"/>
      <rgbColor rgb="FFC0392B"/>
      <rgbColor rgb="FF404040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1 · 收入 / 营业成本 / 毛利：四个季度收入 ×3.9 倍，成本几乎没动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'00-三表与联动'!A28</c:f>
              <c:strCache>
                <c:ptCount val="1"/>
                <c:pt idx="0">
                  <c:v>营业收入 Revenue, net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'00-三表与联动'!$B$28:$E$28</c:f>
              <c:numCache>
                <c:formatCode>#,##0;[RED]\(#,##0\);\-</c:formatCode>
                <c:ptCount val="4"/>
                <c:pt idx="0">
                  <c:v>2308</c:v>
                </c:pt>
                <c:pt idx="1">
                  <c:v>3025</c:v>
                </c:pt>
                <c:pt idx="2">
                  <c:v>5950</c:v>
                </c:pt>
                <c:pt idx="3">
                  <c:v>8965</c:v>
                </c:pt>
              </c:numCache>
            </c:numRef>
          </c:val>
        </c:ser>
        <c:ser>
          <c:idx val="1"/>
          <c:order val="1"/>
          <c:tx>
            <c:strRef>
              <c:f>'00-三表与联动'!A29</c:f>
              <c:strCache>
                <c:ptCount val="1"/>
                <c:pt idx="0">
                  <c:v>营业成本 Cost of revenue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'00-三表与联动'!$B$29:$E$29</c:f>
              <c:numCache>
                <c:formatCode>#,##0;[RED]\(#,##0\);\-</c:formatCode>
                <c:ptCount val="4"/>
                <c:pt idx="0">
                  <c:v>1621</c:v>
                </c:pt>
                <c:pt idx="1">
                  <c:v>1484</c:v>
                </c:pt>
                <c:pt idx="2">
                  <c:v>1288</c:v>
                </c:pt>
                <c:pt idx="3">
                  <c:v>1383</c:v>
                </c:pt>
              </c:numCache>
            </c:numRef>
          </c:val>
        </c:ser>
        <c:ser>
          <c:idx val="2"/>
          <c:order val="2"/>
          <c:tx>
            <c:strRef>
              <c:f>'00-三表与联动'!A30</c:f>
              <c:strCache>
                <c:ptCount val="1"/>
                <c:pt idx="0">
                  <c:v>毛利 Gross profit</c:v>
                </c:pt>
              </c:strCache>
            </c:strRef>
          </c:tx>
          <c:spPr>
            <a:solidFill>
              <a:srgbClr val="2e9b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'00-三表与联动'!$B$30:$E$30</c:f>
              <c:numCache>
                <c:formatCode>#,##0;[RED]\(#,##0\);\-</c:formatCode>
                <c:ptCount val="4"/>
                <c:pt idx="0">
                  <c:v>687</c:v>
                </c:pt>
                <c:pt idx="1">
                  <c:v>1541</c:v>
                </c:pt>
                <c:pt idx="2">
                  <c:v>4662</c:v>
                </c:pt>
                <c:pt idx="3">
                  <c:v>7582</c:v>
                </c:pt>
              </c:numCache>
            </c:numRef>
          </c:val>
        </c:ser>
        <c:gapWidth val="55"/>
        <c:overlap val="0"/>
        <c:axId val="68183661"/>
        <c:axId val="57508217"/>
      </c:barChart>
      <c:catAx>
        <c:axId val="68183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7508217"/>
        <c:crosses val="autoZero"/>
        <c:auto val="1"/>
        <c:lblAlgn val="ctr"/>
        <c:lblOffset val="100"/>
        <c:noMultiLvlLbl val="0"/>
      </c:catAx>
      <c:valAx>
        <c:axId val="57508217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81836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2 · 四个季度的利润率路径：毛利率 29.8% → 84.6%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'00-三表与联动'!$A$48</c:f>
              <c:strCache>
                <c:ptCount val="1"/>
                <c:pt idx="0">
                  <c:v>毛利率 Gross margin</c:v>
                </c:pt>
              </c:strCache>
            </c:strRef>
          </c:tx>
          <c:spPr>
            <a:solidFill>
              <a:srgbClr val="c0392b"/>
            </a:solidFill>
            <a:ln w="22320">
              <a:solidFill>
                <a:srgbClr val="c0392b"/>
              </a:solidFill>
              <a:round/>
            </a:ln>
          </c:spPr>
          <c:marker>
            <c:symbol val="circle"/>
            <c:size val="9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'00-三表与联动'!$B$48:$E$48</c:f>
              <c:numCache>
                <c:formatCode>0.0%</c:formatCode>
                <c:ptCount val="4"/>
                <c:pt idx="0">
                  <c:v>0.297660311958406</c:v>
                </c:pt>
                <c:pt idx="1">
                  <c:v>0.509421487603306</c:v>
                </c:pt>
                <c:pt idx="2">
                  <c:v>0.783529411764706</c:v>
                </c:pt>
                <c:pt idx="3">
                  <c:v>0.845733407696598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'00-三表与联动'!$A$49</c:f>
              <c:strCache>
                <c:ptCount val="1"/>
                <c:pt idx="0">
                  <c:v>营业利润率 Operating margin</c:v>
                </c:pt>
              </c:strCache>
            </c:strRef>
          </c:tx>
          <c:spPr>
            <a:solidFill>
              <a:srgbClr val="16305b"/>
            </a:solidFill>
            <a:ln w="22320">
              <a:solidFill>
                <a:srgbClr val="16305b"/>
              </a:solidFill>
              <a:round/>
            </a:ln>
          </c:spPr>
          <c:marker>
            <c:symbol val="circle"/>
            <c:size val="9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'00-三表与联动'!$B$49:$E$49</c:f>
              <c:numCache>
                <c:formatCode>0.0%</c:formatCode>
                <c:ptCount val="4"/>
                <c:pt idx="0">
                  <c:v>0.0762564991334489</c:v>
                </c:pt>
                <c:pt idx="1">
                  <c:v>0.352066115702479</c:v>
                </c:pt>
                <c:pt idx="2">
                  <c:v>0.690924369747899</c:v>
                </c:pt>
                <c:pt idx="3">
                  <c:v>0.784941438929169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'00-三表与联动'!$A$50</c:f>
              <c:strCache>
                <c:ptCount val="1"/>
                <c:pt idx="0">
                  <c:v>净利率 Net margin</c:v>
                </c:pt>
              </c:strCache>
            </c:strRef>
          </c:tx>
          <c:spPr>
            <a:solidFill>
              <a:srgbClr val="2e9b57"/>
            </a:solidFill>
            <a:ln w="22320">
              <a:solidFill>
                <a:srgbClr val="2e9b57"/>
              </a:solidFill>
              <a:round/>
            </a:ln>
          </c:spPr>
          <c:marker>
            <c:symbol val="circle"/>
            <c:size val="9"/>
            <c:spPr>
              <a:solidFill>
                <a:srgbClr val="2e9b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'00-三表与联动'!$B$50:$E$50</c:f>
              <c:numCache>
                <c:formatCode>0.0%</c:formatCode>
                <c:ptCount val="4"/>
                <c:pt idx="0">
                  <c:v>0.048526863084922</c:v>
                </c:pt>
                <c:pt idx="1">
                  <c:v>0.265454545454545</c:v>
                </c:pt>
                <c:pt idx="2">
                  <c:v>0.607563025210084</c:v>
                </c:pt>
                <c:pt idx="3">
                  <c:v>0.769994422755159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575536"/>
        <c:axId val="72823897"/>
      </c:lineChart>
      <c:catAx>
        <c:axId val="465755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2823897"/>
        <c:crosses val="autoZero"/>
        <c:auto val="1"/>
        <c:lblAlgn val="ctr"/>
        <c:lblOffset val="100"/>
        <c:noMultiLvlLbl val="0"/>
      </c:catAx>
      <c:valAx>
        <c:axId val="72823897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占收入比重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65755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3 · 分市场收入结构：数据中心从 12% 升到 33%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'00-三表与联动'!A60</c:f>
              <c:strCache>
                <c:ptCount val="1"/>
                <c:pt idx="0">
                  <c:v>数据中心 Datacenter</c:v>
                </c:pt>
              </c:strCache>
            </c:strRef>
          </c:tx>
          <c:spPr>
            <a:solidFill>
              <a:srgbClr val="16305b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'00-三表与联动'!$B$59:$E$59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'00-三表与联动'!$B$60:$E$60</c:f>
              <c:numCache>
                <c:formatCode>#,##0;[RED]\(#,##0\);\-</c:formatCode>
                <c:ptCount val="4"/>
                <c:pt idx="0">
                  <c:v>269</c:v>
                </c:pt>
                <c:pt idx="1">
                  <c:v>440</c:v>
                </c:pt>
                <c:pt idx="2">
                  <c:v>1467</c:v>
                </c:pt>
                <c:pt idx="3">
                  <c:v>2977</c:v>
                </c:pt>
              </c:numCache>
            </c:numRef>
          </c:val>
        </c:ser>
        <c:ser>
          <c:idx val="1"/>
          <c:order val="1"/>
          <c:tx>
            <c:strRef>
              <c:f>'00-三表与联动'!A61</c:f>
              <c:strCache>
                <c:ptCount val="1"/>
                <c:pt idx="0">
                  <c:v>边缘 Edge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'00-三表与联动'!$B$59:$E$59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'00-三表与联动'!$B$61:$E$61</c:f>
              <c:numCache>
                <c:formatCode>#,##0;[RED]\(#,##0\);\-</c:formatCode>
                <c:ptCount val="4"/>
                <c:pt idx="0">
                  <c:v>1387</c:v>
                </c:pt>
                <c:pt idx="1">
                  <c:v>1678</c:v>
                </c:pt>
                <c:pt idx="2">
                  <c:v>3663</c:v>
                </c:pt>
                <c:pt idx="3">
                  <c:v>5432</c:v>
                </c:pt>
              </c:numCache>
            </c:numRef>
          </c:val>
        </c:ser>
        <c:ser>
          <c:idx val="2"/>
          <c:order val="2"/>
          <c:tx>
            <c:strRef>
              <c:f>'00-三表与联动'!A62</c:f>
              <c:strCache>
                <c:ptCount val="1"/>
                <c:pt idx="0">
                  <c:v>消费 Consumer</c:v>
                </c:pt>
              </c:strCache>
            </c:strRef>
          </c:tx>
          <c:spPr>
            <a:solidFill>
              <a:srgbClr val="a6c4e8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'00-三表与联动'!$B$59:$E$59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'00-三表与联动'!$B$62:$E$62</c:f>
              <c:numCache>
                <c:formatCode>#,##0;[RED]\(#,##0\);\-</c:formatCode>
                <c:ptCount val="4"/>
                <c:pt idx="0">
                  <c:v>652</c:v>
                </c:pt>
                <c:pt idx="1">
                  <c:v>907</c:v>
                </c:pt>
                <c:pt idx="2">
                  <c:v>820</c:v>
                </c:pt>
                <c:pt idx="3">
                  <c:v>556</c:v>
                </c:pt>
              </c:numCache>
            </c:numRef>
          </c:val>
        </c:ser>
        <c:gapWidth val="70"/>
        <c:overlap val="100"/>
        <c:axId val="76188017"/>
        <c:axId val="55575590"/>
      </c:barChart>
      <c:catAx>
        <c:axId val="76188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5575590"/>
        <c:crosses val="autoZero"/>
        <c:auto val="1"/>
        <c:lblAlgn val="ctr"/>
        <c:lblOffset val="100"/>
        <c:noMultiLvlLbl val="0"/>
      </c:catAx>
      <c:valAx>
        <c:axId val="5557559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61880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4 · 经营现金流与两种口径的自由现金流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'00-三表与联动'!A128</c:f>
              <c:strCache>
                <c:ptCount val="1"/>
                <c:pt idx="0">
                  <c:v>经营活动现金流净额 Net cash from operating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'00-三表与联动'!$B$128:$E$128</c:f>
              <c:numCache>
                <c:formatCode>#,##0;[RED]\(#,##0\);\-</c:formatCode>
                <c:ptCount val="4"/>
                <c:pt idx="0">
                  <c:v>488</c:v>
                </c:pt>
                <c:pt idx="1">
                  <c:v>1019</c:v>
                </c:pt>
                <c:pt idx="2">
                  <c:v>3038</c:v>
                </c:pt>
                <c:pt idx="3">
                  <c:v>7126</c:v>
                </c:pt>
              </c:numCache>
            </c:numRef>
          </c:val>
        </c:ser>
        <c:ser>
          <c:idx val="1"/>
          <c:order val="1"/>
          <c:tx>
            <c:strRef>
              <c:f>'00-三表与联动'!A147</c:f>
              <c:strCache>
                <c:ptCount val="1"/>
                <c:pt idx="0">
                  <c:v>自由现金流（口径一：OCF − 账面资本开支）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'00-三表与联动'!$B$147:$E$147</c:f>
              <c:numCache>
                <c:formatCode>#,##0;[RED]\(#,##0\);\-</c:formatCode>
                <c:ptCount val="4"/>
                <c:pt idx="0">
                  <c:v>438</c:v>
                </c:pt>
                <c:pt idx="1">
                  <c:v>980</c:v>
                </c:pt>
                <c:pt idx="2">
                  <c:v>2993</c:v>
                </c:pt>
                <c:pt idx="3">
                  <c:v>7083</c:v>
                </c:pt>
              </c:numCache>
            </c:numRef>
          </c:val>
        </c:ser>
        <c:ser>
          <c:idx val="2"/>
          <c:order val="2"/>
          <c:tx>
            <c:strRef>
              <c:f>'00-三表与联动'!A149</c:f>
              <c:strCache>
                <c:ptCount val="1"/>
                <c:pt idx="0">
                  <c:v>调整后自由现金流（口径二：扣 FV 投入）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'00-三表与联动'!$B$149:$E$149</c:f>
              <c:numCache>
                <c:formatCode>#,##0;[RED]\(#,##0\);\-</c:formatCode>
                <c:ptCount val="4"/>
                <c:pt idx="0">
                  <c:v>448</c:v>
                </c:pt>
                <c:pt idx="1">
                  <c:v>843</c:v>
                </c:pt>
                <c:pt idx="2">
                  <c:v>2955</c:v>
                </c:pt>
                <c:pt idx="3">
                  <c:v>6973</c:v>
                </c:pt>
              </c:numCache>
            </c:numRef>
          </c:val>
        </c:ser>
        <c:gapWidth val="60"/>
        <c:overlap val="0"/>
        <c:axId val="78827431"/>
        <c:axId val="62139148"/>
      </c:barChart>
      <c:catAx>
        <c:axId val="788274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2139148"/>
        <c:crosses val="autoZero"/>
        <c:auto val="1"/>
        <c:lblAlgn val="ctr"/>
        <c:lblOffset val="100"/>
        <c:noMultiLvlLbl val="0"/>
      </c:catAx>
      <c:valAx>
        <c:axId val="62139148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88274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5 · 摊薄每股收益：从 $0.75 到 $43.97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'00-三表与联动'!$A$52</c:f>
              <c:strCache>
                <c:ptCount val="1"/>
                <c:pt idx="0">
                  <c:v>摊薄每股收益 Diluted EPS ($)</c:v>
                </c:pt>
              </c:strCache>
            </c:strRef>
          </c:tx>
          <c:spPr>
            <a:solidFill>
              <a:srgbClr val="16305b"/>
            </a:solidFill>
            <a:ln w="44280">
              <a:solidFill>
                <a:srgbClr val="16305b"/>
              </a:solidFill>
              <a:round/>
            </a:ln>
          </c:spPr>
          <c:marker>
            <c:symbol val="circle"/>
            <c:size val="12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'00-三表与联动'!$B$27:$E$27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</c:v>
                </c:pt>
              </c:strCache>
            </c:strRef>
          </c:cat>
          <c:val>
            <c:numRef>
              <c:f>'00-三表与联动'!$B$52:$E$52</c:f>
              <c:numCache>
                <c:formatCode>#,##0.00;[RED]\(#,##0.00\);\-</c:formatCode>
                <c:ptCount val="4"/>
                <c:pt idx="0">
                  <c:v>0.75</c:v>
                </c:pt>
                <c:pt idx="1">
                  <c:v>5.15</c:v>
                </c:pt>
                <c:pt idx="2">
                  <c:v>23.03</c:v>
                </c:pt>
                <c:pt idx="3">
                  <c:v>43.97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344082"/>
        <c:axId val="95125768"/>
      </c:lineChart>
      <c:catAx>
        <c:axId val="883440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5125768"/>
        <c:crosses val="autoZero"/>
        <c:auto val="1"/>
        <c:lblAlgn val="ctr"/>
        <c:lblOffset val="100"/>
        <c:noMultiLvlLbl val="0"/>
      </c:catAx>
      <c:valAx>
        <c:axId val="95125768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摊薄每股收益（美元）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83440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1 · 收入 / 毛利 / 营业利润（悲观）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'01-DCF-悲观'!A228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'01-DCF-悲观'!$B$228:$H$228</c:f>
              <c:numCache>
                <c:formatCode>#,##0;[RED]\(#,##0\);\-</c:formatCode>
                <c:ptCount val="7"/>
                <c:pt idx="0">
                  <c:v>20248</c:v>
                </c:pt>
                <c:pt idx="1">
                  <c:v>36999.9997092743</c:v>
                </c:pt>
                <c:pt idx="2">
                  <c:v>24419.999808121</c:v>
                </c:pt>
                <c:pt idx="3">
                  <c:v>21977.9998273089</c:v>
                </c:pt>
                <c:pt idx="4">
                  <c:v>24615.359806586</c:v>
                </c:pt>
                <c:pt idx="5">
                  <c:v>27076.8957872446</c:v>
                </c:pt>
                <c:pt idx="6">
                  <c:v>29243.0474502242</c:v>
                </c:pt>
              </c:numCache>
            </c:numRef>
          </c:val>
        </c:ser>
        <c:ser>
          <c:idx val="1"/>
          <c:order val="1"/>
          <c:tx>
            <c:strRef>
              <c:f>'01-DCF-悲观'!A229</c:f>
              <c:strCache>
                <c:ptCount val="1"/>
                <c:pt idx="0">
                  <c:v>毛利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'01-DCF-悲观'!$B$229:$H$229</c:f>
              <c:numCache>
                <c:formatCode>#,##0;[RED]\(#,##0\);\-</c:formatCode>
                <c:ptCount val="7"/>
                <c:pt idx="0">
                  <c:v>14472</c:v>
                </c:pt>
                <c:pt idx="1">
                  <c:v>26935.4991756002</c:v>
                </c:pt>
                <c:pt idx="2">
                  <c:v>10256.3999194108</c:v>
                </c:pt>
                <c:pt idx="3">
                  <c:v>7912.07993783122</c:v>
                </c:pt>
                <c:pt idx="4">
                  <c:v>10584.604716832</c:v>
                </c:pt>
                <c:pt idx="5">
                  <c:v>12455.3720621325</c:v>
                </c:pt>
                <c:pt idx="6">
                  <c:v>13451.8018271031</c:v>
                </c:pt>
              </c:numCache>
            </c:numRef>
          </c:val>
        </c:ser>
        <c:ser>
          <c:idx val="2"/>
          <c:order val="2"/>
          <c:tx>
            <c:strRef>
              <c:f>'01-DCF-悲观'!A230</c:f>
              <c:strCache>
                <c:ptCount val="1"/>
                <c:pt idx="0">
                  <c:v>营业利润 EBIT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'01-DCF-悲观'!$B$230:$H$230</c:f>
              <c:numCache>
                <c:formatCode>#,##0;[RED]\(#,##0\);\-</c:formatCode>
                <c:ptCount val="7"/>
                <c:pt idx="0">
                  <c:v>12389</c:v>
                </c:pt>
                <c:pt idx="1">
                  <c:v>24345.499195951</c:v>
                </c:pt>
                <c:pt idx="2">
                  <c:v>8546.99993284237</c:v>
                </c:pt>
                <c:pt idx="3">
                  <c:v>6373.61994991959</c:v>
                </c:pt>
                <c:pt idx="4">
                  <c:v>8861.52953037097</c:v>
                </c:pt>
                <c:pt idx="5">
                  <c:v>10559.9893570254</c:v>
                </c:pt>
                <c:pt idx="6">
                  <c:v>11404.7885055874</c:v>
                </c:pt>
              </c:numCache>
            </c:numRef>
          </c:val>
        </c:ser>
        <c:gapWidth val="55"/>
        <c:overlap val="0"/>
        <c:axId val="79604710"/>
        <c:axId val="97480669"/>
      </c:barChart>
      <c:catAx>
        <c:axId val="79604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7480669"/>
        <c:crosses val="autoZero"/>
        <c:auto val="1"/>
        <c:lblAlgn val="ctr"/>
        <c:lblOffset val="100"/>
        <c:noMultiLvlLbl val="0"/>
      </c:catAx>
      <c:valAx>
        <c:axId val="97480669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96047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2 · 三条利润率曲线：毛利率 / 营业利润率 / FCFF 利润率（悲观）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'01-DCF-悲观'!$A$233</c:f>
              <c:strCache>
                <c:ptCount val="1"/>
                <c:pt idx="0">
                  <c:v>毛利率</c:v>
                </c:pt>
              </c:strCache>
            </c:strRef>
          </c:tx>
          <c:spPr>
            <a:solidFill>
              <a:srgbClr val="c0392b"/>
            </a:solidFill>
            <a:ln w="22320">
              <a:solidFill>
                <a:srgbClr val="c0392b"/>
              </a:solidFill>
              <a:round/>
            </a:ln>
          </c:spPr>
          <c:marker>
            <c:symbol val="circle"/>
            <c:size val="8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'01-DCF-悲观'!$B$233:$H$233</c:f>
              <c:numCache>
                <c:formatCode>0.0%</c:formatCode>
                <c:ptCount val="7"/>
                <c:pt idx="0">
                  <c:v>0.71473725800079</c:v>
                </c:pt>
                <c:pt idx="1">
                  <c:v>0.727986469925528</c:v>
                </c:pt>
                <c:pt idx="2">
                  <c:v>0.42</c:v>
                </c:pt>
                <c:pt idx="3">
                  <c:v>0.36</c:v>
                </c:pt>
                <c:pt idx="4">
                  <c:v>0.43</c:v>
                </c:pt>
                <c:pt idx="5">
                  <c:v>0.46</c:v>
                </c:pt>
                <c:pt idx="6">
                  <c:v>0.46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'01-DCF-悲观'!$A$234</c:f>
              <c:strCache>
                <c:ptCount val="1"/>
                <c:pt idx="0">
                  <c:v>营业利润率</c:v>
                </c:pt>
              </c:strCache>
            </c:strRef>
          </c:tx>
          <c:spPr>
            <a:solidFill>
              <a:srgbClr val="16305b"/>
            </a:solidFill>
            <a:ln w="22320">
              <a:solidFill>
                <a:srgbClr val="16305b"/>
              </a:solidFill>
              <a:round/>
            </a:ln>
          </c:spPr>
          <c:marker>
            <c:symbol val="circle"/>
            <c:size val="8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'01-DCF-悲观'!$B$234:$H$234</c:f>
              <c:numCache>
                <c:formatCode>0.0%</c:formatCode>
                <c:ptCount val="7"/>
                <c:pt idx="0">
                  <c:v>0.61186290003951</c:v>
                </c:pt>
                <c:pt idx="1">
                  <c:v>0.657986469925528</c:v>
                </c:pt>
                <c:pt idx="2">
                  <c:v>0.35</c:v>
                </c:pt>
                <c:pt idx="3">
                  <c:v>0.29</c:v>
                </c:pt>
                <c:pt idx="4">
                  <c:v>0.36</c:v>
                </c:pt>
                <c:pt idx="5">
                  <c:v>0.39</c:v>
                </c:pt>
                <c:pt idx="6">
                  <c:v>0.39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'01-DCF-悲观'!$A$235</c:f>
              <c:strCache>
                <c:ptCount val="1"/>
                <c:pt idx="0">
                  <c:v>FCFF 利润率</c:v>
                </c:pt>
              </c:strCache>
            </c:strRef>
          </c:tx>
          <c:spPr>
            <a:solidFill>
              <a:srgbClr val="2e9b57"/>
            </a:solidFill>
            <a:ln w="22320">
              <a:solidFill>
                <a:srgbClr val="2e9b57"/>
              </a:solidFill>
              <a:round/>
            </a:ln>
          </c:spPr>
          <c:marker>
            <c:symbol val="circle"/>
            <c:size val="8"/>
            <c:spPr>
              <a:solidFill>
                <a:srgbClr val="2e9b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'01-DCF-悲观'!$B$235:$H$235</c:f>
              <c:numCache>
                <c:formatCode>0.0%</c:formatCode>
                <c:ptCount val="7"/>
                <c:pt idx="0">
                  <c:v>0.554079415250889</c:v>
                </c:pt>
                <c:pt idx="1">
                  <c:v>0.492366609399097</c:v>
                </c:pt>
                <c:pt idx="2">
                  <c:v>0.345930303030303</c:v>
                </c:pt>
                <c:pt idx="3">
                  <c:v>0.215322222222222</c:v>
                </c:pt>
                <c:pt idx="4">
                  <c:v>0.229771428571429</c:v>
                </c:pt>
                <c:pt idx="5">
                  <c:v>0.257918181818182</c:v>
                </c:pt>
                <c:pt idx="6">
                  <c:v>0.261285185185185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303713"/>
        <c:axId val="86260960"/>
      </c:lineChart>
      <c:catAx>
        <c:axId val="253037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6260960"/>
        <c:crosses val="autoZero"/>
        <c:auto val="1"/>
        <c:lblAlgn val="ctr"/>
        <c:lblOffset val="100"/>
        <c:noMultiLvlLbl val="0"/>
      </c:catAx>
      <c:valAx>
        <c:axId val="8626096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占收入比重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53037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3 · 税后经营利润 NOPAT 与自由现金流 FCFF（悲观）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'01-DCF-悲观'!A231</c:f>
              <c:strCache>
                <c:ptCount val="1"/>
                <c:pt idx="0">
                  <c:v>税后经营利润 NOPAT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'01-DCF-悲观'!$B$231:$H$231</c:f>
              <c:numCache>
                <c:formatCode>#,##0;[RED]\(#,##0\);\-</c:formatCode>
                <c:ptCount val="7"/>
                <c:pt idx="0">
                  <c:v>11433</c:v>
                </c:pt>
                <c:pt idx="1">
                  <c:v>20206.7643326393</c:v>
                </c:pt>
                <c:pt idx="2">
                  <c:v>7094.00994425916</c:v>
                </c:pt>
                <c:pt idx="3">
                  <c:v>5290.10455843326</c:v>
                </c:pt>
                <c:pt idx="4">
                  <c:v>7355.0695102079</c:v>
                </c:pt>
                <c:pt idx="5">
                  <c:v>8764.79116633108</c:v>
                </c:pt>
                <c:pt idx="6">
                  <c:v>9465.97445963757</c:v>
                </c:pt>
              </c:numCache>
            </c:numRef>
          </c:val>
        </c:ser>
        <c:ser>
          <c:idx val="1"/>
          <c:order val="1"/>
          <c:tx>
            <c:strRef>
              <c:f>'01-DCF-悲观'!A232</c:f>
              <c:strCache>
                <c:ptCount val="1"/>
                <c:pt idx="0">
                  <c:v>自由现金流 FCFF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'01-DCF-悲观'!$B$232:$H$232</c:f>
              <c:numCache>
                <c:formatCode>#,##0;[RED]\(#,##0\);\-</c:formatCode>
                <c:ptCount val="7"/>
                <c:pt idx="0">
                  <c:v>11219</c:v>
                </c:pt>
                <c:pt idx="1">
                  <c:v>18217.564404623</c:v>
                </c:pt>
                <c:pt idx="2">
                  <c:v>8447.61793362326</c:v>
                </c:pt>
                <c:pt idx="3">
                  <c:v>4732.35176281578</c:v>
                </c:pt>
                <c:pt idx="4">
                  <c:v>5655.90638755899</c:v>
                </c:pt>
                <c:pt idx="5">
                  <c:v>6983.62373072652</c:v>
                </c:pt>
                <c:pt idx="6">
                  <c:v>7640.77506841099</c:v>
                </c:pt>
              </c:numCache>
            </c:numRef>
          </c:val>
        </c:ser>
        <c:gapWidth val="60"/>
        <c:overlap val="0"/>
        <c:axId val="87345877"/>
        <c:axId val="6164308"/>
      </c:barChart>
      <c:catAx>
        <c:axId val="87345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164308"/>
        <c:crosses val="autoZero"/>
        <c:auto val="1"/>
        <c:lblAlgn val="ctr"/>
        <c:lblOffset val="100"/>
        <c:noMultiLvlLbl val="0"/>
      </c:catAx>
      <c:valAx>
        <c:axId val="6164308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73458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4 · 摊薄每股收益 EPS（悲观）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'01-DCF-悲观'!$A$236</c:f>
              <c:strCache>
                <c:ptCount val="1"/>
                <c:pt idx="0">
                  <c:v>摊薄每股收益 EPS</c:v>
                </c:pt>
              </c:strCache>
            </c:strRef>
          </c:tx>
          <c:spPr>
            <a:solidFill>
              <a:srgbClr val="c0392b"/>
            </a:solidFill>
            <a:ln w="44280">
              <a:solidFill>
                <a:srgbClr val="c0392b"/>
              </a:solidFill>
              <a:round/>
            </a:ln>
          </c:spPr>
          <c:marker>
            <c:symbol val="circle"/>
            <c:size val="12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'01-DCF-悲观'!$B$236:$H$236</c:f>
              <c:numCache>
                <c:formatCode>\$#,##0.00</c:formatCode>
                <c:ptCount val="7"/>
                <c:pt idx="0">
                  <c:v>73.76</c:v>
                </c:pt>
                <c:pt idx="1">
                  <c:v>130.366221500899</c:v>
                </c:pt>
                <c:pt idx="2">
                  <c:v>45.7678060919946</c:v>
                </c:pt>
                <c:pt idx="3">
                  <c:v>34.1297068286017</c:v>
                </c:pt>
                <c:pt idx="4">
                  <c:v>47.45206135618</c:v>
                </c:pt>
                <c:pt idx="5">
                  <c:v>56.5470397827812</c:v>
                </c:pt>
                <c:pt idx="6">
                  <c:v>61.0708029654037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449121"/>
        <c:axId val="43510722"/>
      </c:lineChart>
      <c:catAx>
        <c:axId val="784491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3510722"/>
        <c:crosses val="autoZero"/>
        <c:auto val="1"/>
        <c:lblAlgn val="ctr"/>
        <c:lblOffset val="100"/>
        <c:noMultiLvlLbl val="0"/>
      </c:catAx>
      <c:valAx>
        <c:axId val="43510722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每股收益（美元）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84491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5 · 收入增速：从超级周期回归常态（悲观）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'01-DCF-悲观'!A237</c:f>
              <c:strCache>
                <c:ptCount val="1"/>
                <c:pt idx="0">
                  <c:v>收入增速 YoY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'01-DCF-悲观'!$B$237:$H$237</c:f>
              <c:numCache>
                <c:formatCode>0.0%</c:formatCode>
                <c:ptCount val="7"/>
                <c:pt idx="0">
                  <c:v>1.75295717199184</c:v>
                </c:pt>
                <c:pt idx="1">
                  <c:v>0.827340957589605</c:v>
                </c:pt>
                <c:pt idx="2">
                  <c:v>-0.34</c:v>
                </c:pt>
                <c:pt idx="3">
                  <c:v>-0.1</c:v>
                </c:pt>
                <c:pt idx="4">
                  <c:v>0.12</c:v>
                </c:pt>
                <c:pt idx="5">
                  <c:v>0.1</c:v>
                </c:pt>
                <c:pt idx="6">
                  <c:v>0.0800000000000001</c:v>
                </c:pt>
              </c:numCache>
            </c:numRef>
          </c:val>
        </c:ser>
        <c:gapWidth val="90"/>
        <c:overlap val="0"/>
        <c:axId val="25377644"/>
        <c:axId val="70061739"/>
      </c:barChart>
      <c:catAx>
        <c:axId val="25377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0061739"/>
        <c:crosses val="autoZero"/>
        <c:auto val="1"/>
        <c:lblAlgn val="ctr"/>
        <c:lblOffset val="100"/>
        <c:noMultiLvlLbl val="0"/>
      </c:catAx>
      <c:valAx>
        <c:axId val="70061739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同比增速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5377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6 · 敏感性：WACC × 终局毛利率下的每股价值（悲观）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'01-DCF-悲观'!I167</c:f>
              <c:strCache>
                <c:ptCount val="1"/>
                <c:pt idx="0">
                  <c:v>36.0%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12.00%</c:v>
                </c:pt>
                <c:pt idx="1">
                  <c:v>13.00%</c:v>
                </c:pt>
                <c:pt idx="2">
                  <c:v>14.00%</c:v>
                </c:pt>
                <c:pt idx="3">
                  <c:v>15.00%</c:v>
                </c:pt>
                <c:pt idx="4">
                  <c:v>16.00%</c:v>
                </c:pt>
              </c:strCache>
            </c:strRef>
          </c:cat>
          <c:val>
            <c:numRef>
              <c:f>'01-DCF-悲观'!$I$168:$I$172</c:f>
              <c:numCache>
                <c:formatCode>\$#,##0.00</c:formatCode>
                <c:ptCount val="5"/>
                <c:pt idx="0">
                  <c:v>490.847657409567</c:v>
                </c:pt>
                <c:pt idx="1">
                  <c:v>456.585603869033</c:v>
                </c:pt>
                <c:pt idx="2">
                  <c:v>427.662056194294</c:v>
                </c:pt>
                <c:pt idx="3">
                  <c:v>402.827121598876</c:v>
                </c:pt>
                <c:pt idx="4">
                  <c:v>381.199723549987</c:v>
                </c:pt>
              </c:numCache>
            </c:numRef>
          </c:val>
        </c:ser>
        <c:ser>
          <c:idx val="1"/>
          <c:order val="1"/>
          <c:tx>
            <c:strRef>
              <c:f>'01-DCF-悲观'!J167</c:f>
              <c:strCache>
                <c:ptCount val="1"/>
                <c:pt idx="0">
                  <c:v>41.0%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12.00%</c:v>
                </c:pt>
                <c:pt idx="1">
                  <c:v>13.00%</c:v>
                </c:pt>
                <c:pt idx="2">
                  <c:v>14.00%</c:v>
                </c:pt>
                <c:pt idx="3">
                  <c:v>15.00%</c:v>
                </c:pt>
                <c:pt idx="4">
                  <c:v>16.00%</c:v>
                </c:pt>
              </c:strCache>
            </c:strRef>
          </c:cat>
          <c:val>
            <c:numRef>
              <c:f>'01-DCF-悲观'!$J$168:$J$172</c:f>
              <c:numCache>
                <c:formatCode>\$#,##0.00</c:formatCode>
                <c:ptCount val="5"/>
                <c:pt idx="0">
                  <c:v>533.646413970972</c:v>
                </c:pt>
                <c:pt idx="1">
                  <c:v>493.297171760656</c:v>
                </c:pt>
                <c:pt idx="2">
                  <c:v>459.455380825825</c:v>
                </c:pt>
                <c:pt idx="3">
                  <c:v>430.58369417537</c:v>
                </c:pt>
                <c:pt idx="4">
                  <c:v>405.599238284134</c:v>
                </c:pt>
              </c:numCache>
            </c:numRef>
          </c:val>
        </c:ser>
        <c:ser>
          <c:idx val="2"/>
          <c:order val="2"/>
          <c:tx>
            <c:strRef>
              <c:f>'01-DCF-悲观'!K167</c:f>
              <c:strCache>
                <c:ptCount val="1"/>
                <c:pt idx="0">
                  <c:v>46.0%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12.00%</c:v>
                </c:pt>
                <c:pt idx="1">
                  <c:v>13.00%</c:v>
                </c:pt>
                <c:pt idx="2">
                  <c:v>14.00%</c:v>
                </c:pt>
                <c:pt idx="3">
                  <c:v>15.00%</c:v>
                </c:pt>
                <c:pt idx="4">
                  <c:v>16.00%</c:v>
                </c:pt>
              </c:strCache>
            </c:strRef>
          </c:cat>
          <c:val>
            <c:numRef>
              <c:f>'01-DCF-悲观'!$K$168:$K$172</c:f>
              <c:numCache>
                <c:formatCode>\$#,##0.00</c:formatCode>
                <c:ptCount val="5"/>
                <c:pt idx="0">
                  <c:v>576.445170532376</c:v>
                </c:pt>
                <c:pt idx="1">
                  <c:v>530.00873965228</c:v>
                </c:pt>
                <c:pt idx="2">
                  <c:v>491.248705457356</c:v>
                </c:pt>
                <c:pt idx="3">
                  <c:v>458.340266751865</c:v>
                </c:pt>
                <c:pt idx="4">
                  <c:v>429.99875301828</c:v>
                </c:pt>
              </c:numCache>
            </c:numRef>
          </c:val>
        </c:ser>
        <c:ser>
          <c:idx val="3"/>
          <c:order val="3"/>
          <c:tx>
            <c:strRef>
              <c:f>'01-DCF-悲观'!L167</c:f>
              <c:strCache>
                <c:ptCount val="1"/>
                <c:pt idx="0">
                  <c:v>51.0%</c:v>
                </c:pt>
              </c:strCache>
            </c:strRef>
          </c:tx>
          <c:spPr>
            <a:solidFill>
              <a:srgbClr val="7fb0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12.00%</c:v>
                </c:pt>
                <c:pt idx="1">
                  <c:v>13.00%</c:v>
                </c:pt>
                <c:pt idx="2">
                  <c:v>14.00%</c:v>
                </c:pt>
                <c:pt idx="3">
                  <c:v>15.00%</c:v>
                </c:pt>
                <c:pt idx="4">
                  <c:v>16.00%</c:v>
                </c:pt>
              </c:strCache>
            </c:strRef>
          </c:cat>
          <c:val>
            <c:numRef>
              <c:f>'01-DCF-悲观'!$L$168:$L$172</c:f>
              <c:numCache>
                <c:formatCode>\$#,##0.00</c:formatCode>
                <c:ptCount val="5"/>
                <c:pt idx="0">
                  <c:v>619.243927093781</c:v>
                </c:pt>
                <c:pt idx="1">
                  <c:v>566.720307543904</c:v>
                </c:pt>
                <c:pt idx="2">
                  <c:v>523.042030088888</c:v>
                </c:pt>
                <c:pt idx="3">
                  <c:v>486.096839328359</c:v>
                </c:pt>
                <c:pt idx="4">
                  <c:v>454.398267752427</c:v>
                </c:pt>
              </c:numCache>
            </c:numRef>
          </c:val>
        </c:ser>
        <c:ser>
          <c:idx val="4"/>
          <c:order val="4"/>
          <c:tx>
            <c:strRef>
              <c:f>'01-DCF-悲观'!M167</c:f>
              <c:strCache>
                <c:ptCount val="1"/>
                <c:pt idx="0">
                  <c:v>56.0%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12.00%</c:v>
                </c:pt>
                <c:pt idx="1">
                  <c:v>13.00%</c:v>
                </c:pt>
                <c:pt idx="2">
                  <c:v>14.00%</c:v>
                </c:pt>
                <c:pt idx="3">
                  <c:v>15.00%</c:v>
                </c:pt>
                <c:pt idx="4">
                  <c:v>16.00%</c:v>
                </c:pt>
              </c:strCache>
            </c:strRef>
          </c:cat>
          <c:val>
            <c:numRef>
              <c:f>'01-DCF-悲观'!$M$168:$M$172</c:f>
              <c:numCache>
                <c:formatCode>\$#,##0.00</c:formatCode>
                <c:ptCount val="5"/>
                <c:pt idx="0">
                  <c:v>662.042683655185</c:v>
                </c:pt>
                <c:pt idx="1">
                  <c:v>603.431875435527</c:v>
                </c:pt>
                <c:pt idx="2">
                  <c:v>554.835354720419</c:v>
                </c:pt>
                <c:pt idx="3">
                  <c:v>513.853411904853</c:v>
                </c:pt>
                <c:pt idx="4">
                  <c:v>478.797782486574</c:v>
                </c:pt>
              </c:numCache>
            </c:numRef>
          </c:val>
        </c:ser>
        <c:gapWidth val="45"/>
        <c:overlap val="0"/>
        <c:axId val="22670071"/>
        <c:axId val="85895152"/>
      </c:barChart>
      <c:catAx>
        <c:axId val="22670071"/>
        <c:scaling>
          <c:orientation val="minMax"/>
        </c:scaling>
        <c:delete val="0"/>
        <c:axPos val="b"/>
        <c:numFmt formatCode="\$#,##0.0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5895152"/>
        <c:crosses val="autoZero"/>
        <c:auto val="1"/>
        <c:lblAlgn val="ctr"/>
        <c:lblOffset val="100"/>
        <c:noMultiLvlLbl val="0"/>
      </c:catAx>
      <c:valAx>
        <c:axId val="85895152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26700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7 · 回购把股本压缩到什么程度（悲观）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'01-DCF-悲观'!A238</c:f>
              <c:strCache>
                <c:ptCount val="1"/>
                <c:pt idx="0">
                  <c:v>期末摊薄股数（百万股）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'01-DCF-悲观'!$B$238:$H$238</c:f>
              <c:numCache>
                <c:formatCode>#,##0.0</c:formatCode>
                <c:ptCount val="7"/>
                <c:pt idx="0">
                  <c:v>155</c:v>
                </c:pt>
                <c:pt idx="1">
                  <c:v>143.892062177454</c:v>
                </c:pt>
                <c:pt idx="2">
                  <c:v>139.419529469819</c:v>
                </c:pt>
                <c:pt idx="3">
                  <c:v>137.267555106319</c:v>
                </c:pt>
                <c:pt idx="4">
                  <c:v>135.003455009921</c:v>
                </c:pt>
                <c:pt idx="5">
                  <c:v>132.537078843513</c:v>
                </c:pt>
                <c:pt idx="6">
                  <c:v>130.168585617356</c:v>
                </c:pt>
              </c:numCache>
            </c:numRef>
          </c:val>
        </c:ser>
        <c:gapWidth val="80"/>
        <c:overlap val="0"/>
        <c:axId val="98867495"/>
        <c:axId val="82986810"/>
      </c:barChart>
      <c:catAx>
        <c:axId val="98867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2986810"/>
        <c:crosses val="autoZero"/>
        <c:auto val="1"/>
        <c:lblAlgn val="ctr"/>
        <c:lblOffset val="100"/>
        <c:noMultiLvlLbl val="0"/>
      </c:catAx>
      <c:valAx>
        <c:axId val="8298681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期末摊薄股数（百万股）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88674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8 · 四种口径的每股价值对照（悲观）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'01-DCF-悲观'!B219</c:f>
              <c:strCache>
                <c:ptCount val="1"/>
                <c:pt idx="0">
                  <c:v>每股价值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'01-DCF-悲观'!$A$220:$A$224</c:f>
              <c:strCache>
                <c:ptCount val="5"/>
                <c:pt idx="0">
                  <c:v>DCF（企业自由现金流）</c:v>
                </c:pt>
                <c:pt idx="1">
                  <c:v>EPS × P/E（含回购）</c:v>
                </c:pt>
                <c:pt idx="2">
                  <c:v>12 个月目标价（FY27）</c:v>
                </c:pt>
                <c:pt idx="3">
                  <c:v>当前股价</c:v>
                </c:pt>
                <c:pt idx="4">
                  <c:v>卖方一致目标价</c:v>
                </c:pt>
              </c:strCache>
            </c:strRef>
          </c:cat>
          <c:val>
            <c:numRef>
              <c:f>'01-DCF-悲观'!$B$220:$B$224</c:f>
              <c:numCache>
                <c:formatCode>\$#,##0</c:formatCode>
                <c:ptCount val="5"/>
                <c:pt idx="0">
                  <c:v>498.861303730054</c:v>
                </c:pt>
                <c:pt idx="1">
                  <c:v>321.062227555758</c:v>
                </c:pt>
                <c:pt idx="2">
                  <c:v>747.593856362507</c:v>
                </c:pt>
                <c:pt idx="3">
                  <c:v>1500.17</c:v>
                </c:pt>
                <c:pt idx="4">
                  <c:v>2126</c:v>
                </c:pt>
              </c:numCache>
            </c:numRef>
          </c:val>
        </c:ser>
        <c:gapWidth val="55"/>
        <c:overlap val="0"/>
        <c:axId val="52825023"/>
        <c:axId val="62981791"/>
      </c:barChart>
      <c:catAx>
        <c:axId val="52825023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2981791"/>
        <c:crosses val="autoZero"/>
        <c:auto val="1"/>
        <c:lblAlgn val="ctr"/>
        <c:lblOffset val="100"/>
        <c:noMultiLvlLbl val="0"/>
      </c:catAx>
      <c:valAx>
        <c:axId val="62981791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28250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1 · 收入 / 毛利 / 营业利润（基准）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'02-DCF-基准'!A228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'02-DCF-基准'!$B$228:$H$228</c:f>
              <c:numCache>
                <c:formatCode>#,##0;[RED]\(#,##0\);\-</c:formatCode>
                <c:ptCount val="7"/>
                <c:pt idx="0">
                  <c:v>20248</c:v>
                </c:pt>
                <c:pt idx="1">
                  <c:v>41849.9936630439</c:v>
                </c:pt>
                <c:pt idx="2">
                  <c:v>34316.994803696</c:v>
                </c:pt>
                <c:pt idx="3">
                  <c:v>39121.3740762134</c:v>
                </c:pt>
                <c:pt idx="4">
                  <c:v>44989.5801876454</c:v>
                </c:pt>
                <c:pt idx="5">
                  <c:v>50388.3298101629</c:v>
                </c:pt>
                <c:pt idx="6">
                  <c:v>55427.1627911792</c:v>
                </c:pt>
              </c:numCache>
            </c:numRef>
          </c:val>
        </c:ser>
        <c:ser>
          <c:idx val="1"/>
          <c:order val="1"/>
          <c:tx>
            <c:strRef>
              <c:f>'02-DCF-基准'!A229</c:f>
              <c:strCache>
                <c:ptCount val="1"/>
                <c:pt idx="0">
                  <c:v>毛利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'02-DCF-基准'!$B$229:$H$229</c:f>
              <c:numCache>
                <c:formatCode>#,##0;[RED]\(#,##0\);\-</c:formatCode>
                <c:ptCount val="7"/>
                <c:pt idx="0">
                  <c:v>14472</c:v>
                </c:pt>
                <c:pt idx="1">
                  <c:v>33723.9949990988</c:v>
                </c:pt>
                <c:pt idx="2">
                  <c:v>22649.2165704393</c:v>
                </c:pt>
                <c:pt idx="3">
                  <c:v>27384.9618533494</c:v>
                </c:pt>
                <c:pt idx="4">
                  <c:v>32392.4977351047</c:v>
                </c:pt>
                <c:pt idx="5">
                  <c:v>35271.830867114</c:v>
                </c:pt>
                <c:pt idx="6">
                  <c:v>37690.4706980018</c:v>
                </c:pt>
              </c:numCache>
            </c:numRef>
          </c:val>
        </c:ser>
        <c:ser>
          <c:idx val="2"/>
          <c:order val="2"/>
          <c:tx>
            <c:strRef>
              <c:f>'02-DCF-基准'!A230</c:f>
              <c:strCache>
                <c:ptCount val="1"/>
                <c:pt idx="0">
                  <c:v>营业利润 EBIT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'02-DCF-基准'!$B$230:$H$230</c:f>
              <c:numCache>
                <c:formatCode>#,##0;[RED]\(#,##0\);\-</c:formatCode>
                <c:ptCount val="7"/>
                <c:pt idx="0">
                  <c:v>12389</c:v>
                </c:pt>
                <c:pt idx="1">
                  <c:v>31296.6953666422</c:v>
                </c:pt>
                <c:pt idx="2">
                  <c:v>20658.830871825</c:v>
                </c:pt>
                <c:pt idx="3">
                  <c:v>25115.922156929</c:v>
                </c:pt>
                <c:pt idx="4">
                  <c:v>29783.1020842213</c:v>
                </c:pt>
                <c:pt idx="5">
                  <c:v>32349.3077381246</c:v>
                </c:pt>
                <c:pt idx="6">
                  <c:v>34475.6952561134</c:v>
                </c:pt>
              </c:numCache>
            </c:numRef>
          </c:val>
        </c:ser>
        <c:gapWidth val="55"/>
        <c:overlap val="0"/>
        <c:axId val="67569452"/>
        <c:axId val="97763734"/>
      </c:barChart>
      <c:catAx>
        <c:axId val="675694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7763734"/>
        <c:crosses val="autoZero"/>
        <c:auto val="1"/>
        <c:lblAlgn val="ctr"/>
        <c:lblOffset val="100"/>
        <c:noMultiLvlLbl val="0"/>
      </c:catAx>
      <c:valAx>
        <c:axId val="97763734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75694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2 · 三条利润率曲线：毛利率 / 营业利润率 / FCFF 利润率（基准）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'02-DCF-基准'!$A$233</c:f>
              <c:strCache>
                <c:ptCount val="1"/>
                <c:pt idx="0">
                  <c:v>毛利率</c:v>
                </c:pt>
              </c:strCache>
            </c:strRef>
          </c:tx>
          <c:spPr>
            <a:solidFill>
              <a:srgbClr val="c0392b"/>
            </a:solidFill>
            <a:ln w="22320">
              <a:solidFill>
                <a:srgbClr val="c0392b"/>
              </a:solidFill>
              <a:round/>
            </a:ln>
          </c:spPr>
          <c:marker>
            <c:symbol val="circle"/>
            <c:size val="8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'02-DCF-基准'!$B$233:$H$233</c:f>
              <c:numCache>
                <c:formatCode>0.0%</c:formatCode>
                <c:ptCount val="7"/>
                <c:pt idx="0">
                  <c:v>0.71473725800079</c:v>
                </c:pt>
                <c:pt idx="1">
                  <c:v>0.805830348999053</c:v>
                </c:pt>
                <c:pt idx="2">
                  <c:v>0.66</c:v>
                </c:pt>
                <c:pt idx="3">
                  <c:v>0.7</c:v>
                </c:pt>
                <c:pt idx="4">
                  <c:v>0.72</c:v>
                </c:pt>
                <c:pt idx="5">
                  <c:v>0.7</c:v>
                </c:pt>
                <c:pt idx="6">
                  <c:v>0.68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'02-DCF-基准'!$A$234</c:f>
              <c:strCache>
                <c:ptCount val="1"/>
                <c:pt idx="0">
                  <c:v>营业利润率</c:v>
                </c:pt>
              </c:strCache>
            </c:strRef>
          </c:tx>
          <c:spPr>
            <a:solidFill>
              <a:srgbClr val="16305b"/>
            </a:solidFill>
            <a:ln w="22320">
              <a:solidFill>
                <a:srgbClr val="16305b"/>
              </a:solidFill>
              <a:round/>
            </a:ln>
          </c:spPr>
          <c:marker>
            <c:symbol val="circle"/>
            <c:size val="8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'02-DCF-基准'!$B$234:$H$234</c:f>
              <c:numCache>
                <c:formatCode>0.0%</c:formatCode>
                <c:ptCount val="7"/>
                <c:pt idx="0">
                  <c:v>0.61186290003951</c:v>
                </c:pt>
                <c:pt idx="1">
                  <c:v>0.747830348999053</c:v>
                </c:pt>
                <c:pt idx="2">
                  <c:v>0.602</c:v>
                </c:pt>
                <c:pt idx="3">
                  <c:v>0.642</c:v>
                </c:pt>
                <c:pt idx="4">
                  <c:v>0.662</c:v>
                </c:pt>
                <c:pt idx="5">
                  <c:v>0.642</c:v>
                </c:pt>
                <c:pt idx="6">
                  <c:v>0.622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'02-DCF-基准'!$A$235</c:f>
              <c:strCache>
                <c:ptCount val="1"/>
                <c:pt idx="0">
                  <c:v>FCFF 利润率</c:v>
                </c:pt>
              </c:strCache>
            </c:strRef>
          </c:tx>
          <c:spPr>
            <a:solidFill>
              <a:srgbClr val="2e9b57"/>
            </a:solidFill>
            <a:ln w="22320">
              <a:solidFill>
                <a:srgbClr val="2e9b57"/>
              </a:solidFill>
              <a:round/>
            </a:ln>
          </c:spPr>
          <c:marker>
            <c:symbol val="circle"/>
            <c:size val="8"/>
            <c:spPr>
              <a:solidFill>
                <a:srgbClr val="2e9b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'02-DCF-基准'!$B$235:$H$235</c:f>
              <c:numCache>
                <c:formatCode>0.0%</c:formatCode>
                <c:ptCount val="7"/>
                <c:pt idx="0">
                  <c:v>0.554079415250889</c:v>
                </c:pt>
                <c:pt idx="1">
                  <c:v>0.5598140756536</c:v>
                </c:pt>
                <c:pt idx="2">
                  <c:v>0.502592195121951</c:v>
                </c:pt>
                <c:pt idx="3">
                  <c:v>0.474574736842105</c:v>
                </c:pt>
                <c:pt idx="4">
                  <c:v>0.490001739130435</c:v>
                </c:pt>
                <c:pt idx="5">
                  <c:v>0.477394285714286</c:v>
                </c:pt>
                <c:pt idx="6">
                  <c:v>0.463516363636364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727365"/>
        <c:axId val="62566433"/>
      </c:lineChart>
      <c:catAx>
        <c:axId val="517273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2566433"/>
        <c:crosses val="autoZero"/>
        <c:auto val="1"/>
        <c:lblAlgn val="ctr"/>
        <c:lblOffset val="100"/>
        <c:noMultiLvlLbl val="0"/>
      </c:catAx>
      <c:valAx>
        <c:axId val="62566433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占收入比重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17273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3 · 税后经营利润 NOPAT 与自由现金流 FCFF（基准）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'02-DCF-基准'!A231</c:f>
              <c:strCache>
                <c:ptCount val="1"/>
                <c:pt idx="0">
                  <c:v>税后经营利润 NOPAT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'02-DCF-基准'!$B$231:$H$231</c:f>
              <c:numCache>
                <c:formatCode>#,##0;[RED]\(#,##0\);\-</c:formatCode>
                <c:ptCount val="7"/>
                <c:pt idx="0">
                  <c:v>11433</c:v>
                </c:pt>
                <c:pt idx="1">
                  <c:v>26289.2241079795</c:v>
                </c:pt>
                <c:pt idx="2">
                  <c:v>17353.417932333</c:v>
                </c:pt>
                <c:pt idx="3">
                  <c:v>21097.3746118204</c:v>
                </c:pt>
                <c:pt idx="4">
                  <c:v>25017.8057507459</c:v>
                </c:pt>
                <c:pt idx="5">
                  <c:v>27173.4185000246</c:v>
                </c:pt>
                <c:pt idx="6">
                  <c:v>28959.5840151353</c:v>
                </c:pt>
              </c:numCache>
            </c:numRef>
          </c:val>
        </c:ser>
        <c:ser>
          <c:idx val="1"/>
          <c:order val="1"/>
          <c:tx>
            <c:strRef>
              <c:f>'02-DCF-基准'!A232</c:f>
              <c:strCache>
                <c:ptCount val="1"/>
                <c:pt idx="0">
                  <c:v>自由现金流 FCFF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'02-DCF-基准'!$B$232:$H$232</c:f>
              <c:numCache>
                <c:formatCode>#,##0;[RED]\(#,##0\);\-</c:formatCode>
                <c:ptCount val="7"/>
                <c:pt idx="0">
                  <c:v>11219</c:v>
                </c:pt>
                <c:pt idx="1">
                  <c:v>23428.2155185859</c:v>
                </c:pt>
                <c:pt idx="2">
                  <c:v>17247.4537483782</c:v>
                </c:pt>
                <c:pt idx="3">
                  <c:v>18566.0158071205</c:v>
                </c:pt>
                <c:pt idx="4">
                  <c:v>22044.9725346944</c:v>
                </c:pt>
                <c:pt idx="5">
                  <c:v>24055.1007180586</c:v>
                </c:pt>
                <c:pt idx="6">
                  <c:v>25691.3969436481</c:v>
                </c:pt>
              </c:numCache>
            </c:numRef>
          </c:val>
        </c:ser>
        <c:gapWidth val="60"/>
        <c:overlap val="0"/>
        <c:axId val="19908419"/>
        <c:axId val="2742015"/>
      </c:barChart>
      <c:catAx>
        <c:axId val="199084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742015"/>
        <c:crosses val="autoZero"/>
        <c:auto val="1"/>
        <c:lblAlgn val="ctr"/>
        <c:lblOffset val="100"/>
        <c:noMultiLvlLbl val="0"/>
      </c:catAx>
      <c:valAx>
        <c:axId val="2742015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99084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4 · 摊薄每股收益 EPS（基准）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'02-DCF-基准'!$A$236</c:f>
              <c:strCache>
                <c:ptCount val="1"/>
                <c:pt idx="0">
                  <c:v>摊薄每股收益 EPS</c:v>
                </c:pt>
              </c:strCache>
            </c:strRef>
          </c:tx>
          <c:spPr>
            <a:solidFill>
              <a:srgbClr val="16305b"/>
            </a:solidFill>
            <a:ln w="44280">
              <a:solidFill>
                <a:srgbClr val="16305b"/>
              </a:solidFill>
              <a:round/>
            </a:ln>
          </c:spPr>
          <c:marker>
            <c:symbol val="circle"/>
            <c:size val="12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'02-DCF-基准'!$B$236:$H$236</c:f>
              <c:numCache>
                <c:formatCode>\$#,##0.00</c:formatCode>
                <c:ptCount val="7"/>
                <c:pt idx="0">
                  <c:v>73.76</c:v>
                </c:pt>
                <c:pt idx="1">
                  <c:v>169.607897470835</c:v>
                </c:pt>
                <c:pt idx="2">
                  <c:v>111.95753504731</c:v>
                </c:pt>
                <c:pt idx="3">
                  <c:v>136.112094269809</c:v>
                </c:pt>
                <c:pt idx="4">
                  <c:v>161.405198391909</c:v>
                </c:pt>
                <c:pt idx="5">
                  <c:v>175.312377419514</c:v>
                </c:pt>
                <c:pt idx="6">
                  <c:v>186.836025904099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819306"/>
        <c:axId val="7186816"/>
      </c:lineChart>
      <c:catAx>
        <c:axId val="458193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186816"/>
        <c:crosses val="autoZero"/>
        <c:auto val="1"/>
        <c:lblAlgn val="ctr"/>
        <c:lblOffset val="100"/>
        <c:noMultiLvlLbl val="0"/>
      </c:catAx>
      <c:valAx>
        <c:axId val="7186816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每股收益（美元）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5819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5 · 收入增速：从超级周期回归常态（基准）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'02-DCF-基准'!A237</c:f>
              <c:strCache>
                <c:ptCount val="1"/>
                <c:pt idx="0">
                  <c:v>收入增速 YoY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'02-DCF-基准'!$B$237:$H$237</c:f>
              <c:numCache>
                <c:formatCode>0.0%</c:formatCode>
                <c:ptCount val="7"/>
                <c:pt idx="0">
                  <c:v>1.75295717199184</c:v>
                </c:pt>
                <c:pt idx="1">
                  <c:v>1.06687048908751</c:v>
                </c:pt>
                <c:pt idx="2">
                  <c:v>-0.18</c:v>
                </c:pt>
                <c:pt idx="3">
                  <c:v>0.14</c:v>
                </c:pt>
                <c:pt idx="4">
                  <c:v>0.15</c:v>
                </c:pt>
                <c:pt idx="5">
                  <c:v>0.12</c:v>
                </c:pt>
                <c:pt idx="6">
                  <c:v>0.1</c:v>
                </c:pt>
              </c:numCache>
            </c:numRef>
          </c:val>
        </c:ser>
        <c:gapWidth val="90"/>
        <c:overlap val="0"/>
        <c:axId val="12610001"/>
        <c:axId val="34488594"/>
      </c:barChart>
      <c:catAx>
        <c:axId val="1261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4488594"/>
        <c:crosses val="autoZero"/>
        <c:auto val="1"/>
        <c:lblAlgn val="ctr"/>
        <c:lblOffset val="100"/>
        <c:noMultiLvlLbl val="0"/>
      </c:catAx>
      <c:valAx>
        <c:axId val="34488594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同比增速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261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6 · 敏感性：WACC × 终局毛利率下的每股价值（基准）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'02-DCF-基准'!I167</c:f>
              <c:strCache>
                <c:ptCount val="1"/>
                <c:pt idx="0">
                  <c:v>58.0%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10.00%</c:v>
                </c:pt>
                <c:pt idx="1">
                  <c:v>11.00%</c:v>
                </c:pt>
                <c:pt idx="2">
                  <c:v>12.00%</c:v>
                </c:pt>
                <c:pt idx="3">
                  <c:v>13.00%</c:v>
                </c:pt>
                <c:pt idx="4">
                  <c:v>14.00%</c:v>
                </c:pt>
              </c:strCache>
            </c:strRef>
          </c:cat>
          <c:val>
            <c:numRef>
              <c:f>'02-DCF-基准'!$I$168:$I$172</c:f>
              <c:numCache>
                <c:formatCode>\$#,##0.00</c:formatCode>
                <c:ptCount val="5"/>
                <c:pt idx="0">
                  <c:v>1813.40870139</c:v>
                </c:pt>
                <c:pt idx="1">
                  <c:v>1600.30099152815</c:v>
                </c:pt>
                <c:pt idx="2">
                  <c:v>1433.71830955091</c:v>
                </c:pt>
                <c:pt idx="3">
                  <c:v>1299.72758872561</c:v>
                </c:pt>
                <c:pt idx="4">
                  <c:v>1189.46292456875</c:v>
                </c:pt>
              </c:numCache>
            </c:numRef>
          </c:val>
        </c:ser>
        <c:ser>
          <c:idx val="1"/>
          <c:order val="1"/>
          <c:tx>
            <c:strRef>
              <c:f>'02-DCF-基准'!J167</c:f>
              <c:strCache>
                <c:ptCount val="1"/>
                <c:pt idx="0">
                  <c:v>63.0%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10.00%</c:v>
                </c:pt>
                <c:pt idx="1">
                  <c:v>11.00%</c:v>
                </c:pt>
                <c:pt idx="2">
                  <c:v>12.00%</c:v>
                </c:pt>
                <c:pt idx="3">
                  <c:v>13.00%</c:v>
                </c:pt>
                <c:pt idx="4">
                  <c:v>14.00%</c:v>
                </c:pt>
              </c:strCache>
            </c:strRef>
          </c:cat>
          <c:val>
            <c:numRef>
              <c:f>'02-DCF-基准'!$J$168:$J$172</c:f>
              <c:numCache>
                <c:formatCode>\$#,##0.00</c:formatCode>
                <c:ptCount val="5"/>
                <c:pt idx="0">
                  <c:v>1938.15374938294</c:v>
                </c:pt>
                <c:pt idx="1">
                  <c:v>1703.68410464501</c:v>
                </c:pt>
                <c:pt idx="2">
                  <c:v>1520.79999375823</c:v>
                </c:pt>
                <c:pt idx="3">
                  <c:v>1374.03066668279</c:v>
                </c:pt>
                <c:pt idx="4">
                  <c:v>1253.53306445869</c:v>
                </c:pt>
              </c:numCache>
            </c:numRef>
          </c:val>
        </c:ser>
        <c:ser>
          <c:idx val="2"/>
          <c:order val="2"/>
          <c:tx>
            <c:strRef>
              <c:f>'02-DCF-基准'!K167</c:f>
              <c:strCache>
                <c:ptCount val="1"/>
                <c:pt idx="0">
                  <c:v>68.0%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10.00%</c:v>
                </c:pt>
                <c:pt idx="1">
                  <c:v>11.00%</c:v>
                </c:pt>
                <c:pt idx="2">
                  <c:v>12.00%</c:v>
                </c:pt>
                <c:pt idx="3">
                  <c:v>13.00%</c:v>
                </c:pt>
                <c:pt idx="4">
                  <c:v>14.00%</c:v>
                </c:pt>
              </c:strCache>
            </c:strRef>
          </c:cat>
          <c:val>
            <c:numRef>
              <c:f>'02-DCF-基准'!$K$168:$K$172</c:f>
              <c:numCache>
                <c:formatCode>\$#,##0.00</c:formatCode>
                <c:ptCount val="5"/>
                <c:pt idx="0">
                  <c:v>2062.89879737587</c:v>
                </c:pt>
                <c:pt idx="1">
                  <c:v>1807.06721776187</c:v>
                </c:pt>
                <c:pt idx="2">
                  <c:v>1607.88167796554</c:v>
                </c:pt>
                <c:pt idx="3">
                  <c:v>1448.33374463997</c:v>
                </c:pt>
                <c:pt idx="4">
                  <c:v>1317.60320434863</c:v>
                </c:pt>
              </c:numCache>
            </c:numRef>
          </c:val>
        </c:ser>
        <c:ser>
          <c:idx val="3"/>
          <c:order val="3"/>
          <c:tx>
            <c:strRef>
              <c:f>'02-DCF-基准'!L167</c:f>
              <c:strCache>
                <c:ptCount val="1"/>
                <c:pt idx="0">
                  <c:v>73.0%</c:v>
                </c:pt>
              </c:strCache>
            </c:strRef>
          </c:tx>
          <c:spPr>
            <a:solidFill>
              <a:srgbClr val="7fb0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10.00%</c:v>
                </c:pt>
                <c:pt idx="1">
                  <c:v>11.00%</c:v>
                </c:pt>
                <c:pt idx="2">
                  <c:v>12.00%</c:v>
                </c:pt>
                <c:pt idx="3">
                  <c:v>13.00%</c:v>
                </c:pt>
                <c:pt idx="4">
                  <c:v>14.00%</c:v>
                </c:pt>
              </c:strCache>
            </c:strRef>
          </c:cat>
          <c:val>
            <c:numRef>
              <c:f>'02-DCF-基准'!$L$168:$L$172</c:f>
              <c:numCache>
                <c:formatCode>\$#,##0.00</c:formatCode>
                <c:ptCount val="5"/>
                <c:pt idx="0">
                  <c:v>2187.64384536881</c:v>
                </c:pt>
                <c:pt idx="1">
                  <c:v>1910.45033087873</c:v>
                </c:pt>
                <c:pt idx="2">
                  <c:v>1694.96336217286</c:v>
                </c:pt>
                <c:pt idx="3">
                  <c:v>1522.63682259714</c:v>
                </c:pt>
                <c:pt idx="4">
                  <c:v>1381.67334423857</c:v>
                </c:pt>
              </c:numCache>
            </c:numRef>
          </c:val>
        </c:ser>
        <c:ser>
          <c:idx val="4"/>
          <c:order val="4"/>
          <c:tx>
            <c:strRef>
              <c:f>'02-DCF-基准'!M167</c:f>
              <c:strCache>
                <c:ptCount val="1"/>
                <c:pt idx="0">
                  <c:v>78.0%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10.00%</c:v>
                </c:pt>
                <c:pt idx="1">
                  <c:v>11.00%</c:v>
                </c:pt>
                <c:pt idx="2">
                  <c:v>12.00%</c:v>
                </c:pt>
                <c:pt idx="3">
                  <c:v>13.00%</c:v>
                </c:pt>
                <c:pt idx="4">
                  <c:v>14.00%</c:v>
                </c:pt>
              </c:strCache>
            </c:strRef>
          </c:cat>
          <c:val>
            <c:numRef>
              <c:f>'02-DCF-基准'!$M$168:$M$172</c:f>
              <c:numCache>
                <c:formatCode>\$#,##0.00</c:formatCode>
                <c:ptCount val="5"/>
                <c:pt idx="0">
                  <c:v>2312.38889336174</c:v>
                </c:pt>
                <c:pt idx="1">
                  <c:v>2013.83344399559</c:v>
                </c:pt>
                <c:pt idx="2">
                  <c:v>1782.04504638018</c:v>
                </c:pt>
                <c:pt idx="3">
                  <c:v>1596.93990055432</c:v>
                </c:pt>
                <c:pt idx="4">
                  <c:v>1445.74348412852</c:v>
                </c:pt>
              </c:numCache>
            </c:numRef>
          </c:val>
        </c:ser>
        <c:gapWidth val="45"/>
        <c:overlap val="0"/>
        <c:axId val="20906306"/>
        <c:axId val="50640546"/>
      </c:barChart>
      <c:catAx>
        <c:axId val="20906306"/>
        <c:scaling>
          <c:orientation val="minMax"/>
        </c:scaling>
        <c:delete val="0"/>
        <c:axPos val="b"/>
        <c:numFmt formatCode="\$#,##0.0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0640546"/>
        <c:crosses val="autoZero"/>
        <c:auto val="1"/>
        <c:lblAlgn val="ctr"/>
        <c:lblOffset val="100"/>
        <c:noMultiLvlLbl val="0"/>
      </c:catAx>
      <c:valAx>
        <c:axId val="50640546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09063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7 · 回购把股本压缩到什么程度（基准）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'02-DCF-基准'!A238</c:f>
              <c:strCache>
                <c:ptCount val="1"/>
                <c:pt idx="0">
                  <c:v>期末摊薄股数（百万股）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'02-DCF-基准'!$B$238:$H$238</c:f>
              <c:numCache>
                <c:formatCode>#,##0.0</c:formatCode>
                <c:ptCount val="7"/>
                <c:pt idx="0">
                  <c:v>155</c:v>
                </c:pt>
                <c:pt idx="1">
                  <c:v>140.546424225545</c:v>
                </c:pt>
                <c:pt idx="2">
                  <c:v>131.068684662651</c:v>
                </c:pt>
                <c:pt idx="3">
                  <c:v>121.972072979702</c:v>
                </c:pt>
                <c:pt idx="4">
                  <c:v>112.320637637364</c:v>
                </c:pt>
                <c:pt idx="5">
                  <c:v>102.923496086514</c:v>
                </c:pt>
                <c:pt idx="6">
                  <c:v>93.9690813671454</c:v>
                </c:pt>
              </c:numCache>
            </c:numRef>
          </c:val>
        </c:ser>
        <c:gapWidth val="80"/>
        <c:overlap val="0"/>
        <c:axId val="74100642"/>
        <c:axId val="35934395"/>
      </c:barChart>
      <c:catAx>
        <c:axId val="741006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5934395"/>
        <c:crosses val="autoZero"/>
        <c:auto val="1"/>
        <c:lblAlgn val="ctr"/>
        <c:lblOffset val="100"/>
        <c:noMultiLvlLbl val="0"/>
      </c:catAx>
      <c:valAx>
        <c:axId val="35934395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期末摊薄股数（百万股）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41006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8 · 四种口径的每股价值对照（基准）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'02-DCF-基准'!B219</c:f>
              <c:strCache>
                <c:ptCount val="1"/>
                <c:pt idx="0">
                  <c:v>每股价值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'02-DCF-基准'!$A$220:$A$224</c:f>
              <c:strCache>
                <c:ptCount val="5"/>
                <c:pt idx="0">
                  <c:v>DCF（企业自由现金流）</c:v>
                </c:pt>
                <c:pt idx="1">
                  <c:v>EPS × P/E（含回购）</c:v>
                </c:pt>
                <c:pt idx="2">
                  <c:v>12 个月目标价（FY27）</c:v>
                </c:pt>
                <c:pt idx="3">
                  <c:v>当前股价</c:v>
                </c:pt>
                <c:pt idx="4">
                  <c:v>卖方一致目标价</c:v>
                </c:pt>
              </c:strCache>
            </c:strRef>
          </c:cat>
          <c:val>
            <c:numRef>
              <c:f>'02-DCF-基准'!$B$220:$B$224</c:f>
              <c:numCache>
                <c:formatCode>\$#,##0</c:formatCode>
                <c:ptCount val="5"/>
                <c:pt idx="0">
                  <c:v>1630.93949373094</c:v>
                </c:pt>
                <c:pt idx="1">
                  <c:v>2065.0048166656</c:v>
                </c:pt>
                <c:pt idx="2">
                  <c:v>1542.92643202246</c:v>
                </c:pt>
                <c:pt idx="3">
                  <c:v>1500.17</c:v>
                </c:pt>
                <c:pt idx="4">
                  <c:v>2126</c:v>
                </c:pt>
              </c:numCache>
            </c:numRef>
          </c:val>
        </c:ser>
        <c:gapWidth val="55"/>
        <c:overlap val="0"/>
        <c:axId val="18829183"/>
        <c:axId val="23872994"/>
      </c:barChart>
      <c:catAx>
        <c:axId val="18829183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3872994"/>
        <c:crosses val="autoZero"/>
        <c:auto val="1"/>
        <c:lblAlgn val="ctr"/>
        <c:lblOffset val="100"/>
        <c:noMultiLvlLbl val="0"/>
      </c:catAx>
      <c:valAx>
        <c:axId val="23872994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88291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1 · 收入 / 毛利 / 营业利润（乐观）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'03-DCF-乐观'!A228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'03-DCF-乐观'!$B$228:$H$228</c:f>
              <c:numCache>
                <c:formatCode>#,##0;[RED]\(#,##0\);\-</c:formatCode>
                <c:ptCount val="7"/>
                <c:pt idx="0">
                  <c:v>20248</c:v>
                </c:pt>
                <c:pt idx="1">
                  <c:v>49199.986616986</c:v>
                </c:pt>
                <c:pt idx="2">
                  <c:v>58055.9842080434</c:v>
                </c:pt>
                <c:pt idx="3">
                  <c:v>67925.5015234108</c:v>
                </c:pt>
                <c:pt idx="4">
                  <c:v>78793.5817671566</c:v>
                </c:pt>
                <c:pt idx="5">
                  <c:v>88248.8115792153</c:v>
                </c:pt>
                <c:pt idx="6">
                  <c:v>97073.6927371369</c:v>
                </c:pt>
              </c:numCache>
            </c:numRef>
          </c:val>
        </c:ser>
        <c:ser>
          <c:idx val="1"/>
          <c:order val="1"/>
          <c:tx>
            <c:strRef>
              <c:f>'03-DCF-乐观'!A229</c:f>
              <c:strCache>
                <c:ptCount val="1"/>
                <c:pt idx="0">
                  <c:v>毛利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'03-DCF-乐观'!$B$229:$H$229</c:f>
              <c:numCache>
                <c:formatCode>#,##0;[RED]\(#,##0\);\-</c:formatCode>
                <c:ptCount val="7"/>
                <c:pt idx="0">
                  <c:v>14472</c:v>
                </c:pt>
                <c:pt idx="1">
                  <c:v>41731.0886348948</c:v>
                </c:pt>
                <c:pt idx="2">
                  <c:v>46444.7873664348</c:v>
                </c:pt>
                <c:pt idx="3">
                  <c:v>54340.4012187287</c:v>
                </c:pt>
                <c:pt idx="4">
                  <c:v>63034.8654137252</c:v>
                </c:pt>
                <c:pt idx="5">
                  <c:v>68834.073031788</c:v>
                </c:pt>
                <c:pt idx="6">
                  <c:v>73776.006480224</c:v>
                </c:pt>
              </c:numCache>
            </c:numRef>
          </c:val>
        </c:ser>
        <c:ser>
          <c:idx val="2"/>
          <c:order val="2"/>
          <c:tx>
            <c:strRef>
              <c:f>'03-DCF-乐观'!A230</c:f>
              <c:strCache>
                <c:ptCount val="1"/>
                <c:pt idx="0">
                  <c:v>营业利润 EBIT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'03-DCF-乐观'!$B$230:$H$230</c:f>
              <c:numCache>
                <c:formatCode>#,##0;[RED]\(#,##0\);\-</c:formatCode>
                <c:ptCount val="7"/>
                <c:pt idx="0">
                  <c:v>12389</c:v>
                </c:pt>
                <c:pt idx="1">
                  <c:v>39271.0893040455</c:v>
                </c:pt>
                <c:pt idx="2">
                  <c:v>43541.9881560326</c:v>
                </c:pt>
                <c:pt idx="3">
                  <c:v>50944.1261425581</c:v>
                </c:pt>
                <c:pt idx="4">
                  <c:v>59095.1863253674</c:v>
                </c:pt>
                <c:pt idx="5">
                  <c:v>64421.6324528272</c:v>
                </c:pt>
                <c:pt idx="6">
                  <c:v>68922.3218433672</c:v>
                </c:pt>
              </c:numCache>
            </c:numRef>
          </c:val>
        </c:ser>
        <c:gapWidth val="55"/>
        <c:overlap val="0"/>
        <c:axId val="12332068"/>
        <c:axId val="98826666"/>
      </c:barChart>
      <c:catAx>
        <c:axId val="123320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8826666"/>
        <c:crosses val="autoZero"/>
        <c:auto val="1"/>
        <c:lblAlgn val="ctr"/>
        <c:lblOffset val="100"/>
        <c:noMultiLvlLbl val="0"/>
      </c:catAx>
      <c:valAx>
        <c:axId val="98826666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23320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2 · 三条利润率曲线：毛利率 / 营业利润率 / FCFF 利润率（乐观）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'03-DCF-乐观'!$A$233</c:f>
              <c:strCache>
                <c:ptCount val="1"/>
                <c:pt idx="0">
                  <c:v>毛利率</c:v>
                </c:pt>
              </c:strCache>
            </c:strRef>
          </c:tx>
          <c:spPr>
            <a:solidFill>
              <a:srgbClr val="c0392b"/>
            </a:solidFill>
            <a:ln w="22320">
              <a:solidFill>
                <a:srgbClr val="c0392b"/>
              </a:solidFill>
              <a:round/>
            </a:ln>
          </c:spPr>
          <c:marker>
            <c:symbol val="circle"/>
            <c:size val="8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'03-DCF-乐观'!$B$233:$H$233</c:f>
              <c:numCache>
                <c:formatCode>0.0%</c:formatCode>
                <c:ptCount val="7"/>
                <c:pt idx="0">
                  <c:v>0.71473725800079</c:v>
                </c:pt>
                <c:pt idx="1">
                  <c:v>0.848193089151927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0.78</c:v>
                </c:pt>
                <c:pt idx="6">
                  <c:v>0.76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'03-DCF-乐观'!$A$234</c:f>
              <c:strCache>
                <c:ptCount val="1"/>
                <c:pt idx="0">
                  <c:v>营业利润率</c:v>
                </c:pt>
              </c:strCache>
            </c:strRef>
          </c:tx>
          <c:spPr>
            <a:solidFill>
              <a:srgbClr val="16305b"/>
            </a:solidFill>
            <a:ln w="22320">
              <a:solidFill>
                <a:srgbClr val="16305b"/>
              </a:solidFill>
              <a:round/>
            </a:ln>
          </c:spPr>
          <c:marker>
            <c:symbol val="circle"/>
            <c:size val="8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'03-DCF-乐观'!$B$234:$H$234</c:f>
              <c:numCache>
                <c:formatCode>0.0%</c:formatCode>
                <c:ptCount val="7"/>
                <c:pt idx="0">
                  <c:v>0.61186290003951</c:v>
                </c:pt>
                <c:pt idx="1">
                  <c:v>0.798193089151927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0.73</c:v>
                </c:pt>
                <c:pt idx="6">
                  <c:v>0.71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'03-DCF-乐观'!$A$235</c:f>
              <c:strCache>
                <c:ptCount val="1"/>
                <c:pt idx="0">
                  <c:v>FCFF 利润率</c:v>
                </c:pt>
              </c:strCache>
            </c:strRef>
          </c:tx>
          <c:spPr>
            <a:solidFill>
              <a:srgbClr val="2e9b57"/>
            </a:solidFill>
            <a:ln w="22320">
              <a:solidFill>
                <a:srgbClr val="2e9b57"/>
              </a:solidFill>
              <a:round/>
            </a:ln>
          </c:spPr>
          <c:marker>
            <c:symbol val="circle"/>
            <c:size val="8"/>
            <c:spPr>
              <a:solidFill>
                <a:srgbClr val="2e9b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'03-DCF-乐观'!$B$235:$H$235</c:f>
              <c:numCache>
                <c:formatCode>0.0%</c:formatCode>
                <c:ptCount val="7"/>
                <c:pt idx="0">
                  <c:v>0.554079415250889</c:v>
                </c:pt>
                <c:pt idx="1">
                  <c:v>0.597482043679529</c:v>
                </c:pt>
                <c:pt idx="2">
                  <c:v>0.575493220338983</c:v>
                </c:pt>
                <c:pt idx="3">
                  <c:v>0.576652136752137</c:v>
                </c:pt>
                <c:pt idx="4">
                  <c:v>0.577831034482759</c:v>
                </c:pt>
                <c:pt idx="5">
                  <c:v>0.565757142857143</c:v>
                </c:pt>
                <c:pt idx="6">
                  <c:v>0.551354545454545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494835"/>
        <c:axId val="42427077"/>
      </c:lineChart>
      <c:catAx>
        <c:axId val="614948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2427077"/>
        <c:crosses val="autoZero"/>
        <c:auto val="1"/>
        <c:lblAlgn val="ctr"/>
        <c:lblOffset val="100"/>
        <c:noMultiLvlLbl val="0"/>
      </c:catAx>
      <c:valAx>
        <c:axId val="42427077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占收入比重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14948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3 · 税后经营利润 NOPAT 与自由现金流 FCFF（乐观）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'03-DCF-乐观'!A231</c:f>
              <c:strCache>
                <c:ptCount val="1"/>
                <c:pt idx="0">
                  <c:v>税后经营利润 NOPAT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'03-DCF-乐观'!$B$231:$H$231</c:f>
              <c:numCache>
                <c:formatCode>#,##0;[RED]\(#,##0\);\-</c:formatCode>
                <c:ptCount val="7"/>
                <c:pt idx="0">
                  <c:v>11433</c:v>
                </c:pt>
                <c:pt idx="1">
                  <c:v>33380.4259084387</c:v>
                </c:pt>
                <c:pt idx="2">
                  <c:v>37010.6899326277</c:v>
                </c:pt>
                <c:pt idx="3">
                  <c:v>43302.5072211744</c:v>
                </c:pt>
                <c:pt idx="4">
                  <c:v>50230.9083765623</c:v>
                </c:pt>
                <c:pt idx="5">
                  <c:v>54758.3875849031</c:v>
                </c:pt>
                <c:pt idx="6">
                  <c:v>58583.9735668621</c:v>
                </c:pt>
              </c:numCache>
            </c:numRef>
          </c:val>
        </c:ser>
        <c:ser>
          <c:idx val="1"/>
          <c:order val="1"/>
          <c:tx>
            <c:strRef>
              <c:f>'03-DCF-乐观'!A232</c:f>
              <c:strCache>
                <c:ptCount val="1"/>
                <c:pt idx="0">
                  <c:v>自由现金流 FCFF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'03-DCF-乐观'!$B$232:$H$232</c:f>
              <c:numCache>
                <c:formatCode>#,##0;[RED]\(#,##0\);\-</c:formatCode>
                <c:ptCount val="7"/>
                <c:pt idx="0">
                  <c:v>11219</c:v>
                </c:pt>
                <c:pt idx="1">
                  <c:v>29396.1085529223</c:v>
                </c:pt>
                <c:pt idx="2">
                  <c:v>33410.8253118361</c:v>
                </c:pt>
                <c:pt idx="3">
                  <c:v>39169.3855934354</c:v>
                </c:pt>
                <c:pt idx="4">
                  <c:v>45529.3768631179</c:v>
                </c:pt>
                <c:pt idx="5">
                  <c:v>49927.3954995952</c:v>
                </c:pt>
                <c:pt idx="6">
                  <c:v>53522.0217346783</c:v>
                </c:pt>
              </c:numCache>
            </c:numRef>
          </c:val>
        </c:ser>
        <c:gapWidth val="60"/>
        <c:overlap val="0"/>
        <c:axId val="73801737"/>
        <c:axId val="2007289"/>
      </c:barChart>
      <c:catAx>
        <c:axId val="738017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007289"/>
        <c:crosses val="autoZero"/>
        <c:auto val="1"/>
        <c:lblAlgn val="ctr"/>
        <c:lblOffset val="100"/>
        <c:noMultiLvlLbl val="0"/>
      </c:catAx>
      <c:valAx>
        <c:axId val="2007289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38017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4 · 摊薄每股收益 EPS（乐观）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'03-DCF-乐观'!$A$236</c:f>
              <c:strCache>
                <c:ptCount val="1"/>
                <c:pt idx="0">
                  <c:v>摊薄每股收益 EPS</c:v>
                </c:pt>
              </c:strCache>
            </c:strRef>
          </c:tx>
          <c:spPr>
            <a:solidFill>
              <a:srgbClr val="2e7d4f"/>
            </a:solidFill>
            <a:ln w="44280">
              <a:solidFill>
                <a:srgbClr val="2e7d4f"/>
              </a:solidFill>
              <a:round/>
            </a:ln>
          </c:spPr>
          <c:marker>
            <c:symbol val="circle"/>
            <c:size val="12"/>
            <c:spPr>
              <a:solidFill>
                <a:srgbClr val="2e7d4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'03-DCF-乐观'!$B$236:$H$236</c:f>
              <c:numCache>
                <c:formatCode>\$#,##0.00</c:formatCode>
                <c:ptCount val="7"/>
                <c:pt idx="0">
                  <c:v>73.76</c:v>
                </c:pt>
                <c:pt idx="1">
                  <c:v>215.357586506056</c:v>
                </c:pt>
                <c:pt idx="2">
                  <c:v>238.77864472663</c:v>
                </c:pt>
                <c:pt idx="3">
                  <c:v>279.371014330157</c:v>
                </c:pt>
                <c:pt idx="4">
                  <c:v>324.070376622983</c:v>
                </c:pt>
                <c:pt idx="5">
                  <c:v>353.279919902601</c:v>
                </c:pt>
                <c:pt idx="6">
                  <c:v>377.961119786207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947767"/>
        <c:axId val="13911764"/>
      </c:lineChart>
      <c:catAx>
        <c:axId val="799477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3911764"/>
        <c:crosses val="autoZero"/>
        <c:auto val="1"/>
        <c:lblAlgn val="ctr"/>
        <c:lblOffset val="100"/>
        <c:noMultiLvlLbl val="0"/>
      </c:catAx>
      <c:valAx>
        <c:axId val="13911764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每股收益（美元）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99477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5 · 收入增速：从超级周期回归常态（乐观）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'03-DCF-乐观'!A237</c:f>
              <c:strCache>
                <c:ptCount val="1"/>
                <c:pt idx="0">
                  <c:v>收入增速 YoY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'03-DCF-乐观'!$B$237:$H$237</c:f>
              <c:numCache>
                <c:formatCode>0.0%</c:formatCode>
                <c:ptCount val="7"/>
                <c:pt idx="0">
                  <c:v>1.75295717199184</c:v>
                </c:pt>
                <c:pt idx="1">
                  <c:v>1.42986895579741</c:v>
                </c:pt>
                <c:pt idx="2">
                  <c:v>0.18</c:v>
                </c:pt>
                <c:pt idx="3">
                  <c:v>0.17</c:v>
                </c:pt>
                <c:pt idx="4">
                  <c:v>0.16</c:v>
                </c:pt>
                <c:pt idx="5">
                  <c:v>0.12</c:v>
                </c:pt>
                <c:pt idx="6">
                  <c:v>0.1</c:v>
                </c:pt>
              </c:numCache>
            </c:numRef>
          </c:val>
        </c:ser>
        <c:gapWidth val="90"/>
        <c:overlap val="0"/>
        <c:axId val="18140577"/>
        <c:axId val="3449891"/>
      </c:barChart>
      <c:catAx>
        <c:axId val="181405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449891"/>
        <c:crosses val="autoZero"/>
        <c:auto val="1"/>
        <c:lblAlgn val="ctr"/>
        <c:lblOffset val="100"/>
        <c:noMultiLvlLbl val="0"/>
      </c:catAx>
      <c:valAx>
        <c:axId val="3449891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同比增速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81405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6 · 敏感性：WACC × 终局毛利率下的每股价值（乐观）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'03-DCF-乐观'!I167</c:f>
              <c:strCache>
                <c:ptCount val="1"/>
                <c:pt idx="0">
                  <c:v>66.0%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8.50%</c:v>
                </c:pt>
                <c:pt idx="1">
                  <c:v>9.50%</c:v>
                </c:pt>
                <c:pt idx="2">
                  <c:v>10.50%</c:v>
                </c:pt>
                <c:pt idx="3">
                  <c:v>11.50%</c:v>
                </c:pt>
                <c:pt idx="4">
                  <c:v>12.50%</c:v>
                </c:pt>
              </c:strCache>
            </c:strRef>
          </c:cat>
          <c:val>
            <c:numRef>
              <c:f>'03-DCF-乐观'!$I$168:$I$172</c:f>
              <c:numCache>
                <c:formatCode>\$#,##0.00</c:formatCode>
                <c:ptCount val="5"/>
                <c:pt idx="0">
                  <c:v>5000.4167056251</c:v>
                </c:pt>
                <c:pt idx="1">
                  <c:v>4177.81441593256</c:v>
                </c:pt>
                <c:pt idx="2">
                  <c:v>3589.30665345329</c:v>
                </c:pt>
                <c:pt idx="3">
                  <c:v>3147.08889709403</c:v>
                </c:pt>
                <c:pt idx="4">
                  <c:v>2802.38823215628</c:v>
                </c:pt>
              </c:numCache>
            </c:numRef>
          </c:val>
        </c:ser>
        <c:ser>
          <c:idx val="1"/>
          <c:order val="1"/>
          <c:tx>
            <c:strRef>
              <c:f>'03-DCF-乐观'!J167</c:f>
              <c:strCache>
                <c:ptCount val="1"/>
                <c:pt idx="0">
                  <c:v>71.0%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8.50%</c:v>
                </c:pt>
                <c:pt idx="1">
                  <c:v>9.50%</c:v>
                </c:pt>
                <c:pt idx="2">
                  <c:v>10.50%</c:v>
                </c:pt>
                <c:pt idx="3">
                  <c:v>11.50%</c:v>
                </c:pt>
                <c:pt idx="4">
                  <c:v>12.50%</c:v>
                </c:pt>
              </c:strCache>
            </c:strRef>
          </c:cat>
          <c:val>
            <c:numRef>
              <c:f>'03-DCF-乐观'!$J$168:$J$172</c:f>
              <c:numCache>
                <c:formatCode>\$#,##0.00</c:formatCode>
                <c:ptCount val="5"/>
                <c:pt idx="0">
                  <c:v>5338.13197640606</c:v>
                </c:pt>
                <c:pt idx="1">
                  <c:v>4444.17083464998</c:v>
                </c:pt>
                <c:pt idx="2">
                  <c:v>3805.49258288884</c:v>
                </c:pt>
                <c:pt idx="3">
                  <c:v>3326.29794854007</c:v>
                </c:pt>
                <c:pt idx="4">
                  <c:v>2953.37590390666</c:v>
                </c:pt>
              </c:numCache>
            </c:numRef>
          </c:val>
        </c:ser>
        <c:ser>
          <c:idx val="2"/>
          <c:order val="2"/>
          <c:tx>
            <c:strRef>
              <c:f>'03-DCF-乐观'!K167</c:f>
              <c:strCache>
                <c:ptCount val="1"/>
                <c:pt idx="0">
                  <c:v>76.0%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8.50%</c:v>
                </c:pt>
                <c:pt idx="1">
                  <c:v>9.50%</c:v>
                </c:pt>
                <c:pt idx="2">
                  <c:v>10.50%</c:v>
                </c:pt>
                <c:pt idx="3">
                  <c:v>11.50%</c:v>
                </c:pt>
                <c:pt idx="4">
                  <c:v>12.50%</c:v>
                </c:pt>
              </c:strCache>
            </c:strRef>
          </c:cat>
          <c:val>
            <c:numRef>
              <c:f>'03-DCF-乐观'!$K$168:$K$172</c:f>
              <c:numCache>
                <c:formatCode>\$#,##0.00</c:formatCode>
                <c:ptCount val="5"/>
                <c:pt idx="0">
                  <c:v>5675.84724718701</c:v>
                </c:pt>
                <c:pt idx="1">
                  <c:v>4710.52725336739</c:v>
                </c:pt>
                <c:pt idx="2">
                  <c:v>4021.67851232438</c:v>
                </c:pt>
                <c:pt idx="3">
                  <c:v>3505.50699998612</c:v>
                </c:pt>
                <c:pt idx="4">
                  <c:v>3104.36357565703</c:v>
                </c:pt>
              </c:numCache>
            </c:numRef>
          </c:val>
        </c:ser>
        <c:ser>
          <c:idx val="3"/>
          <c:order val="3"/>
          <c:tx>
            <c:strRef>
              <c:f>'03-DCF-乐观'!L167</c:f>
              <c:strCache>
                <c:ptCount val="1"/>
                <c:pt idx="0">
                  <c:v>81.0%</c:v>
                </c:pt>
              </c:strCache>
            </c:strRef>
          </c:tx>
          <c:spPr>
            <a:solidFill>
              <a:srgbClr val="7fb0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8.50%</c:v>
                </c:pt>
                <c:pt idx="1">
                  <c:v>9.50%</c:v>
                </c:pt>
                <c:pt idx="2">
                  <c:v>10.50%</c:v>
                </c:pt>
                <c:pt idx="3">
                  <c:v>11.50%</c:v>
                </c:pt>
                <c:pt idx="4">
                  <c:v>12.50%</c:v>
                </c:pt>
              </c:strCache>
            </c:strRef>
          </c:cat>
          <c:val>
            <c:numRef>
              <c:f>'03-DCF-乐观'!$L$168:$L$172</c:f>
              <c:numCache>
                <c:formatCode>\$#,##0.00</c:formatCode>
                <c:ptCount val="5"/>
                <c:pt idx="0">
                  <c:v>6013.56251796796</c:v>
                </c:pt>
                <c:pt idx="1">
                  <c:v>4976.88367208481</c:v>
                </c:pt>
                <c:pt idx="2">
                  <c:v>4237.86444175992</c:v>
                </c:pt>
                <c:pt idx="3">
                  <c:v>3684.71605143216</c:v>
                </c:pt>
                <c:pt idx="4">
                  <c:v>3255.35124740741</c:v>
                </c:pt>
              </c:numCache>
            </c:numRef>
          </c:val>
        </c:ser>
        <c:ser>
          <c:idx val="4"/>
          <c:order val="4"/>
          <c:tx>
            <c:strRef>
              <c:f>'03-DCF-乐观'!M167</c:f>
              <c:strCache>
                <c:ptCount val="1"/>
                <c:pt idx="0">
                  <c:v>86.0%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8.50%</c:v>
                </c:pt>
                <c:pt idx="1">
                  <c:v>9.50%</c:v>
                </c:pt>
                <c:pt idx="2">
                  <c:v>10.50%</c:v>
                </c:pt>
                <c:pt idx="3">
                  <c:v>11.50%</c:v>
                </c:pt>
                <c:pt idx="4">
                  <c:v>12.50%</c:v>
                </c:pt>
              </c:strCache>
            </c:strRef>
          </c:cat>
          <c:val>
            <c:numRef>
              <c:f>'03-DCF-乐观'!$M$168:$M$172</c:f>
              <c:numCache>
                <c:formatCode>\$#,##0.00</c:formatCode>
                <c:ptCount val="5"/>
                <c:pt idx="0">
                  <c:v>6351.27778874892</c:v>
                </c:pt>
                <c:pt idx="1">
                  <c:v>5243.24009080223</c:v>
                </c:pt>
                <c:pt idx="2">
                  <c:v>4454.05037119546</c:v>
                </c:pt>
                <c:pt idx="3">
                  <c:v>3863.9251028782</c:v>
                </c:pt>
                <c:pt idx="4">
                  <c:v>3406.33891915778</c:v>
                </c:pt>
              </c:numCache>
            </c:numRef>
          </c:val>
        </c:ser>
        <c:gapWidth val="45"/>
        <c:overlap val="0"/>
        <c:axId val="45103343"/>
        <c:axId val="32929975"/>
      </c:barChart>
      <c:catAx>
        <c:axId val="45103343"/>
        <c:scaling>
          <c:orientation val="minMax"/>
        </c:scaling>
        <c:delete val="0"/>
        <c:axPos val="b"/>
        <c:numFmt formatCode="\$#,##0.0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2929975"/>
        <c:crosses val="autoZero"/>
        <c:auto val="1"/>
        <c:lblAlgn val="ctr"/>
        <c:lblOffset val="100"/>
        <c:noMultiLvlLbl val="0"/>
      </c:catAx>
      <c:valAx>
        <c:axId val="32929975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51033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7 · 回购把股本压缩到什么程度（乐观）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'03-DCF-乐观'!A238</c:f>
              <c:strCache>
                <c:ptCount val="1"/>
                <c:pt idx="0">
                  <c:v>期末摊薄股数（百万股）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'03-DCF-乐观'!$B$227:$H$227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'03-DCF-乐观'!$B$238:$H$238</c:f>
              <c:numCache>
                <c:formatCode>#,##0.0</c:formatCode>
                <c:ptCount val="7"/>
                <c:pt idx="0">
                  <c:v>155</c:v>
                </c:pt>
                <c:pt idx="1">
                  <c:v>136.71783276117</c:v>
                </c:pt>
                <c:pt idx="2">
                  <c:v>117.927391363258</c:v>
                </c:pt>
                <c:pt idx="3">
                  <c:v>97.9907472559844</c:v>
                </c:pt>
                <c:pt idx="4">
                  <c:v>77.0181240302361</c:v>
                </c:pt>
                <c:pt idx="5">
                  <c:v>56.2139998765136</c:v>
                </c:pt>
                <c:pt idx="6">
                  <c:v>36.0421694929151</c:v>
                </c:pt>
              </c:numCache>
            </c:numRef>
          </c:val>
        </c:ser>
        <c:gapWidth val="80"/>
        <c:overlap val="0"/>
        <c:axId val="26351359"/>
        <c:axId val="57574164"/>
      </c:barChart>
      <c:catAx>
        <c:axId val="26351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7574164"/>
        <c:crosses val="autoZero"/>
        <c:auto val="1"/>
        <c:lblAlgn val="ctr"/>
        <c:lblOffset val="100"/>
        <c:noMultiLvlLbl val="0"/>
      </c:catAx>
      <c:valAx>
        <c:axId val="57574164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期末摊薄股数（百万股）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6351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8 · 四种口径的每股价值对照（乐观）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'03-DCF-乐观'!B219</c:f>
              <c:strCache>
                <c:ptCount val="1"/>
                <c:pt idx="0">
                  <c:v>每股价值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'03-DCF-乐观'!$A$220:$A$224</c:f>
              <c:strCache>
                <c:ptCount val="5"/>
                <c:pt idx="0">
                  <c:v>DCF（企业自由现金流）</c:v>
                </c:pt>
                <c:pt idx="1">
                  <c:v>EPS × P/E（含回购）</c:v>
                </c:pt>
                <c:pt idx="2">
                  <c:v>12 个月目标价（FY27）</c:v>
                </c:pt>
                <c:pt idx="3">
                  <c:v>当前股价</c:v>
                </c:pt>
                <c:pt idx="4">
                  <c:v>卖方一致目标价</c:v>
                </c:pt>
              </c:strCache>
            </c:strRef>
          </c:cat>
          <c:val>
            <c:numRef>
              <c:f>'03-DCF-乐观'!$B$220:$B$224</c:f>
              <c:numCache>
                <c:formatCode>\$#,##0</c:formatCode>
                <c:ptCount val="5"/>
                <c:pt idx="0">
                  <c:v>4068.1448879193</c:v>
                </c:pt>
                <c:pt idx="1">
                  <c:v>16171.5434315423</c:v>
                </c:pt>
                <c:pt idx="2">
                  <c:v>2977.69575979475</c:v>
                </c:pt>
                <c:pt idx="3">
                  <c:v>1500.17</c:v>
                </c:pt>
                <c:pt idx="4">
                  <c:v>2126</c:v>
                </c:pt>
              </c:numCache>
            </c:numRef>
          </c:val>
        </c:ser>
        <c:gapWidth val="55"/>
        <c:overlap val="0"/>
        <c:axId val="50227948"/>
        <c:axId val="19236933"/>
      </c:barChart>
      <c:catAx>
        <c:axId val="50227948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9236933"/>
        <c:crosses val="autoZero"/>
        <c:auto val="1"/>
        <c:lblAlgn val="ctr"/>
        <c:lblOffset val="100"/>
        <c:noMultiLvlLbl val="0"/>
      </c:catAx>
      <c:valAx>
        <c:axId val="19236933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02279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trlProps/ctrlProp1.xml><?xml version="1.0" encoding="utf-8"?>
<formControlPr xmlns="http://schemas.microsoft.com/office/spreadsheetml/2009/9/main" objectType="Scroll" dx="16" fmlaLink="'01-DCF-悲观'!$H$133" horiz="1" inc="1" max="1000" min="0" page="83" val="1000"/>
</file>

<file path=xl/ctrlProps/ctrlProp2.xml><?xml version="1.0" encoding="utf-8"?>
<formControlPr xmlns="http://schemas.microsoft.com/office/spreadsheetml/2009/9/main" objectType="Scroll" dx="16" fmlaLink="'01-DCF-悲观'!$H$135" horiz="1" inc="1" max="250" min="40" page="17" val="100"/>
</file>

<file path=xl/ctrlProps/ctrlProp3.xml><?xml version="1.0" encoding="utf-8"?>
<formControlPr xmlns="http://schemas.microsoft.com/office/spreadsheetml/2009/9/main" objectType="Scroll" dx="16" fmlaLink="'01-DCF-悲观'!$H$137" horiz="1" inc="1" max="300" min="20" page="23" val="50"/>
</file>

<file path=xl/ctrlProps/ctrlProp4.xml><?xml version="1.0" encoding="utf-8"?>
<formControlPr xmlns="http://schemas.microsoft.com/office/spreadsheetml/2009/9/main" objectType="Scroll" dx="16" fmlaLink="'01-DCF-悲观'!$H$139" horiz="1" inc="1" max="300" min="20" page="23" val="80"/>
</file>

<file path=xl/ctrlProps/ctrlProp5.xml><?xml version="1.0" encoding="utf-8"?>
<formControlPr xmlns="http://schemas.microsoft.com/office/spreadsheetml/2009/9/main" objectType="Scroll" dx="16" fmlaLink="'01-DCF-悲观'!$H$141" horiz="1" inc="1" max="300" min="20" page="23" val="90"/>
</file>

<file path=xl/ctrlProps/ctrlProp6.xml><?xml version="1.0" encoding="utf-8"?>
<formControlPr xmlns="http://schemas.microsoft.com/office/spreadsheetml/2009/9/main" objectType="Scroll" dx="16" fmlaLink="'01-DCF-悲观'!$H$189" horiz="1" inc="1" max="320" min="140" page="15" val="211"/>
</file>

<file path=xl/ctrlProps/ctrlProp7.xml><?xml version="1.0" encoding="utf-8"?>
<formControlPr xmlns="http://schemas.microsoft.com/office/spreadsheetml/2009/9/main" objectType="Scroll" dx="16" fmlaLink="'01-DCF-悲观'!$H$191" horiz="1" inc="1" max="200" min="0" page="16" val="100"/>
</file>

<file path=xl/ctrlProps/ctrlProp8.xml><?xml version="1.0" encoding="utf-8"?>
<formControlPr xmlns="http://schemas.microsoft.com/office/spreadsheetml/2009/9/main" objectType="Scroll" dx="16" fmlaLink="'01-DCF-悲观'!$H$193" horiz="1" inc="1" max="300" min="0" page="25" val="150"/>
</file>

<file path=xl/ctrlProps/ctrlProp9.xml><?xml version="1.0" encoding="utf-8"?>
<formControlPr xmlns="http://schemas.microsoft.com/office/spreadsheetml/2009/9/main" objectType="Scroll" dx="16" fmlaLink="'01-DCF-悲观'!$H$195" horiz="1" inc="1" max="850" min="200" page="54" val="460"/>
</file>

<file path=xl/ctrlProps/ctrlProp10.xml><?xml version="1.0" encoding="utf-8"?>
<formControlPr xmlns="http://schemas.microsoft.com/office/spreadsheetml/2009/9/main" objectType="Scroll" dx="16" fmlaLink="'01-DCF-悲观'!$H$197" horiz="1" inc="1" max="250" min="0" page="20" val="100"/>
</file>

<file path=xl/ctrlProps/ctrlProp11.xml><?xml version="1.0" encoding="utf-8"?>
<formControlPr xmlns="http://schemas.microsoft.com/office/spreadsheetml/2009/9/main" objectType="Scroll" dx="16" fmlaLink="'01-DCF-悲观'!$H$199" horiz="1" inc="1" max="200" min="30" page="14" val="70"/>
</file>

<file path=xl/ctrlProps/ctrlProp12.xml><?xml version="1.0" encoding="utf-8"?>
<formControlPr xmlns="http://schemas.microsoft.com/office/spreadsheetml/2009/9/main" objectType="Scroll" dx="16" fmlaLink="'01-DCF-悲观'!$H$201" horiz="1" inc="1" max="300" min="50" page="20" val="170"/>
</file>

<file path=xl/ctrlProps/ctrlProp13.xml><?xml version="1.0" encoding="utf-8"?>
<formControlPr xmlns="http://schemas.microsoft.com/office/spreadsheetml/2009/9/main" objectType="Scroll" dx="16" fmlaLink="'01-DCF-悲观'!$H$203" horiz="1" inc="1" max="100" min="5" page="7" val="18"/>
</file>

<file path=xl/ctrlProps/ctrlProp14.xml><?xml version="1.0" encoding="utf-8"?>
<formControlPr xmlns="http://schemas.microsoft.com/office/spreadsheetml/2009/9/main" objectType="Scroll" dx="16" fmlaLink="'01-DCF-悲观'!$H$205" horiz="1" inc="1" max="120" min="0" page="10" val="37"/>
</file>

<file path=xl/ctrlProps/ctrlProp15.xml><?xml version="1.0" encoding="utf-8"?>
<formControlPr xmlns="http://schemas.microsoft.com/office/spreadsheetml/2009/9/main" objectType="Scroll" dx="16" fmlaLink="'01-DCF-悲观'!$H$207" horiz="1" inc="1" max="400" min="50" page="29" val="200"/>
</file>

<file path=xl/ctrlProps/ctrlProp16.xml><?xml version="1.0" encoding="utf-8"?>
<formControlPr xmlns="http://schemas.microsoft.com/office/spreadsheetml/2009/9/main" objectType="Scroll" dx="16" fmlaLink="'01-DCF-悲观'!$H$209" horiz="1" inc="1" max="220" min="60" page="13" val="140"/>
</file>

<file path=xl/ctrlProps/ctrlProp17.xml><?xml version="1.0" encoding="utf-8"?>
<formControlPr xmlns="http://schemas.microsoft.com/office/spreadsheetml/2009/9/main" objectType="Scroll" dx="16" fmlaLink="'01-DCF-悲观'!$H$211" horiz="1" inc="1" max="60" min="0" page="5" val="25"/>
</file>

<file path=xl/ctrlProps/ctrlProp18.xml><?xml version="1.0" encoding="utf-8"?>
<formControlPr xmlns="http://schemas.microsoft.com/office/spreadsheetml/2009/9/main" objectType="Scroll" dx="16" fmlaLink="'02-DCF-基准'!$H$133" horiz="1" inc="1" max="1000" min="0" page="83" val="1000"/>
</file>

<file path=xl/ctrlProps/ctrlProp19.xml><?xml version="1.0" encoding="utf-8"?>
<formControlPr xmlns="http://schemas.microsoft.com/office/spreadsheetml/2009/9/main" objectType="Scroll" dx="16" fmlaLink="'02-DCF-基准'!$H$135" horiz="1" inc="1" max="250" min="40" page="17" val="100"/>
</file>

<file path=xl/ctrlProps/ctrlProp20.xml><?xml version="1.0" encoding="utf-8"?>
<formControlPr xmlns="http://schemas.microsoft.com/office/spreadsheetml/2009/9/main" objectType="Scroll" dx="16" fmlaLink="'02-DCF-基准'!$H$137" horiz="1" inc="1" max="300" min="20" page="23" val="80"/>
</file>

<file path=xl/ctrlProps/ctrlProp21.xml><?xml version="1.0" encoding="utf-8"?>
<formControlPr xmlns="http://schemas.microsoft.com/office/spreadsheetml/2009/9/main" objectType="Scroll" dx="16" fmlaLink="'02-DCF-基准'!$H$139" horiz="1" inc="1" max="300" min="20" page="23" val="110"/>
</file>

<file path=xl/ctrlProps/ctrlProp22.xml><?xml version="1.0" encoding="utf-8"?>
<formControlPr xmlns="http://schemas.microsoft.com/office/spreadsheetml/2009/9/main" objectType="Scroll" dx="16" fmlaLink="'02-DCF-基准'!$H$141" horiz="1" inc="1" max="300" min="20" page="23" val="130"/>
</file>

<file path=xl/ctrlProps/ctrlProp23.xml><?xml version="1.0" encoding="utf-8"?>
<formControlPr xmlns="http://schemas.microsoft.com/office/spreadsheetml/2009/9/main" objectType="Scroll" dx="16" fmlaLink="'02-DCF-基准'!$H$189" horiz="1" inc="1" max="320" min="140" page="15" val="211"/>
</file>

<file path=xl/ctrlProps/ctrlProp24.xml><?xml version="1.0" encoding="utf-8"?>
<formControlPr xmlns="http://schemas.microsoft.com/office/spreadsheetml/2009/9/main" objectType="Scroll" dx="16" fmlaLink="'02-DCF-基准'!$H$191" horiz="1" inc="1" max="200" min="0" page="16" val="100"/>
</file>

<file path=xl/ctrlProps/ctrlProp25.xml><?xml version="1.0" encoding="utf-8"?>
<formControlPr xmlns="http://schemas.microsoft.com/office/spreadsheetml/2009/9/main" objectType="Scroll" dx="16" fmlaLink="'02-DCF-基准'!$H$193" horiz="1" inc="1" max="300" min="0" page="25" val="150"/>
</file>

<file path=xl/ctrlProps/ctrlProp26.xml><?xml version="1.0" encoding="utf-8"?>
<formControlPr xmlns="http://schemas.microsoft.com/office/spreadsheetml/2009/9/main" objectType="Scroll" dx="16" fmlaLink="'02-DCF-基准'!$H$195" horiz="1" inc="1" max="850" min="200" page="54" val="680"/>
</file>

<file path=xl/ctrlProps/ctrlProp27.xml><?xml version="1.0" encoding="utf-8"?>
<formControlPr xmlns="http://schemas.microsoft.com/office/spreadsheetml/2009/9/main" objectType="Scroll" dx="16" fmlaLink="'02-DCF-基准'!$H$197" horiz="1" inc="1" max="250" min="0" page="20" val="100"/>
</file>

<file path=xl/ctrlProps/ctrlProp28.xml><?xml version="1.0" encoding="utf-8"?>
<formControlPr xmlns="http://schemas.microsoft.com/office/spreadsheetml/2009/9/main" objectType="Scroll" dx="16" fmlaLink="'02-DCF-基准'!$H$199" horiz="1" inc="1" max="200" min="30" page="14" val="58"/>
</file>

<file path=xl/ctrlProps/ctrlProp29.xml><?xml version="1.0" encoding="utf-8"?>
<formControlPr xmlns="http://schemas.microsoft.com/office/spreadsheetml/2009/9/main" objectType="Scroll" dx="16" fmlaLink="'02-DCF-基准'!$H$201" horiz="1" inc="1" max="300" min="50" page="20" val="160"/>
</file>

<file path=xl/ctrlProps/ctrlProp30.xml><?xml version="1.0" encoding="utf-8"?>
<formControlPr xmlns="http://schemas.microsoft.com/office/spreadsheetml/2009/9/main" objectType="Scroll" dx="16" fmlaLink="'02-DCF-基准'!$H$203" horiz="1" inc="1" max="100" min="5" page="7" val="18"/>
</file>

<file path=xl/ctrlProps/ctrlProp31.xml><?xml version="1.0" encoding="utf-8"?>
<formControlPr xmlns="http://schemas.microsoft.com/office/spreadsheetml/2009/9/main" objectType="Scroll" dx="16" fmlaLink="'02-DCF-基准'!$H$205" horiz="1" inc="1" max="120" min="0" page="10" val="32"/>
</file>

<file path=xl/ctrlProps/ctrlProp32.xml><?xml version="1.0" encoding="utf-8"?>
<formControlPr xmlns="http://schemas.microsoft.com/office/spreadsheetml/2009/9/main" objectType="Scroll" dx="16" fmlaLink="'02-DCF-基准'!$H$207" horiz="1" inc="1" max="400" min="50" page="29" val="180"/>
</file>

<file path=xl/ctrlProps/ctrlProp33.xml><?xml version="1.0" encoding="utf-8"?>
<formControlPr xmlns="http://schemas.microsoft.com/office/spreadsheetml/2009/9/main" objectType="Scroll" dx="16" fmlaLink="'02-DCF-基准'!$H$209" horiz="1" inc="1" max="220" min="60" page="13" val="120"/>
</file>

<file path=xl/ctrlProps/ctrlProp34.xml><?xml version="1.0" encoding="utf-8"?>
<formControlPr xmlns="http://schemas.microsoft.com/office/spreadsheetml/2009/9/main" objectType="Scroll" dx="16" fmlaLink="'02-DCF-基准'!$H$211" horiz="1" inc="1" max="60" min="0" page="5" val="30"/>
</file>

<file path=xl/ctrlProps/ctrlProp35.xml><?xml version="1.0" encoding="utf-8"?>
<formControlPr xmlns="http://schemas.microsoft.com/office/spreadsheetml/2009/9/main" objectType="Scroll" dx="16" fmlaLink="'03-DCF-乐观'!$H$133" horiz="1" inc="1" max="1000" min="0" page="83" val="1000"/>
</file>

<file path=xl/ctrlProps/ctrlProp36.xml><?xml version="1.0" encoding="utf-8"?>
<formControlPr xmlns="http://schemas.microsoft.com/office/spreadsheetml/2009/9/main" objectType="Scroll" dx="16" fmlaLink="'03-DCF-乐观'!$H$135" horiz="1" inc="1" max="250" min="40" page="17" val="100"/>
</file>

<file path=xl/ctrlProps/ctrlProp37.xml><?xml version="1.0" encoding="utf-8"?>
<formControlPr xmlns="http://schemas.microsoft.com/office/spreadsheetml/2009/9/main" objectType="Scroll" dx="16" fmlaLink="'03-DCF-乐观'!$H$137" horiz="1" inc="1" max="300" min="20" page="23" val="120"/>
</file>

<file path=xl/ctrlProps/ctrlProp38.xml><?xml version="1.0" encoding="utf-8"?>
<formControlPr xmlns="http://schemas.microsoft.com/office/spreadsheetml/2009/9/main" objectType="Scroll" dx="16" fmlaLink="'03-DCF-乐观'!$H$139" horiz="1" inc="1" max="300" min="20" page="23" val="150"/>
</file>

<file path=xl/ctrlProps/ctrlProp39.xml><?xml version="1.0" encoding="utf-8"?>
<formControlPr xmlns="http://schemas.microsoft.com/office/spreadsheetml/2009/9/main" objectType="Scroll" dx="16" fmlaLink="'03-DCF-乐观'!$H$141" horiz="1" inc="1" max="300" min="20" page="23" val="180"/>
</file>

<file path=xl/ctrlProps/ctrlProp40.xml><?xml version="1.0" encoding="utf-8"?>
<formControlPr xmlns="http://schemas.microsoft.com/office/spreadsheetml/2009/9/main" objectType="Scroll" dx="16" fmlaLink="'03-DCF-乐观'!$H$189" horiz="1" inc="1" max="320" min="140" page="15" val="214"/>
</file>

<file path=xl/ctrlProps/ctrlProp41.xml><?xml version="1.0" encoding="utf-8"?>
<formControlPr xmlns="http://schemas.microsoft.com/office/spreadsheetml/2009/9/main" objectType="Scroll" dx="16" fmlaLink="'03-DCF-乐观'!$H$191" horiz="1" inc="1" max="200" min="0" page="16" val="100"/>
</file>

<file path=xl/ctrlProps/ctrlProp42.xml><?xml version="1.0" encoding="utf-8"?>
<formControlPr xmlns="http://schemas.microsoft.com/office/spreadsheetml/2009/9/main" objectType="Scroll" dx="16" fmlaLink="'03-DCF-乐观'!$H$193" horiz="1" inc="1" max="300" min="0" page="25" val="150"/>
</file>

<file path=xl/ctrlProps/ctrlProp43.xml><?xml version="1.0" encoding="utf-8"?>
<formControlPr xmlns="http://schemas.microsoft.com/office/spreadsheetml/2009/9/main" objectType="Scroll" dx="16" fmlaLink="'03-DCF-乐观'!$H$195" horiz="1" inc="1" max="850" min="200" page="54" val="760"/>
</file>

<file path=xl/ctrlProps/ctrlProp44.xml><?xml version="1.0" encoding="utf-8"?>
<formControlPr xmlns="http://schemas.microsoft.com/office/spreadsheetml/2009/9/main" objectType="Scroll" dx="16" fmlaLink="'03-DCF-乐观'!$H$197" horiz="1" inc="1" max="250" min="0" page="20" val="100"/>
</file>

<file path=xl/ctrlProps/ctrlProp45.xml><?xml version="1.0" encoding="utf-8"?>
<formControlPr xmlns="http://schemas.microsoft.com/office/spreadsheetml/2009/9/main" objectType="Scroll" dx="16" fmlaLink="'03-DCF-乐观'!$H$199" horiz="1" inc="1" max="200" min="30" page="14" val="50"/>
</file>

<file path=xl/ctrlProps/ctrlProp46.xml><?xml version="1.0" encoding="utf-8"?>
<formControlPr xmlns="http://schemas.microsoft.com/office/spreadsheetml/2009/9/main" objectType="Scroll" dx="16" fmlaLink="'03-DCF-乐观'!$H$201" horiz="1" inc="1" max="300" min="50" page="20" val="150"/>
</file>

<file path=xl/ctrlProps/ctrlProp47.xml><?xml version="1.0" encoding="utf-8"?>
<formControlPr xmlns="http://schemas.microsoft.com/office/spreadsheetml/2009/9/main" objectType="Scroll" dx="16" fmlaLink="'03-DCF-乐观'!$H$203" horiz="1" inc="1" max="100" min="5" page="7" val="17"/>
</file>

<file path=xl/ctrlProps/ctrlProp48.xml><?xml version="1.0" encoding="utf-8"?>
<formControlPr xmlns="http://schemas.microsoft.com/office/spreadsheetml/2009/9/main" objectType="Scroll" dx="16" fmlaLink="'03-DCF-乐观'!$H$205" horiz="1" inc="1" max="120" min="0" page="10" val="28"/>
</file>

<file path=xl/ctrlProps/ctrlProp49.xml><?xml version="1.0" encoding="utf-8"?>
<formControlPr xmlns="http://schemas.microsoft.com/office/spreadsheetml/2009/9/main" objectType="Scroll" dx="16" fmlaLink="'03-DCF-乐观'!$H$207" horiz="1" inc="1" max="400" min="50" page="29" val="160"/>
</file>

<file path=xl/ctrlProps/ctrlProp50.xml><?xml version="1.0" encoding="utf-8"?>
<formControlPr xmlns="http://schemas.microsoft.com/office/spreadsheetml/2009/9/main" objectType="Scroll" dx="16" fmlaLink="'03-DCF-乐观'!$H$209" horiz="1" inc="1" max="220" min="60" page="13" val="105"/>
</file>

<file path=xl/ctrlProps/ctrlProp51.xml><?xml version="1.0" encoding="utf-8"?>
<formControlPr xmlns="http://schemas.microsoft.com/office/spreadsheetml/2009/9/main" objectType="Scroll" dx="16" fmlaLink="'03-DCF-乐观'!$H$211" horiz="1" inc="1" max="60" min="0" page="5" val="35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Relationship Id="rId7" Type="http://schemas.openxmlformats.org/officeDocument/2006/relationships/chart" Target="../charts/chart20.xml"/><Relationship Id="rId8" Type="http://schemas.openxmlformats.org/officeDocument/2006/relationships/chart" Target="../charts/chart2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Relationship Id="rId8" Type="http://schemas.openxmlformats.org/officeDocument/2006/relationships/chart" Target="../charts/chart2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177</xdr:row>
      <xdr:rowOff>0</xdr:rowOff>
    </xdr:from>
    <xdr:to>
      <xdr:col>8</xdr:col>
      <xdr:colOff>767880</xdr:colOff>
      <xdr:row>203</xdr:row>
      <xdr:rowOff>86760</xdr:rowOff>
    </xdr:to>
    <xdr:graphicFrame>
      <xdr:nvGraphicFramePr>
        <xdr:cNvPr id="0" name="Chart 1"/>
        <xdr:cNvGraphicFramePr/>
      </xdr:nvGraphicFramePr>
      <xdr:xfrm>
        <a:off x="0" y="434055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207</xdr:row>
      <xdr:rowOff>0</xdr:rowOff>
    </xdr:from>
    <xdr:to>
      <xdr:col>8</xdr:col>
      <xdr:colOff>767880</xdr:colOff>
      <xdr:row>233</xdr:row>
      <xdr:rowOff>86760</xdr:rowOff>
    </xdr:to>
    <xdr:graphicFrame>
      <xdr:nvGraphicFramePr>
        <xdr:cNvPr id="1" name="Chart 2"/>
        <xdr:cNvGraphicFramePr/>
      </xdr:nvGraphicFramePr>
      <xdr:xfrm>
        <a:off x="0" y="491205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237</xdr:row>
      <xdr:rowOff>0</xdr:rowOff>
    </xdr:from>
    <xdr:to>
      <xdr:col>8</xdr:col>
      <xdr:colOff>767880</xdr:colOff>
      <xdr:row>263</xdr:row>
      <xdr:rowOff>86760</xdr:rowOff>
    </xdr:to>
    <xdr:graphicFrame>
      <xdr:nvGraphicFramePr>
        <xdr:cNvPr id="2" name="Chart 3"/>
        <xdr:cNvGraphicFramePr/>
      </xdr:nvGraphicFramePr>
      <xdr:xfrm>
        <a:off x="0" y="548355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267</xdr:row>
      <xdr:rowOff>0</xdr:rowOff>
    </xdr:from>
    <xdr:to>
      <xdr:col>8</xdr:col>
      <xdr:colOff>767880</xdr:colOff>
      <xdr:row>293</xdr:row>
      <xdr:rowOff>86760</xdr:rowOff>
    </xdr:to>
    <xdr:graphicFrame>
      <xdr:nvGraphicFramePr>
        <xdr:cNvPr id="3" name="Chart 4"/>
        <xdr:cNvGraphicFramePr/>
      </xdr:nvGraphicFramePr>
      <xdr:xfrm>
        <a:off x="0" y="605505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297</xdr:row>
      <xdr:rowOff>0</xdr:rowOff>
    </xdr:from>
    <xdr:to>
      <xdr:col>8</xdr:col>
      <xdr:colOff>767880</xdr:colOff>
      <xdr:row>323</xdr:row>
      <xdr:rowOff>86760</xdr:rowOff>
    </xdr:to>
    <xdr:graphicFrame>
      <xdr:nvGraphicFramePr>
        <xdr:cNvPr id="4" name="Chart 5"/>
        <xdr:cNvGraphicFramePr/>
      </xdr:nvGraphicFramePr>
      <xdr:xfrm>
        <a:off x="0" y="662655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242</xdr:row>
      <xdr:rowOff>0</xdr:rowOff>
    </xdr:from>
    <xdr:to>
      <xdr:col>10</xdr:col>
      <xdr:colOff>204120</xdr:colOff>
      <xdr:row>268</xdr:row>
      <xdr:rowOff>86760</xdr:rowOff>
    </xdr:to>
    <xdr:graphicFrame>
      <xdr:nvGraphicFramePr>
        <xdr:cNvPr id="5" name="Chart 1"/>
        <xdr:cNvGraphicFramePr/>
      </xdr:nvGraphicFramePr>
      <xdr:xfrm>
        <a:off x="0" y="68322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272</xdr:row>
      <xdr:rowOff>0</xdr:rowOff>
    </xdr:from>
    <xdr:to>
      <xdr:col>10</xdr:col>
      <xdr:colOff>204120</xdr:colOff>
      <xdr:row>298</xdr:row>
      <xdr:rowOff>86760</xdr:rowOff>
    </xdr:to>
    <xdr:graphicFrame>
      <xdr:nvGraphicFramePr>
        <xdr:cNvPr id="6" name="Chart 2"/>
        <xdr:cNvGraphicFramePr/>
      </xdr:nvGraphicFramePr>
      <xdr:xfrm>
        <a:off x="0" y="74037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302</xdr:row>
      <xdr:rowOff>0</xdr:rowOff>
    </xdr:from>
    <xdr:to>
      <xdr:col>10</xdr:col>
      <xdr:colOff>204120</xdr:colOff>
      <xdr:row>328</xdr:row>
      <xdr:rowOff>86760</xdr:rowOff>
    </xdr:to>
    <xdr:graphicFrame>
      <xdr:nvGraphicFramePr>
        <xdr:cNvPr id="7" name="Chart 3"/>
        <xdr:cNvGraphicFramePr/>
      </xdr:nvGraphicFramePr>
      <xdr:xfrm>
        <a:off x="0" y="79752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332</xdr:row>
      <xdr:rowOff>0</xdr:rowOff>
    </xdr:from>
    <xdr:to>
      <xdr:col>10</xdr:col>
      <xdr:colOff>204120</xdr:colOff>
      <xdr:row>358</xdr:row>
      <xdr:rowOff>86760</xdr:rowOff>
    </xdr:to>
    <xdr:graphicFrame>
      <xdr:nvGraphicFramePr>
        <xdr:cNvPr id="8" name="Chart 4"/>
        <xdr:cNvGraphicFramePr/>
      </xdr:nvGraphicFramePr>
      <xdr:xfrm>
        <a:off x="0" y="85467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362</xdr:row>
      <xdr:rowOff>0</xdr:rowOff>
    </xdr:from>
    <xdr:to>
      <xdr:col>10</xdr:col>
      <xdr:colOff>204120</xdr:colOff>
      <xdr:row>388</xdr:row>
      <xdr:rowOff>86760</xdr:rowOff>
    </xdr:to>
    <xdr:graphicFrame>
      <xdr:nvGraphicFramePr>
        <xdr:cNvPr id="9" name="Chart 5"/>
        <xdr:cNvGraphicFramePr/>
      </xdr:nvGraphicFramePr>
      <xdr:xfrm>
        <a:off x="0" y="91182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392</xdr:row>
      <xdr:rowOff>0</xdr:rowOff>
    </xdr:from>
    <xdr:to>
      <xdr:col>10</xdr:col>
      <xdr:colOff>204120</xdr:colOff>
      <xdr:row>418</xdr:row>
      <xdr:rowOff>86760</xdr:rowOff>
    </xdr:to>
    <xdr:graphicFrame>
      <xdr:nvGraphicFramePr>
        <xdr:cNvPr id="10" name="Chart 6"/>
        <xdr:cNvGraphicFramePr/>
      </xdr:nvGraphicFramePr>
      <xdr:xfrm>
        <a:off x="0" y="96897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422</xdr:row>
      <xdr:rowOff>0</xdr:rowOff>
    </xdr:from>
    <xdr:to>
      <xdr:col>10</xdr:col>
      <xdr:colOff>204120</xdr:colOff>
      <xdr:row>448</xdr:row>
      <xdr:rowOff>86760</xdr:rowOff>
    </xdr:to>
    <xdr:graphicFrame>
      <xdr:nvGraphicFramePr>
        <xdr:cNvPr id="11" name="Chart 7"/>
        <xdr:cNvGraphicFramePr/>
      </xdr:nvGraphicFramePr>
      <xdr:xfrm>
        <a:off x="0" y="102612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452</xdr:row>
      <xdr:rowOff>0</xdr:rowOff>
    </xdr:from>
    <xdr:to>
      <xdr:col>10</xdr:col>
      <xdr:colOff>204120</xdr:colOff>
      <xdr:row>478</xdr:row>
      <xdr:rowOff>86760</xdr:rowOff>
    </xdr:to>
    <xdr:graphicFrame>
      <xdr:nvGraphicFramePr>
        <xdr:cNvPr id="12" name="Chart 8"/>
        <xdr:cNvGraphicFramePr/>
      </xdr:nvGraphicFramePr>
      <xdr:xfrm>
        <a:off x="0" y="108327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242</xdr:row>
      <xdr:rowOff>0</xdr:rowOff>
    </xdr:from>
    <xdr:to>
      <xdr:col>10</xdr:col>
      <xdr:colOff>204120</xdr:colOff>
      <xdr:row>268</xdr:row>
      <xdr:rowOff>86760</xdr:rowOff>
    </xdr:to>
    <xdr:graphicFrame>
      <xdr:nvGraphicFramePr>
        <xdr:cNvPr id="13" name="Chart 1"/>
        <xdr:cNvGraphicFramePr/>
      </xdr:nvGraphicFramePr>
      <xdr:xfrm>
        <a:off x="0" y="68160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272</xdr:row>
      <xdr:rowOff>0</xdr:rowOff>
    </xdr:from>
    <xdr:to>
      <xdr:col>10</xdr:col>
      <xdr:colOff>204120</xdr:colOff>
      <xdr:row>298</xdr:row>
      <xdr:rowOff>86760</xdr:rowOff>
    </xdr:to>
    <xdr:graphicFrame>
      <xdr:nvGraphicFramePr>
        <xdr:cNvPr id="14" name="Chart 2"/>
        <xdr:cNvGraphicFramePr/>
      </xdr:nvGraphicFramePr>
      <xdr:xfrm>
        <a:off x="0" y="73875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302</xdr:row>
      <xdr:rowOff>0</xdr:rowOff>
    </xdr:from>
    <xdr:to>
      <xdr:col>10</xdr:col>
      <xdr:colOff>204120</xdr:colOff>
      <xdr:row>328</xdr:row>
      <xdr:rowOff>86760</xdr:rowOff>
    </xdr:to>
    <xdr:graphicFrame>
      <xdr:nvGraphicFramePr>
        <xdr:cNvPr id="15" name="Chart 3"/>
        <xdr:cNvGraphicFramePr/>
      </xdr:nvGraphicFramePr>
      <xdr:xfrm>
        <a:off x="0" y="79590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332</xdr:row>
      <xdr:rowOff>0</xdr:rowOff>
    </xdr:from>
    <xdr:to>
      <xdr:col>10</xdr:col>
      <xdr:colOff>204120</xdr:colOff>
      <xdr:row>358</xdr:row>
      <xdr:rowOff>86760</xdr:rowOff>
    </xdr:to>
    <xdr:graphicFrame>
      <xdr:nvGraphicFramePr>
        <xdr:cNvPr id="16" name="Chart 4"/>
        <xdr:cNvGraphicFramePr/>
      </xdr:nvGraphicFramePr>
      <xdr:xfrm>
        <a:off x="0" y="85305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362</xdr:row>
      <xdr:rowOff>0</xdr:rowOff>
    </xdr:from>
    <xdr:to>
      <xdr:col>10</xdr:col>
      <xdr:colOff>204120</xdr:colOff>
      <xdr:row>388</xdr:row>
      <xdr:rowOff>86760</xdr:rowOff>
    </xdr:to>
    <xdr:graphicFrame>
      <xdr:nvGraphicFramePr>
        <xdr:cNvPr id="17" name="Chart 5"/>
        <xdr:cNvGraphicFramePr/>
      </xdr:nvGraphicFramePr>
      <xdr:xfrm>
        <a:off x="0" y="91020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392</xdr:row>
      <xdr:rowOff>0</xdr:rowOff>
    </xdr:from>
    <xdr:to>
      <xdr:col>10</xdr:col>
      <xdr:colOff>204120</xdr:colOff>
      <xdr:row>418</xdr:row>
      <xdr:rowOff>86760</xdr:rowOff>
    </xdr:to>
    <xdr:graphicFrame>
      <xdr:nvGraphicFramePr>
        <xdr:cNvPr id="18" name="Chart 6"/>
        <xdr:cNvGraphicFramePr/>
      </xdr:nvGraphicFramePr>
      <xdr:xfrm>
        <a:off x="0" y="96735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422</xdr:row>
      <xdr:rowOff>0</xdr:rowOff>
    </xdr:from>
    <xdr:to>
      <xdr:col>10</xdr:col>
      <xdr:colOff>204120</xdr:colOff>
      <xdr:row>448</xdr:row>
      <xdr:rowOff>86760</xdr:rowOff>
    </xdr:to>
    <xdr:graphicFrame>
      <xdr:nvGraphicFramePr>
        <xdr:cNvPr id="19" name="Chart 7"/>
        <xdr:cNvGraphicFramePr/>
      </xdr:nvGraphicFramePr>
      <xdr:xfrm>
        <a:off x="0" y="102450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452</xdr:row>
      <xdr:rowOff>0</xdr:rowOff>
    </xdr:from>
    <xdr:to>
      <xdr:col>10</xdr:col>
      <xdr:colOff>204120</xdr:colOff>
      <xdr:row>478</xdr:row>
      <xdr:rowOff>86760</xdr:rowOff>
    </xdr:to>
    <xdr:graphicFrame>
      <xdr:nvGraphicFramePr>
        <xdr:cNvPr id="20" name="Chart 8"/>
        <xdr:cNvGraphicFramePr/>
      </xdr:nvGraphicFramePr>
      <xdr:xfrm>
        <a:off x="0" y="108165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242</xdr:row>
      <xdr:rowOff>0</xdr:rowOff>
    </xdr:from>
    <xdr:to>
      <xdr:col>10</xdr:col>
      <xdr:colOff>204120</xdr:colOff>
      <xdr:row>268</xdr:row>
      <xdr:rowOff>86760</xdr:rowOff>
    </xdr:to>
    <xdr:graphicFrame>
      <xdr:nvGraphicFramePr>
        <xdr:cNvPr id="21" name="Chart 1"/>
        <xdr:cNvGraphicFramePr/>
      </xdr:nvGraphicFramePr>
      <xdr:xfrm>
        <a:off x="0" y="68322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272</xdr:row>
      <xdr:rowOff>0</xdr:rowOff>
    </xdr:from>
    <xdr:to>
      <xdr:col>10</xdr:col>
      <xdr:colOff>204120</xdr:colOff>
      <xdr:row>298</xdr:row>
      <xdr:rowOff>86760</xdr:rowOff>
    </xdr:to>
    <xdr:graphicFrame>
      <xdr:nvGraphicFramePr>
        <xdr:cNvPr id="22" name="Chart 2"/>
        <xdr:cNvGraphicFramePr/>
      </xdr:nvGraphicFramePr>
      <xdr:xfrm>
        <a:off x="0" y="74037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302</xdr:row>
      <xdr:rowOff>0</xdr:rowOff>
    </xdr:from>
    <xdr:to>
      <xdr:col>10</xdr:col>
      <xdr:colOff>204120</xdr:colOff>
      <xdr:row>328</xdr:row>
      <xdr:rowOff>86760</xdr:rowOff>
    </xdr:to>
    <xdr:graphicFrame>
      <xdr:nvGraphicFramePr>
        <xdr:cNvPr id="23" name="Chart 3"/>
        <xdr:cNvGraphicFramePr/>
      </xdr:nvGraphicFramePr>
      <xdr:xfrm>
        <a:off x="0" y="79752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332</xdr:row>
      <xdr:rowOff>0</xdr:rowOff>
    </xdr:from>
    <xdr:to>
      <xdr:col>10</xdr:col>
      <xdr:colOff>204120</xdr:colOff>
      <xdr:row>358</xdr:row>
      <xdr:rowOff>86760</xdr:rowOff>
    </xdr:to>
    <xdr:graphicFrame>
      <xdr:nvGraphicFramePr>
        <xdr:cNvPr id="24" name="Chart 4"/>
        <xdr:cNvGraphicFramePr/>
      </xdr:nvGraphicFramePr>
      <xdr:xfrm>
        <a:off x="0" y="85467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362</xdr:row>
      <xdr:rowOff>0</xdr:rowOff>
    </xdr:from>
    <xdr:to>
      <xdr:col>10</xdr:col>
      <xdr:colOff>204120</xdr:colOff>
      <xdr:row>388</xdr:row>
      <xdr:rowOff>86760</xdr:rowOff>
    </xdr:to>
    <xdr:graphicFrame>
      <xdr:nvGraphicFramePr>
        <xdr:cNvPr id="25" name="Chart 5"/>
        <xdr:cNvGraphicFramePr/>
      </xdr:nvGraphicFramePr>
      <xdr:xfrm>
        <a:off x="0" y="91182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392</xdr:row>
      <xdr:rowOff>0</xdr:rowOff>
    </xdr:from>
    <xdr:to>
      <xdr:col>10</xdr:col>
      <xdr:colOff>204120</xdr:colOff>
      <xdr:row>418</xdr:row>
      <xdr:rowOff>86760</xdr:rowOff>
    </xdr:to>
    <xdr:graphicFrame>
      <xdr:nvGraphicFramePr>
        <xdr:cNvPr id="26" name="Chart 6"/>
        <xdr:cNvGraphicFramePr/>
      </xdr:nvGraphicFramePr>
      <xdr:xfrm>
        <a:off x="0" y="96897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422</xdr:row>
      <xdr:rowOff>0</xdr:rowOff>
    </xdr:from>
    <xdr:to>
      <xdr:col>10</xdr:col>
      <xdr:colOff>204120</xdr:colOff>
      <xdr:row>448</xdr:row>
      <xdr:rowOff>86760</xdr:rowOff>
    </xdr:to>
    <xdr:graphicFrame>
      <xdr:nvGraphicFramePr>
        <xdr:cNvPr id="27" name="Chart 7"/>
        <xdr:cNvGraphicFramePr/>
      </xdr:nvGraphicFramePr>
      <xdr:xfrm>
        <a:off x="0" y="102612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452</xdr:row>
      <xdr:rowOff>0</xdr:rowOff>
    </xdr:from>
    <xdr:to>
      <xdr:col>10</xdr:col>
      <xdr:colOff>204120</xdr:colOff>
      <xdr:row>478</xdr:row>
      <xdr:rowOff>86760</xdr:rowOff>
    </xdr:to>
    <xdr:graphicFrame>
      <xdr:nvGraphicFramePr>
        <xdr:cNvPr id="28" name="Chart 8"/>
        <xdr:cNvGraphicFramePr/>
      </xdr:nvGraphicFramePr>
      <xdr:xfrm>
        <a:off x="0" y="1083279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vmlDrawing" Target="../drawings/vmlDrawing1.vml"/><Relationship Id="rId3" Type="http://schemas.microsoft.com/office/2006/relationships/controlPr" Target="../ctrlProps/ctrlProp1.xml"/><Relationship Id="rId4" Type="http://schemas.microsoft.com/office/2006/relationships/controlPr" Target="../ctrlProps/ctrlProp2.xml"/><Relationship Id="rId5" Type="http://schemas.microsoft.com/office/2006/relationships/controlPr" Target="../ctrlProps/ctrlProp3.xml"/><Relationship Id="rId6" Type="http://schemas.microsoft.com/office/2006/relationships/controlPr" Target="../ctrlProps/ctrlProp4.xml"/><Relationship Id="rId7" Type="http://schemas.microsoft.com/office/2006/relationships/controlPr" Target="../ctrlProps/ctrlProp5.xml"/><Relationship Id="rId8" Type="http://schemas.microsoft.com/office/2006/relationships/controlPr" Target="../ctrlProps/ctrlProp6.xml"/><Relationship Id="rId9" Type="http://schemas.microsoft.com/office/2006/relationships/controlPr" Target="../ctrlProps/ctrlProp7.xml"/><Relationship Id="rId10" Type="http://schemas.microsoft.com/office/2006/relationships/controlPr" Target="../ctrlProps/ctrlProp8.xml"/><Relationship Id="rId11" Type="http://schemas.microsoft.com/office/2006/relationships/controlPr" Target="../ctrlProps/ctrlProp9.xml"/><Relationship Id="rId12" Type="http://schemas.microsoft.com/office/2006/relationships/controlPr" Target="../ctrlProps/ctrlProp10.xml"/><Relationship Id="rId13" Type="http://schemas.microsoft.com/office/2006/relationships/controlPr" Target="../ctrlProps/ctrlProp11.xml"/><Relationship Id="rId14" Type="http://schemas.microsoft.com/office/2006/relationships/controlPr" Target="../ctrlProps/ctrlProp12.xml"/><Relationship Id="rId15" Type="http://schemas.microsoft.com/office/2006/relationships/controlPr" Target="../ctrlProps/ctrlProp13.xml"/><Relationship Id="rId16" Type="http://schemas.microsoft.com/office/2006/relationships/controlPr" Target="../ctrlProps/ctrlProp14.xml"/><Relationship Id="rId17" Type="http://schemas.microsoft.com/office/2006/relationships/controlPr" Target="../ctrlProps/ctrlProp15.xml"/><Relationship Id="rId18" Type="http://schemas.microsoft.com/office/2006/relationships/controlPr" Target="../ctrlProps/ctrlProp16.xml"/><Relationship Id="rId19" Type="http://schemas.microsoft.com/office/2006/relationships/controlPr" Target="../ctrlProps/ctrlProp17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vmlDrawing" Target="../drawings/vmlDrawing2.vml"/><Relationship Id="rId3" Type="http://schemas.microsoft.com/office/2006/relationships/controlPr" Target="../ctrlProps/ctrlProp18.xml"/><Relationship Id="rId4" Type="http://schemas.microsoft.com/office/2006/relationships/controlPr" Target="../ctrlProps/ctrlProp19.xml"/><Relationship Id="rId5" Type="http://schemas.microsoft.com/office/2006/relationships/controlPr" Target="../ctrlProps/ctrlProp20.xml"/><Relationship Id="rId6" Type="http://schemas.microsoft.com/office/2006/relationships/controlPr" Target="../ctrlProps/ctrlProp21.xml"/><Relationship Id="rId7" Type="http://schemas.microsoft.com/office/2006/relationships/controlPr" Target="../ctrlProps/ctrlProp22.xml"/><Relationship Id="rId8" Type="http://schemas.microsoft.com/office/2006/relationships/controlPr" Target="../ctrlProps/ctrlProp23.xml"/><Relationship Id="rId9" Type="http://schemas.microsoft.com/office/2006/relationships/controlPr" Target="../ctrlProps/ctrlProp24.xml"/><Relationship Id="rId10" Type="http://schemas.microsoft.com/office/2006/relationships/controlPr" Target="../ctrlProps/ctrlProp25.xml"/><Relationship Id="rId11" Type="http://schemas.microsoft.com/office/2006/relationships/controlPr" Target="../ctrlProps/ctrlProp26.xml"/><Relationship Id="rId12" Type="http://schemas.microsoft.com/office/2006/relationships/controlPr" Target="../ctrlProps/ctrlProp27.xml"/><Relationship Id="rId13" Type="http://schemas.microsoft.com/office/2006/relationships/controlPr" Target="../ctrlProps/ctrlProp28.xml"/><Relationship Id="rId14" Type="http://schemas.microsoft.com/office/2006/relationships/controlPr" Target="../ctrlProps/ctrlProp29.xml"/><Relationship Id="rId15" Type="http://schemas.microsoft.com/office/2006/relationships/controlPr" Target="../ctrlProps/ctrlProp30.xml"/><Relationship Id="rId16" Type="http://schemas.microsoft.com/office/2006/relationships/controlPr" Target="../ctrlProps/ctrlProp31.xml"/><Relationship Id="rId17" Type="http://schemas.microsoft.com/office/2006/relationships/controlPr" Target="../ctrlProps/ctrlProp32.xml"/><Relationship Id="rId18" Type="http://schemas.microsoft.com/office/2006/relationships/controlPr" Target="../ctrlProps/ctrlProp33.xml"/><Relationship Id="rId19" Type="http://schemas.microsoft.com/office/2006/relationships/controlPr" Target="../ctrlProps/ctrlProp34.xml"/>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Relationship Id="rId2" Type="http://schemas.openxmlformats.org/officeDocument/2006/relationships/vmlDrawing" Target="../drawings/vmlDrawing3.vml"/><Relationship Id="rId3" Type="http://schemas.microsoft.com/office/2006/relationships/controlPr" Target="../ctrlProps/ctrlProp35.xml"/><Relationship Id="rId4" Type="http://schemas.microsoft.com/office/2006/relationships/controlPr" Target="../ctrlProps/ctrlProp36.xml"/><Relationship Id="rId5" Type="http://schemas.microsoft.com/office/2006/relationships/controlPr" Target="../ctrlProps/ctrlProp37.xml"/><Relationship Id="rId6" Type="http://schemas.microsoft.com/office/2006/relationships/controlPr" Target="../ctrlProps/ctrlProp38.xml"/><Relationship Id="rId7" Type="http://schemas.microsoft.com/office/2006/relationships/controlPr" Target="../ctrlProps/ctrlProp39.xml"/><Relationship Id="rId8" Type="http://schemas.microsoft.com/office/2006/relationships/controlPr" Target="../ctrlProps/ctrlProp40.xml"/><Relationship Id="rId9" Type="http://schemas.microsoft.com/office/2006/relationships/controlPr" Target="../ctrlProps/ctrlProp41.xml"/><Relationship Id="rId10" Type="http://schemas.microsoft.com/office/2006/relationships/controlPr" Target="../ctrlProps/ctrlProp42.xml"/><Relationship Id="rId11" Type="http://schemas.microsoft.com/office/2006/relationships/controlPr" Target="../ctrlProps/ctrlProp43.xml"/><Relationship Id="rId12" Type="http://schemas.microsoft.com/office/2006/relationships/controlPr" Target="../ctrlProps/ctrlProp44.xml"/><Relationship Id="rId13" Type="http://schemas.microsoft.com/office/2006/relationships/controlPr" Target="../ctrlProps/ctrlProp45.xml"/><Relationship Id="rId14" Type="http://schemas.microsoft.com/office/2006/relationships/controlPr" Target="../ctrlProps/ctrlProp46.xml"/><Relationship Id="rId15" Type="http://schemas.microsoft.com/office/2006/relationships/controlPr" Target="../ctrlProps/ctrlProp47.xml"/><Relationship Id="rId16" Type="http://schemas.microsoft.com/office/2006/relationships/controlPr" Target="../ctrlProps/ctrlProp48.xml"/><Relationship Id="rId17" Type="http://schemas.microsoft.com/office/2006/relationships/controlPr" Target="../ctrlProps/ctrlProp49.xml"/><Relationship Id="rId18" Type="http://schemas.microsoft.com/office/2006/relationships/controlPr" Target="../ctrlProps/ctrlProp50.xml"/><Relationship Id="rId19" Type="http://schemas.microsoft.com/office/2006/relationships/controlPr" Target="../ctrlProps/ctrlProp5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min="1" max="1" width="40.71" customWidth="1"/>
    <col min="2" max="2" width="12.71" customWidth="1"/>
    <col min="3" max="3" width="12.71" customWidth="1"/>
    <col min="4" max="4" width="12.71" customWidth="1"/>
    <col min="5" max="5" width="12.71" customWidth="1"/>
    <col min="6" max="6" width="13.71" customWidth="1"/>
    <col min="7" max="7" width="12.71" customWidth="1"/>
    <col min="8" max="8" width="14.71" customWidth="1"/>
    <col min="9" max="9" width="14.71" customWidth="1"/>
    <col min="10" max="10" width="14.71" customWidth="1"/>
    <col min="11" max="11" width="16.71" customWidth="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27" hidden="false" customHeight="true" outlineLevel="0" collapsed="false">
      <c r="A5" s="4" t="s">
        <v>3</v>
      </c>
      <c r="B5" s="4" t="s">
        <v>4</v>
      </c>
      <c r="C5" s="4"/>
      <c r="D5" s="4" t="s">
        <v>5</v>
      </c>
      <c r="E5" s="4"/>
      <c r="F5" s="4"/>
      <c r="G5" s="4"/>
      <c r="H5" s="4"/>
      <c r="I5" s="4"/>
      <c r="J5" s="4"/>
      <c r="K5" s="4"/>
    </row>
    <row r="6" customFormat="false" ht="19.5" hidden="false" customHeight="true" outlineLevel="0" collapsed="false">
      <c r="A6" s="5" t="s">
        <v>6</v>
      </c>
      <c r="B6" s="6" t="n">
        <v>1500.17</v>
      </c>
      <c r="C6" s="6"/>
      <c r="D6" s="7" t="s">
        <v>7</v>
      </c>
      <c r="E6" s="7"/>
      <c r="F6" s="7"/>
      <c r="G6" s="7"/>
      <c r="H6" s="7"/>
      <c r="I6" s="7"/>
      <c r="J6" s="7"/>
      <c r="K6" s="7"/>
    </row>
    <row r="7" customFormat="false" ht="19.5" hidden="false" customHeight="true" outlineLevel="0" collapsed="false">
      <c r="A7" s="5" t="s">
        <v>8</v>
      </c>
      <c r="B7" s="8" t="n">
        <v>219653</v>
      </c>
      <c r="C7" s="8"/>
      <c r="D7" s="9" t="s">
        <v>9</v>
      </c>
      <c r="E7" s="9"/>
      <c r="F7" s="9"/>
      <c r="G7" s="9"/>
      <c r="H7" s="9"/>
      <c r="I7" s="9"/>
      <c r="J7" s="9"/>
      <c r="K7" s="9"/>
    </row>
    <row r="8" customFormat="false" ht="19.5" hidden="false" customHeight="true" outlineLevel="0" collapsed="false">
      <c r="A8" s="5" t="s">
        <v>10</v>
      </c>
      <c r="B8" s="10" t="n">
        <v>146.4</v>
      </c>
      <c r="C8" s="10"/>
      <c r="D8" s="9" t="s">
        <v>11</v>
      </c>
      <c r="E8" s="9"/>
      <c r="F8" s="9"/>
      <c r="G8" s="9"/>
      <c r="H8" s="9"/>
      <c r="I8" s="9"/>
      <c r="J8" s="9"/>
      <c r="K8" s="9"/>
    </row>
    <row r="9" customFormat="false" ht="19.5" hidden="false" customHeight="true" outlineLevel="0" collapsed="false">
      <c r="A9" s="5" t="s">
        <v>12</v>
      </c>
      <c r="B9" s="10" t="n">
        <v>155</v>
      </c>
      <c r="C9" s="10"/>
      <c r="D9" s="9" t="s">
        <v>13</v>
      </c>
      <c r="E9" s="9"/>
      <c r="F9" s="9"/>
      <c r="G9" s="9"/>
      <c r="H9" s="9"/>
      <c r="I9" s="9"/>
      <c r="J9" s="9"/>
      <c r="K9" s="9"/>
    </row>
    <row r="10" customFormat="false" ht="19.5" hidden="false" customHeight="true" outlineLevel="0" collapsed="false">
      <c r="A10" s="5" t="s">
        <v>14</v>
      </c>
      <c r="B10" s="8" t="n">
        <v>4762</v>
      </c>
      <c r="C10" s="8"/>
      <c r="D10" s="7" t="s">
        <v>15</v>
      </c>
      <c r="E10" s="7"/>
      <c r="F10" s="7"/>
      <c r="G10" s="7"/>
      <c r="H10" s="7"/>
      <c r="I10" s="7"/>
      <c r="J10" s="7"/>
      <c r="K10" s="7"/>
    </row>
    <row r="11" customFormat="false" ht="19.5" hidden="false" customHeight="true" outlineLevel="0" collapsed="false">
      <c r="A11" s="5" t="s">
        <v>16</v>
      </c>
      <c r="B11" s="8" t="n">
        <v>1777</v>
      </c>
      <c r="C11" s="8"/>
      <c r="D11" s="7" t="s">
        <v>17</v>
      </c>
      <c r="E11" s="7"/>
      <c r="F11" s="7"/>
      <c r="G11" s="7"/>
      <c r="H11" s="7"/>
      <c r="I11" s="7"/>
      <c r="J11" s="7"/>
      <c r="K11" s="7"/>
    </row>
    <row r="12" customFormat="false" ht="19.5" hidden="false" customHeight="true" outlineLevel="0" collapsed="false">
      <c r="A12" s="5" t="s">
        <v>18</v>
      </c>
      <c r="B12" s="8" t="n">
        <v>0</v>
      </c>
      <c r="C12" s="8"/>
      <c r="D12" s="7" t="s">
        <v>19</v>
      </c>
      <c r="E12" s="7"/>
      <c r="F12" s="7"/>
      <c r="G12" s="7"/>
      <c r="H12" s="7"/>
      <c r="I12" s="7"/>
      <c r="J12" s="7"/>
      <c r="K12" s="7"/>
    </row>
    <row r="13" customFormat="false" ht="19.5" hidden="false" customHeight="true" outlineLevel="0" collapsed="false">
      <c r="A13" s="5" t="s">
        <v>20</v>
      </c>
      <c r="B13" s="11" t="n">
        <v>0.042</v>
      </c>
      <c r="C13" s="11"/>
      <c r="D13" s="7" t="s">
        <v>21</v>
      </c>
      <c r="E13" s="7"/>
      <c r="F13" s="7"/>
      <c r="G13" s="7"/>
      <c r="H13" s="7"/>
      <c r="I13" s="7"/>
      <c r="J13" s="7"/>
      <c r="K13" s="7"/>
    </row>
    <row r="14" customFormat="false" ht="19.5" hidden="false" customHeight="true" outlineLevel="0" collapsed="false">
      <c r="A14" s="5" t="s">
        <v>22</v>
      </c>
      <c r="B14" s="11" t="n">
        <v>0.05</v>
      </c>
      <c r="C14" s="11"/>
      <c r="D14" s="9" t="s">
        <v>23</v>
      </c>
      <c r="E14" s="9"/>
      <c r="F14" s="9"/>
      <c r="G14" s="9"/>
      <c r="H14" s="9"/>
      <c r="I14" s="9"/>
      <c r="J14" s="9"/>
      <c r="K14" s="9"/>
    </row>
    <row r="15" customFormat="false" ht="24" hidden="false" customHeight="true" outlineLevel="0" collapsed="false">
      <c r="A15" s="12" t="s">
        <v>24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customFormat="false" ht="27" hidden="false" customHeight="true" outlineLevel="0" collapsed="false">
      <c r="A16" s="4" t="s">
        <v>25</v>
      </c>
      <c r="B16" s="4" t="s">
        <v>26</v>
      </c>
      <c r="C16" s="4" t="s">
        <v>27</v>
      </c>
      <c r="D16" s="4" t="s">
        <v>28</v>
      </c>
      <c r="E16" s="13" t="s">
        <v>29</v>
      </c>
      <c r="F16" s="13" t="s">
        <v>30</v>
      </c>
      <c r="G16" s="13" t="s">
        <v>31</v>
      </c>
      <c r="H16" s="13" t="s">
        <v>32</v>
      </c>
      <c r="I16" s="4" t="s">
        <v>33</v>
      </c>
      <c r="J16" s="4" t="s">
        <v>34</v>
      </c>
      <c r="K16" s="4"/>
    </row>
    <row r="17" customFormat="false" ht="25.5" hidden="false" customHeight="true" outlineLevel="0" collapsed="false">
      <c r="A17" s="14" t="s">
        <v>35</v>
      </c>
      <c r="B17" s="15" t="n">
        <f aca="false">'01-DCF-悲观'!B72</f>
        <v>498.861303730054</v>
      </c>
      <c r="C17" s="16" t="n">
        <f aca="false">'01-DCF-悲观'!B74</f>
        <v>-0.667463484984999</v>
      </c>
      <c r="D17" s="17" t="n">
        <f aca="false">'01-DCF-悲观'!B65</f>
        <v>0.454994556213811</v>
      </c>
      <c r="E17" s="18" t="n">
        <f aca="false">'01-DCF-悲观'!F13</f>
        <v>36999.9997092743</v>
      </c>
      <c r="F17" s="17" t="n">
        <f aca="false">'01-DCF-悲观'!F15</f>
        <v>0.727986469925528</v>
      </c>
      <c r="G17" s="17" t="n">
        <f aca="false">'01-DCF-悲观'!G34</f>
        <v>0.46</v>
      </c>
      <c r="H17" s="17" t="n">
        <f aca="false">'01-DCF-悲观'!$B$209</f>
        <v>0.14</v>
      </c>
      <c r="I17" s="17" t="n">
        <f aca="false">'01-DCF-悲观'!$B$211</f>
        <v>0.025</v>
      </c>
      <c r="J17" s="19" t="s">
        <v>36</v>
      </c>
      <c r="K17" s="19"/>
    </row>
    <row r="18" customFormat="false" ht="25.5" hidden="false" customHeight="true" outlineLevel="0" collapsed="false">
      <c r="A18" s="20" t="s">
        <v>37</v>
      </c>
      <c r="B18" s="21" t="n">
        <f aca="false">'02-DCF-基准'!B72</f>
        <v>1630.93949373094</v>
      </c>
      <c r="C18" s="22" t="n">
        <f aca="false">'02-DCF-基准'!B74</f>
        <v>0.0871697832451932</v>
      </c>
      <c r="D18" s="17" t="n">
        <f aca="false">'02-DCF-基准'!B65</f>
        <v>0.619417054545501</v>
      </c>
      <c r="E18" s="18" t="n">
        <f aca="false">'02-DCF-基准'!F13</f>
        <v>41849.9936630439</v>
      </c>
      <c r="F18" s="17" t="n">
        <f aca="false">'02-DCF-基准'!F15</f>
        <v>0.805830348999053</v>
      </c>
      <c r="G18" s="17" t="n">
        <f aca="false">'02-DCF-基准'!G34</f>
        <v>0.68</v>
      </c>
      <c r="H18" s="17" t="n">
        <f aca="false">'02-DCF-基准'!$B$209</f>
        <v>0.12</v>
      </c>
      <c r="I18" s="17" t="n">
        <f aca="false">'02-DCF-基准'!$B$211</f>
        <v>0.03</v>
      </c>
      <c r="J18" s="23" t="s">
        <v>38</v>
      </c>
      <c r="K18" s="23"/>
    </row>
    <row r="19" customFormat="false" ht="25.5" hidden="false" customHeight="true" outlineLevel="0" collapsed="false">
      <c r="A19" s="24" t="s">
        <v>39</v>
      </c>
      <c r="B19" s="25" t="n">
        <f aca="false">'03-DCF-乐观'!B72</f>
        <v>4068.1448879193</v>
      </c>
      <c r="C19" s="26" t="n">
        <f aca="false">'03-DCF-乐观'!B74</f>
        <v>1.71178925583054</v>
      </c>
      <c r="D19" s="17" t="n">
        <f aca="false">'03-DCF-乐观'!B65</f>
        <v>0.708168587634816</v>
      </c>
      <c r="E19" s="18" t="n">
        <f aca="false">'03-DCF-乐观'!F13</f>
        <v>49199.986616986</v>
      </c>
      <c r="F19" s="17" t="n">
        <f aca="false">'03-DCF-乐观'!F15</f>
        <v>0.848193089151927</v>
      </c>
      <c r="G19" s="17" t="n">
        <f aca="false">'03-DCF-乐观'!G34</f>
        <v>0.76</v>
      </c>
      <c r="H19" s="17" t="n">
        <f aca="false">'03-DCF-乐观'!$B$209</f>
        <v>0.105</v>
      </c>
      <c r="I19" s="17" t="n">
        <f aca="false">'03-DCF-乐观'!$B$211</f>
        <v>0.035</v>
      </c>
      <c r="J19" s="19" t="s">
        <v>40</v>
      </c>
      <c r="K19" s="19"/>
    </row>
    <row r="20" customFormat="false" ht="21.75" hidden="false" customHeight="true" outlineLevel="0" collapsed="false">
      <c r="A20" s="5" t="s">
        <v>41</v>
      </c>
      <c r="B20" s="27" t="n">
        <v>1500.17</v>
      </c>
      <c r="C20" s="7" t="s">
        <v>42</v>
      </c>
      <c r="D20" s="7"/>
      <c r="E20" s="7"/>
      <c r="F20" s="7"/>
      <c r="G20" s="7"/>
      <c r="H20" s="7"/>
      <c r="I20" s="7"/>
      <c r="J20" s="7"/>
      <c r="K20" s="7"/>
    </row>
    <row r="21" customFormat="false" ht="21.75" hidden="false" customHeight="true" outlineLevel="0" collapsed="false">
      <c r="A21" s="5" t="s">
        <v>43</v>
      </c>
      <c r="B21" s="28" t="n">
        <v>2126</v>
      </c>
      <c r="C21" s="7" t="s">
        <v>44</v>
      </c>
      <c r="D21" s="7"/>
      <c r="E21" s="7"/>
      <c r="F21" s="7"/>
      <c r="G21" s="7"/>
      <c r="H21" s="7"/>
      <c r="I21" s="7"/>
      <c r="J21" s="7"/>
      <c r="K21" s="7"/>
    </row>
    <row r="22" customFormat="false" ht="33" hidden="false" customHeight="true" outlineLevel="0" collapsed="false">
      <c r="A22" s="29" t="s">
        <v>45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4" customFormat="false" ht="45.75" hidden="false" customHeight="true" outlineLevel="0" collapsed="false">
      <c r="A24" s="30" t="s">
        <v>46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6" customFormat="false" ht="24" hidden="false" customHeight="true" outlineLevel="0" collapsed="false">
      <c r="A26" s="3" t="s">
        <v>47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27" hidden="false" customHeight="true" outlineLevel="0" collapsed="false">
      <c r="A27" s="4" t="s">
        <v>48</v>
      </c>
      <c r="B27" s="13" t="s">
        <v>49</v>
      </c>
      <c r="C27" s="13" t="s">
        <v>50</v>
      </c>
      <c r="D27" s="13" t="s">
        <v>51</v>
      </c>
      <c r="E27" s="13" t="s">
        <v>52</v>
      </c>
      <c r="F27" s="13" t="s">
        <v>53</v>
      </c>
      <c r="G27" s="13" t="s">
        <v>54</v>
      </c>
      <c r="H27" s="13" t="s">
        <v>55</v>
      </c>
      <c r="I27" s="13" t="s">
        <v>56</v>
      </c>
      <c r="J27" s="13" t="s">
        <v>57</v>
      </c>
      <c r="K27" s="4" t="s">
        <v>58</v>
      </c>
    </row>
    <row r="28" customFormat="false" ht="15.75" hidden="false" customHeight="true" outlineLevel="0" collapsed="false">
      <c r="A28" s="31" t="s">
        <v>59</v>
      </c>
      <c r="B28" s="32" t="n">
        <v>2308</v>
      </c>
      <c r="C28" s="32" t="n">
        <v>3025</v>
      </c>
      <c r="D28" s="32" t="n">
        <v>5950</v>
      </c>
      <c r="E28" s="32" t="n">
        <v>8965</v>
      </c>
      <c r="F28" s="32" t="n">
        <v>20248</v>
      </c>
      <c r="G28" s="32" t="n">
        <v>7355</v>
      </c>
      <c r="H28" s="33" t="n">
        <f aca="false">IF(D28=0,"n/a",E28/ABS(D28)-1)</f>
        <v>0.50672268907563</v>
      </c>
      <c r="I28" s="33" t="str">
        <f aca="false">IF(G28=0,"n/a","n/a")</f>
        <v>n/a</v>
      </c>
      <c r="J28" s="33" t="n">
        <f aca="false">IF(G28=0,"n/a",F28/ABS(G28)-1)</f>
        <v>1.75295717199184</v>
      </c>
      <c r="K28" s="34"/>
    </row>
    <row r="29" customFormat="false" ht="15.75" hidden="false" customHeight="true" outlineLevel="0" collapsed="false">
      <c r="A29" s="31" t="s">
        <v>60</v>
      </c>
      <c r="B29" s="32" t="n">
        <v>1621</v>
      </c>
      <c r="C29" s="32" t="n">
        <v>1484</v>
      </c>
      <c r="D29" s="32" t="n">
        <v>1288</v>
      </c>
      <c r="E29" s="32" t="n">
        <v>1383</v>
      </c>
      <c r="F29" s="32" t="n">
        <v>5776</v>
      </c>
      <c r="G29" s="32" t="n">
        <v>5143</v>
      </c>
      <c r="H29" s="33" t="n">
        <f aca="false">IF(D29=0,"n/a",E29/ABS(D29)-1)</f>
        <v>0.0737577639751552</v>
      </c>
      <c r="I29" s="33" t="str">
        <f aca="false">IF(G29=0,"n/a","n/a")</f>
        <v>n/a</v>
      </c>
      <c r="J29" s="33" t="n">
        <f aca="false">IF(G29=0,"n/a",F29/ABS(G29)-1)</f>
        <v>0.123079914446821</v>
      </c>
      <c r="K29" s="34"/>
    </row>
    <row r="30" customFormat="false" ht="15.75" hidden="false" customHeight="true" outlineLevel="0" collapsed="false">
      <c r="A30" s="35" t="s">
        <v>61</v>
      </c>
      <c r="B30" s="36" t="n">
        <v>687</v>
      </c>
      <c r="C30" s="36" t="n">
        <v>1541</v>
      </c>
      <c r="D30" s="36" t="n">
        <v>4662</v>
      </c>
      <c r="E30" s="36" t="n">
        <v>7582</v>
      </c>
      <c r="F30" s="36" t="n">
        <v>14472</v>
      </c>
      <c r="G30" s="36" t="n">
        <v>2212</v>
      </c>
      <c r="H30" s="33" t="n">
        <f aca="false">IF(D30=0,"n/a",E30/ABS(D30)-1)</f>
        <v>0.626340626340626</v>
      </c>
      <c r="I30" s="33" t="str">
        <f aca="false">IF(G30=0,"n/a","n/a")</f>
        <v>n/a</v>
      </c>
      <c r="J30" s="33" t="n">
        <f aca="false">IF(G30=0,"n/a",F30/ABS(G30)-1)</f>
        <v>5.54249547920434</v>
      </c>
      <c r="K30" s="34"/>
    </row>
    <row r="31" customFormat="false" ht="15.75" hidden="false" customHeight="true" outlineLevel="0" collapsed="false">
      <c r="A31" s="31" t="s">
        <v>62</v>
      </c>
      <c r="B31" s="32" t="n">
        <v>316</v>
      </c>
      <c r="C31" s="32" t="n">
        <v>327</v>
      </c>
      <c r="D31" s="32" t="n">
        <v>337</v>
      </c>
      <c r="E31" s="32" t="n">
        <v>348</v>
      </c>
      <c r="F31" s="32" t="n">
        <v>1328</v>
      </c>
      <c r="G31" s="32" t="n">
        <v>1132</v>
      </c>
      <c r="H31" s="33" t="n">
        <f aca="false">IF(D31=0,"n/a",E31/ABS(D31)-1)</f>
        <v>0.0326409495548961</v>
      </c>
      <c r="I31" s="33" t="str">
        <f aca="false">IF(G31=0,"n/a","n/a")</f>
        <v>n/a</v>
      </c>
      <c r="J31" s="33" t="n">
        <f aca="false">IF(G31=0,"n/a",F31/ABS(G31)-1)</f>
        <v>0.173144876325088</v>
      </c>
      <c r="K31" s="34"/>
    </row>
    <row r="32" customFormat="false" ht="15.75" hidden="false" customHeight="true" outlineLevel="0" collapsed="false">
      <c r="A32" s="31" t="s">
        <v>63</v>
      </c>
      <c r="B32" s="32" t="n">
        <v>179</v>
      </c>
      <c r="C32" s="32" t="n">
        <v>139</v>
      </c>
      <c r="D32" s="32" t="n">
        <v>161</v>
      </c>
      <c r="E32" s="32" t="n">
        <v>197</v>
      </c>
      <c r="F32" s="32" t="n">
        <v>676</v>
      </c>
      <c r="G32" s="32" t="n">
        <v>573</v>
      </c>
      <c r="H32" s="33" t="n">
        <f aca="false">IF(D32=0,"n/a",E32/ABS(D32)-1)</f>
        <v>0.22360248447205</v>
      </c>
      <c r="I32" s="33" t="str">
        <f aca="false">IF(G32=0,"n/a","n/a")</f>
        <v>n/a</v>
      </c>
      <c r="J32" s="33" t="n">
        <f aca="false">IF(G32=0,"n/a",F32/ABS(G32)-1)</f>
        <v>0.179755671902269</v>
      </c>
      <c r="K32" s="34"/>
    </row>
    <row r="33" customFormat="false" ht="15.75" hidden="false" customHeight="true" outlineLevel="0" collapsed="false">
      <c r="A33" s="31" t="s">
        <v>64</v>
      </c>
      <c r="B33" s="32" t="n">
        <v>0</v>
      </c>
      <c r="C33" s="32" t="n">
        <v>0</v>
      </c>
      <c r="D33" s="32" t="n">
        <v>0</v>
      </c>
      <c r="E33" s="32" t="n">
        <v>0</v>
      </c>
      <c r="F33" s="32" t="n">
        <v>0</v>
      </c>
      <c r="G33" s="32" t="n">
        <v>1830</v>
      </c>
      <c r="H33" s="33" t="str">
        <f aca="false">IF(D33=0,"n/a",E33/ABS(D33)-1)</f>
        <v>n/a</v>
      </c>
      <c r="I33" s="33" t="str">
        <f aca="false">IF(G33=0,"n/a","n/a")</f>
        <v>n/a</v>
      </c>
      <c r="J33" s="33" t="n">
        <f aca="false">IF(G33=0,"n/a",F33/ABS(G33)-1)</f>
        <v>-1</v>
      </c>
      <c r="K33" s="34"/>
    </row>
    <row r="34" customFormat="false" ht="15.75" hidden="false" customHeight="true" outlineLevel="0" collapsed="false">
      <c r="A34" s="31" t="s">
        <v>65</v>
      </c>
      <c r="B34" s="32" t="n">
        <v>0</v>
      </c>
      <c r="C34" s="32" t="n">
        <v>0</v>
      </c>
      <c r="D34" s="32" t="n">
        <v>46</v>
      </c>
      <c r="E34" s="32" t="n">
        <v>0</v>
      </c>
      <c r="F34" s="32" t="n">
        <v>46</v>
      </c>
      <c r="G34" s="32" t="n">
        <v>0</v>
      </c>
      <c r="H34" s="33" t="n">
        <f aca="false">IF(D34=0,"n/a",E34/ABS(D34)-1)</f>
        <v>-1</v>
      </c>
      <c r="I34" s="33" t="str">
        <f aca="false">IF(G34=0,"n/a","n/a")</f>
        <v>n/a</v>
      </c>
      <c r="J34" s="33" t="str">
        <f aca="false">IF(G34=0,"n/a",F34/ABS(G34)-1)</f>
        <v>n/a</v>
      </c>
      <c r="K34" s="34"/>
    </row>
    <row r="35" customFormat="false" ht="15.75" hidden="false" customHeight="true" outlineLevel="0" collapsed="false">
      <c r="A35" s="31" t="s">
        <v>66</v>
      </c>
      <c r="B35" s="32" t="n">
        <v>9</v>
      </c>
      <c r="C35" s="32" t="n">
        <v>9</v>
      </c>
      <c r="D35" s="32" t="n">
        <v>7</v>
      </c>
      <c r="E35" s="32" t="n">
        <v>0</v>
      </c>
      <c r="F35" s="32" t="n">
        <v>25</v>
      </c>
      <c r="G35" s="32" t="n">
        <v>67</v>
      </c>
      <c r="H35" s="33" t="n">
        <f aca="false">IF(D35=0,"n/a",E35/ABS(D35)-1)</f>
        <v>-1</v>
      </c>
      <c r="I35" s="33" t="str">
        <f aca="false">IF(G35=0,"n/a","n/a")</f>
        <v>n/a</v>
      </c>
      <c r="J35" s="33" t="n">
        <f aca="false">IF(G35=0,"n/a",F35/ABS(G35)-1)</f>
        <v>-0.626865671641791</v>
      </c>
      <c r="K35" s="34"/>
    </row>
    <row r="36" customFormat="false" ht="15.75" hidden="false" customHeight="true" outlineLevel="0" collapsed="false">
      <c r="A36" s="31" t="s">
        <v>67</v>
      </c>
      <c r="B36" s="32" t="n">
        <v>-3</v>
      </c>
      <c r="C36" s="32" t="n">
        <v>1</v>
      </c>
      <c r="D36" s="32" t="n">
        <v>0</v>
      </c>
      <c r="E36" s="32" t="n">
        <v>0</v>
      </c>
      <c r="F36" s="32" t="n">
        <v>-2</v>
      </c>
      <c r="G36" s="32" t="n">
        <v>21</v>
      </c>
      <c r="H36" s="33" t="str">
        <f aca="false">IF(D36=0,"n/a",E36/ABS(D36)-1)</f>
        <v>n/a</v>
      </c>
      <c r="I36" s="33" t="str">
        <f aca="false">IF(G36=0,"n/a","n/a")</f>
        <v>n/a</v>
      </c>
      <c r="J36" s="33" t="n">
        <f aca="false">IF(G36=0,"n/a",F36/ABS(G36)-1)</f>
        <v>-1.0952380952381</v>
      </c>
      <c r="K36" s="34"/>
    </row>
    <row r="37" customFormat="false" ht="15.75" hidden="false" customHeight="true" outlineLevel="0" collapsed="false">
      <c r="A37" s="31" t="s">
        <v>68</v>
      </c>
      <c r="B37" s="32" t="n">
        <v>10</v>
      </c>
      <c r="C37" s="32" t="n">
        <v>0</v>
      </c>
      <c r="D37" s="32" t="n">
        <v>0</v>
      </c>
      <c r="E37" s="32" t="n">
        <v>0</v>
      </c>
      <c r="F37" s="32" t="n">
        <v>10</v>
      </c>
      <c r="G37" s="32" t="n">
        <v>-34</v>
      </c>
      <c r="H37" s="33" t="str">
        <f aca="false">IF(D37=0,"n/a",E37/ABS(D37)-1)</f>
        <v>n/a</v>
      </c>
      <c r="I37" s="33" t="str">
        <f aca="false">IF(G37=0,"n/a","n/a")</f>
        <v>n/a</v>
      </c>
      <c r="J37" s="33" t="n">
        <f aca="false">IF(G37=0,"n/a",F37/ABS(G37)-1)</f>
        <v>-0.705882352941176</v>
      </c>
      <c r="K37" s="34"/>
    </row>
    <row r="38" customFormat="false" ht="15.75" hidden="false" customHeight="true" outlineLevel="0" collapsed="false">
      <c r="A38" s="35" t="s">
        <v>69</v>
      </c>
      <c r="B38" s="36" t="n">
        <v>511</v>
      </c>
      <c r="C38" s="36" t="n">
        <v>476</v>
      </c>
      <c r="D38" s="36" t="n">
        <v>551</v>
      </c>
      <c r="E38" s="36" t="n">
        <v>545</v>
      </c>
      <c r="F38" s="36" t="n">
        <v>2083</v>
      </c>
      <c r="G38" s="36" t="n">
        <v>3589</v>
      </c>
      <c r="H38" s="33" t="n">
        <f aca="false">IF(D38=0,"n/a",E38/ABS(D38)-1)</f>
        <v>-0.0108892921960072</v>
      </c>
      <c r="I38" s="33" t="str">
        <f aca="false">IF(G38=0,"n/a","n/a")</f>
        <v>n/a</v>
      </c>
      <c r="J38" s="33" t="n">
        <f aca="false">IF(G38=0,"n/a",F38/ABS(G38)-1)</f>
        <v>-0.41961549178044</v>
      </c>
      <c r="K38" s="34"/>
    </row>
    <row r="39" customFormat="false" ht="15.75" hidden="false" customHeight="true" outlineLevel="0" collapsed="false">
      <c r="A39" s="35" t="s">
        <v>70</v>
      </c>
      <c r="B39" s="36" t="n">
        <v>176</v>
      </c>
      <c r="C39" s="36" t="n">
        <v>1065</v>
      </c>
      <c r="D39" s="36" t="n">
        <v>4111</v>
      </c>
      <c r="E39" s="36" t="n">
        <v>7037</v>
      </c>
      <c r="F39" s="36" t="n">
        <v>12389</v>
      </c>
      <c r="G39" s="36" t="n">
        <v>-1377</v>
      </c>
      <c r="H39" s="33" t="n">
        <f aca="false">IF(D39=0,"n/a",E39/ABS(D39)-1)</f>
        <v>0.711748966188275</v>
      </c>
      <c r="I39" s="33" t="str">
        <f aca="false">IF(G39=0,"n/a","n/a")</f>
        <v>n/a</v>
      </c>
      <c r="J39" s="33" t="n">
        <f aca="false">IF(G39=0,"n/a",F39/ABS(G39)-1)</f>
        <v>7.99709513435004</v>
      </c>
      <c r="K39" s="34"/>
    </row>
    <row r="40" customFormat="false" ht="15.75" hidden="false" customHeight="true" outlineLevel="0" collapsed="false">
      <c r="A40" s="31" t="s">
        <v>71</v>
      </c>
      <c r="B40" s="32" t="n">
        <v>0</v>
      </c>
      <c r="C40" s="32" t="n">
        <v>0</v>
      </c>
      <c r="D40" s="32" t="n">
        <v>4</v>
      </c>
      <c r="E40" s="32" t="n">
        <v>804</v>
      </c>
      <c r="F40" s="32" t="n">
        <v>808</v>
      </c>
      <c r="G40" s="32" t="n">
        <v>-2</v>
      </c>
      <c r="H40" s="33" t="n">
        <f aca="false">IF(D40=0,"n/a",E40/ABS(D40)-1)</f>
        <v>200</v>
      </c>
      <c r="I40" s="33" t="str">
        <f aca="false">IF(G40=0,"n/a","n/a")</f>
        <v>n/a</v>
      </c>
      <c r="J40" s="33" t="n">
        <f aca="false">IF(G40=0,"n/a",F40/ABS(G40)-1)</f>
        <v>403</v>
      </c>
      <c r="K40" s="34"/>
    </row>
    <row r="41" customFormat="false" ht="15.75" hidden="false" customHeight="true" outlineLevel="0" collapsed="false">
      <c r="A41" s="31" t="s">
        <v>72</v>
      </c>
      <c r="B41" s="32" t="n">
        <v>16</v>
      </c>
      <c r="C41" s="32" t="n">
        <v>12</v>
      </c>
      <c r="D41" s="32" t="n">
        <v>12</v>
      </c>
      <c r="E41" s="32" t="n">
        <v>30</v>
      </c>
      <c r="F41" s="32" t="n">
        <v>70</v>
      </c>
      <c r="G41" s="32" t="n">
        <v>22</v>
      </c>
      <c r="H41" s="33" t="n">
        <f aca="false">IF(D41=0,"n/a",E41/ABS(D41)-1)</f>
        <v>1.5</v>
      </c>
      <c r="I41" s="33" t="str">
        <f aca="false">IF(G41=0,"n/a","n/a")</f>
        <v>n/a</v>
      </c>
      <c r="J41" s="33" t="n">
        <f aca="false">IF(G41=0,"n/a",F41/ABS(G41)-1)</f>
        <v>2.18181818181818</v>
      </c>
      <c r="K41" s="34"/>
    </row>
    <row r="42" customFormat="false" ht="15.75" hidden="false" customHeight="true" outlineLevel="0" collapsed="false">
      <c r="A42" s="31" t="s">
        <v>73</v>
      </c>
      <c r="B42" s="32" t="n">
        <v>-40</v>
      </c>
      <c r="C42" s="32" t="n">
        <v>-25</v>
      </c>
      <c r="D42" s="32" t="n">
        <v>-6</v>
      </c>
      <c r="E42" s="32" t="n">
        <v>-2</v>
      </c>
      <c r="F42" s="32" t="n">
        <v>-73</v>
      </c>
      <c r="G42" s="32" t="n">
        <v>-63</v>
      </c>
      <c r="H42" s="33" t="n">
        <f aca="false">IF(D42=0,"n/a",E42/ABS(D42)-1)</f>
        <v>-1.33333333333333</v>
      </c>
      <c r="I42" s="33" t="str">
        <f aca="false">IF(G42=0,"n/a","n/a")</f>
        <v>n/a</v>
      </c>
      <c r="J42" s="33" t="n">
        <f aca="false">IF(G42=0,"n/a",F42/ABS(G42)-1)</f>
        <v>-2.15873015873016</v>
      </c>
      <c r="K42" s="34"/>
    </row>
    <row r="43" customFormat="false" ht="15.75" hidden="false" customHeight="true" outlineLevel="0" collapsed="false">
      <c r="A43" s="31" t="s">
        <v>74</v>
      </c>
      <c r="B43" s="32" t="n">
        <v>-28</v>
      </c>
      <c r="C43" s="32" t="n">
        <v>-115</v>
      </c>
      <c r="D43" s="32" t="n">
        <v>-14</v>
      </c>
      <c r="E43" s="32" t="n">
        <v>-20</v>
      </c>
      <c r="F43" s="32" t="n">
        <v>-177</v>
      </c>
      <c r="G43" s="32" t="n">
        <v>-59</v>
      </c>
      <c r="H43" s="33" t="n">
        <f aca="false">IF(D43=0,"n/a",E43/ABS(D43)-1)</f>
        <v>-2.42857142857143</v>
      </c>
      <c r="I43" s="33" t="str">
        <f aca="false">IF(G43=0,"n/a","n/a")</f>
        <v>n/a</v>
      </c>
      <c r="J43" s="33" t="n">
        <f aca="false">IF(G43=0,"n/a",F43/ABS(G43)-1)</f>
        <v>-4</v>
      </c>
      <c r="K43" s="34"/>
    </row>
    <row r="44" customFormat="false" ht="15.75" hidden="false" customHeight="true" outlineLevel="0" collapsed="false">
      <c r="A44" s="35" t="s">
        <v>75</v>
      </c>
      <c r="B44" s="36" t="n">
        <v>-52</v>
      </c>
      <c r="C44" s="36" t="n">
        <v>-128</v>
      </c>
      <c r="D44" s="36" t="n">
        <v>-4</v>
      </c>
      <c r="E44" s="36" t="n">
        <v>812</v>
      </c>
      <c r="F44" s="36" t="n">
        <v>628</v>
      </c>
      <c r="G44" s="36" t="n">
        <v>-102</v>
      </c>
      <c r="H44" s="33" t="n">
        <f aca="false">IF(D44=0,"n/a",E44/ABS(D44)-1)</f>
        <v>202</v>
      </c>
      <c r="I44" s="33" t="str">
        <f aca="false">IF(G44=0,"n/a","n/a")</f>
        <v>n/a</v>
      </c>
      <c r="J44" s="33" t="n">
        <f aca="false">IF(G44=0,"n/a",F44/ABS(G44)-1)</f>
        <v>5.15686274509804</v>
      </c>
      <c r="K44" s="34"/>
    </row>
    <row r="45" customFormat="false" ht="15.75" hidden="false" customHeight="true" outlineLevel="0" collapsed="false">
      <c r="A45" s="35" t="s">
        <v>76</v>
      </c>
      <c r="B45" s="36" t="n">
        <v>124</v>
      </c>
      <c r="C45" s="36" t="n">
        <v>937</v>
      </c>
      <c r="D45" s="36" t="n">
        <v>4107</v>
      </c>
      <c r="E45" s="36" t="n">
        <v>7849</v>
      </c>
      <c r="F45" s="36" t="n">
        <v>13017</v>
      </c>
      <c r="G45" s="36" t="n">
        <v>-1479</v>
      </c>
      <c r="H45" s="33" t="n">
        <f aca="false">IF(D45=0,"n/a",E45/ABS(D45)-1)</f>
        <v>0.911127343559776</v>
      </c>
      <c r="I45" s="33" t="str">
        <f aca="false">IF(G45=0,"n/a","n/a")</f>
        <v>n/a</v>
      </c>
      <c r="J45" s="33" t="n">
        <f aca="false">IF(G45=0,"n/a",F45/ABS(G45)-1)</f>
        <v>7.80121703853955</v>
      </c>
      <c r="K45" s="34"/>
    </row>
    <row r="46" customFormat="false" ht="15.75" hidden="false" customHeight="true" outlineLevel="0" collapsed="false">
      <c r="A46" s="31" t="s">
        <v>77</v>
      </c>
      <c r="B46" s="32" t="n">
        <v>12</v>
      </c>
      <c r="C46" s="32" t="n">
        <v>134</v>
      </c>
      <c r="D46" s="32" t="n">
        <v>492</v>
      </c>
      <c r="E46" s="32" t="n">
        <v>946</v>
      </c>
      <c r="F46" s="32" t="n">
        <v>1584</v>
      </c>
      <c r="G46" s="32" t="n">
        <v>162</v>
      </c>
      <c r="H46" s="33" t="n">
        <f aca="false">IF(D46=0,"n/a",E46/ABS(D46)-1)</f>
        <v>0.922764227642277</v>
      </c>
      <c r="I46" s="33" t="str">
        <f aca="false">IF(G46=0,"n/a","n/a")</f>
        <v>n/a</v>
      </c>
      <c r="J46" s="33" t="n">
        <f aca="false">IF(G46=0,"n/a",F46/ABS(G46)-1)</f>
        <v>8.77777777777778</v>
      </c>
      <c r="K46" s="34"/>
    </row>
    <row r="47" customFormat="false" ht="15.75" hidden="false" customHeight="true" outlineLevel="0" collapsed="false">
      <c r="A47" s="35" t="s">
        <v>78</v>
      </c>
      <c r="B47" s="36" t="n">
        <v>112</v>
      </c>
      <c r="C47" s="36" t="n">
        <v>803</v>
      </c>
      <c r="D47" s="36" t="n">
        <v>3615</v>
      </c>
      <c r="E47" s="36" t="n">
        <v>6903</v>
      </c>
      <c r="F47" s="36" t="n">
        <v>11433</v>
      </c>
      <c r="G47" s="36" t="n">
        <v>-1641</v>
      </c>
      <c r="H47" s="33" t="n">
        <f aca="false">IF(D47=0,"n/a",E47/ABS(D47)-1)</f>
        <v>0.90954356846473</v>
      </c>
      <c r="I47" s="33" t="str">
        <f aca="false">IF(G47=0,"n/a","n/a")</f>
        <v>n/a</v>
      </c>
      <c r="J47" s="33" t="n">
        <f aca="false">IF(G47=0,"n/a",F47/ABS(G47)-1)</f>
        <v>5.96709323583181</v>
      </c>
      <c r="K47" s="34"/>
    </row>
    <row r="48" customFormat="false" ht="16.5" hidden="false" customHeight="true" outlineLevel="0" collapsed="false">
      <c r="A48" s="37" t="s">
        <v>79</v>
      </c>
      <c r="B48" s="38" t="n">
        <f aca="false">B30/B28</f>
        <v>0.297660311958406</v>
      </c>
      <c r="C48" s="38" t="n">
        <f aca="false">C30/C28</f>
        <v>0.509421487603306</v>
      </c>
      <c r="D48" s="38" t="n">
        <f aca="false">D30/D28</f>
        <v>0.783529411764706</v>
      </c>
      <c r="E48" s="38" t="n">
        <f aca="false">E30/E28</f>
        <v>0.845733407696598</v>
      </c>
      <c r="F48" s="38" t="n">
        <f aca="false">F30/F28</f>
        <v>0.71473725800079</v>
      </c>
      <c r="G48" s="38" t="n">
        <f aca="false">G30/G28</f>
        <v>0.300747790618627</v>
      </c>
      <c r="H48" s="34"/>
      <c r="I48" s="34"/>
      <c r="J48" s="34"/>
      <c r="K48" s="34"/>
    </row>
    <row r="49" customFormat="false" ht="16.5" hidden="false" customHeight="true" outlineLevel="0" collapsed="false">
      <c r="A49" s="37" t="s">
        <v>80</v>
      </c>
      <c r="B49" s="38" t="n">
        <f aca="false">B39/B28</f>
        <v>0.0762564991334489</v>
      </c>
      <c r="C49" s="38" t="n">
        <f aca="false">C39/C28</f>
        <v>0.352066115702479</v>
      </c>
      <c r="D49" s="38" t="n">
        <f aca="false">D39/D28</f>
        <v>0.690924369747899</v>
      </c>
      <c r="E49" s="38" t="n">
        <f aca="false">E39/E28</f>
        <v>0.784941438929169</v>
      </c>
      <c r="F49" s="38" t="n">
        <f aca="false">F39/F28</f>
        <v>0.61186290003951</v>
      </c>
      <c r="G49" s="38" t="n">
        <f aca="false">G39/G28</f>
        <v>-0.187219578518015</v>
      </c>
      <c r="H49" s="34"/>
      <c r="I49" s="34"/>
      <c r="J49" s="34"/>
      <c r="K49" s="34"/>
    </row>
    <row r="50" customFormat="false" ht="16.5" hidden="false" customHeight="true" outlineLevel="0" collapsed="false">
      <c r="A50" s="37" t="s">
        <v>81</v>
      </c>
      <c r="B50" s="38" t="n">
        <f aca="false">B47/B28</f>
        <v>0.048526863084922</v>
      </c>
      <c r="C50" s="38" t="n">
        <f aca="false">C47/C28</f>
        <v>0.265454545454545</v>
      </c>
      <c r="D50" s="38" t="n">
        <f aca="false">D47/D28</f>
        <v>0.607563025210084</v>
      </c>
      <c r="E50" s="38" t="n">
        <f aca="false">E47/E28</f>
        <v>0.769994422755159</v>
      </c>
      <c r="F50" s="38" t="n">
        <f aca="false">F47/F28</f>
        <v>0.564648360331885</v>
      </c>
      <c r="G50" s="38" t="n">
        <f aca="false">G47/G28</f>
        <v>-0.223113528212101</v>
      </c>
      <c r="H50" s="34"/>
      <c r="I50" s="34"/>
      <c r="J50" s="34"/>
      <c r="K50" s="34"/>
    </row>
    <row r="51" customFormat="false" ht="16.5" hidden="false" customHeight="true" outlineLevel="0" collapsed="false">
      <c r="A51" s="37" t="s">
        <v>82</v>
      </c>
      <c r="B51" s="38" t="n">
        <f aca="false">B38/B28</f>
        <v>0.221403812824957</v>
      </c>
      <c r="C51" s="38" t="n">
        <f aca="false">C38/C28</f>
        <v>0.157355371900826</v>
      </c>
      <c r="D51" s="38" t="n">
        <f aca="false">D38/D28</f>
        <v>0.0926050420168067</v>
      </c>
      <c r="E51" s="38" t="n">
        <f aca="false">E38/E28</f>
        <v>0.0607919687674289</v>
      </c>
      <c r="F51" s="38" t="n">
        <f aca="false">F38/F28</f>
        <v>0.10287435796128</v>
      </c>
      <c r="G51" s="38" t="n">
        <f aca="false">G38/G28</f>
        <v>0.487967369136642</v>
      </c>
      <c r="H51" s="34"/>
      <c r="I51" s="34"/>
      <c r="J51" s="34"/>
      <c r="K51" s="34"/>
    </row>
    <row r="52" customFormat="false" ht="15.75" hidden="false" customHeight="true" outlineLevel="0" collapsed="false">
      <c r="A52" s="5" t="s">
        <v>83</v>
      </c>
      <c r="B52" s="39" t="n">
        <v>0.75</v>
      </c>
      <c r="C52" s="39" t="n">
        <v>5.15</v>
      </c>
      <c r="D52" s="39" t="n">
        <v>23.03</v>
      </c>
      <c r="E52" s="39" t="n">
        <v>43.97</v>
      </c>
      <c r="F52" s="39" t="n">
        <v>73.76</v>
      </c>
      <c r="G52" s="39" t="n">
        <v>-11.32</v>
      </c>
      <c r="H52" s="34"/>
      <c r="I52" s="34"/>
      <c r="J52" s="34"/>
      <c r="K52" s="34"/>
    </row>
    <row r="53" customFormat="false" ht="15.75" hidden="false" customHeight="true" outlineLevel="0" collapsed="false">
      <c r="A53" s="5" t="s">
        <v>84</v>
      </c>
      <c r="B53" s="39" t="n">
        <v>0.77</v>
      </c>
      <c r="C53" s="39" t="n">
        <v>5.46</v>
      </c>
      <c r="D53" s="39" t="n">
        <v>24.43</v>
      </c>
      <c r="E53" s="39" t="n">
        <v>46.96</v>
      </c>
      <c r="F53" s="39" t="n">
        <v>77.78</v>
      </c>
      <c r="G53" s="39" t="n">
        <v>-11.32</v>
      </c>
      <c r="H53" s="34"/>
      <c r="I53" s="34"/>
      <c r="J53" s="34"/>
      <c r="K53" s="34"/>
    </row>
    <row r="54" customFormat="false" ht="15.75" hidden="false" customHeight="true" outlineLevel="0" collapsed="false">
      <c r="A54" s="5" t="s">
        <v>85</v>
      </c>
      <c r="B54" s="40" t="n">
        <v>149</v>
      </c>
      <c r="C54" s="40" t="n">
        <v>156</v>
      </c>
      <c r="D54" s="40" t="n">
        <v>157</v>
      </c>
      <c r="E54" s="40" t="n">
        <v>157</v>
      </c>
      <c r="F54" s="40" t="n">
        <v>155</v>
      </c>
      <c r="G54" s="40" t="n">
        <v>145</v>
      </c>
      <c r="H54" s="34"/>
      <c r="I54" s="34"/>
      <c r="J54" s="34"/>
      <c r="K54" s="34"/>
    </row>
    <row r="55" customFormat="false" ht="15.75" hidden="false" customHeight="true" outlineLevel="0" collapsed="false">
      <c r="A55" s="5" t="s">
        <v>86</v>
      </c>
      <c r="B55" s="40" t="n">
        <v>145</v>
      </c>
      <c r="C55" s="40" t="n">
        <v>147</v>
      </c>
      <c r="D55" s="40" t="n">
        <v>148</v>
      </c>
      <c r="E55" s="40" t="n">
        <v>147</v>
      </c>
      <c r="F55" s="40" t="n">
        <v>147</v>
      </c>
      <c r="G55" s="40" t="n">
        <v>145</v>
      </c>
      <c r="H55" s="34"/>
      <c r="I55" s="34"/>
      <c r="J55" s="34"/>
      <c r="K55" s="34"/>
    </row>
    <row r="56" customFormat="false" ht="33" hidden="false" customHeight="true" outlineLevel="0" collapsed="false">
      <c r="A56" s="29" t="s">
        <v>87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8" customFormat="false" ht="24" hidden="false" customHeight="true" outlineLevel="0" collapsed="false">
      <c r="A58" s="3" t="s">
        <v>88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27" hidden="false" customHeight="true" outlineLevel="0" collapsed="false">
      <c r="A59" s="4" t="s">
        <v>89</v>
      </c>
      <c r="B59" s="13" t="s">
        <v>49</v>
      </c>
      <c r="C59" s="13" t="s">
        <v>50</v>
      </c>
      <c r="D59" s="13" t="s">
        <v>51</v>
      </c>
      <c r="E59" s="13" t="s">
        <v>52</v>
      </c>
      <c r="F59" s="13" t="s">
        <v>53</v>
      </c>
      <c r="G59" s="13" t="s">
        <v>54</v>
      </c>
      <c r="H59" s="13" t="s">
        <v>57</v>
      </c>
      <c r="I59" s="13" t="s">
        <v>90</v>
      </c>
      <c r="J59" s="4"/>
      <c r="K59" s="4"/>
    </row>
    <row r="60" customFormat="false" ht="16.5" hidden="false" customHeight="true" outlineLevel="0" collapsed="false">
      <c r="A60" s="41" t="s">
        <v>91</v>
      </c>
      <c r="B60" s="32" t="n">
        <v>269</v>
      </c>
      <c r="C60" s="32" t="n">
        <v>440</v>
      </c>
      <c r="D60" s="32" t="n">
        <v>1467</v>
      </c>
      <c r="E60" s="32" t="n">
        <v>2977</v>
      </c>
      <c r="F60" s="32" t="n">
        <v>5153</v>
      </c>
      <c r="G60" s="32" t="n">
        <v>960</v>
      </c>
      <c r="H60" s="42" t="n">
        <f aca="false">F60/G60-1</f>
        <v>4.36770833333333</v>
      </c>
      <c r="I60" s="43" t="n">
        <f aca="false">F60/F28</f>
        <v>0.254494271039115</v>
      </c>
      <c r="J60" s="34"/>
      <c r="K60" s="34"/>
    </row>
    <row r="61" customFormat="false" ht="16.5" hidden="false" customHeight="true" outlineLevel="0" collapsed="false">
      <c r="A61" s="41" t="s">
        <v>92</v>
      </c>
      <c r="B61" s="32" t="n">
        <v>1387</v>
      </c>
      <c r="C61" s="32" t="n">
        <v>1678</v>
      </c>
      <c r="D61" s="32" t="n">
        <v>3663</v>
      </c>
      <c r="E61" s="32" t="n">
        <v>5432</v>
      </c>
      <c r="F61" s="32" t="n">
        <v>12160</v>
      </c>
      <c r="G61" s="32" t="n">
        <v>4127</v>
      </c>
      <c r="H61" s="42" t="n">
        <f aca="false">F61/G61-1</f>
        <v>1.94645020596075</v>
      </c>
      <c r="I61" s="43" t="n">
        <f aca="false">F61/F28</f>
        <v>0.600553141050968</v>
      </c>
      <c r="J61" s="34"/>
      <c r="K61" s="34"/>
    </row>
    <row r="62" customFormat="false" ht="16.5" hidden="false" customHeight="true" outlineLevel="0" collapsed="false">
      <c r="A62" s="41" t="s">
        <v>93</v>
      </c>
      <c r="B62" s="32" t="n">
        <v>652</v>
      </c>
      <c r="C62" s="32" t="n">
        <v>907</v>
      </c>
      <c r="D62" s="32" t="n">
        <v>820</v>
      </c>
      <c r="E62" s="32" t="n">
        <v>556</v>
      </c>
      <c r="F62" s="32" t="n">
        <v>2935</v>
      </c>
      <c r="G62" s="32" t="n">
        <v>2268</v>
      </c>
      <c r="H62" s="42" t="n">
        <f aca="false">F62/G62-1</f>
        <v>0.294091710758377</v>
      </c>
      <c r="I62" s="43" t="n">
        <f aca="false">F62/F28</f>
        <v>0.144952587909917</v>
      </c>
      <c r="J62" s="34"/>
      <c r="K62" s="34"/>
    </row>
    <row r="63" customFormat="false" ht="16.5" hidden="false" customHeight="true" outlineLevel="0" collapsed="false">
      <c r="A63" s="35" t="s">
        <v>94</v>
      </c>
      <c r="B63" s="36" t="n">
        <f aca="false">SUM(B60:B62)</f>
        <v>2308</v>
      </c>
      <c r="C63" s="36" t="n">
        <f aca="false">SUM(C60:C62)</f>
        <v>3025</v>
      </c>
      <c r="D63" s="36" t="n">
        <f aca="false">SUM(D60:D62)</f>
        <v>5950</v>
      </c>
      <c r="E63" s="36" t="n">
        <f aca="false">SUM(E60:E62)</f>
        <v>8965</v>
      </c>
      <c r="F63" s="36" t="n">
        <f aca="false">SUM(F60:F62)</f>
        <v>20248</v>
      </c>
      <c r="G63" s="36" t="n">
        <f aca="false">SUM(G60:G62)</f>
        <v>7355</v>
      </c>
      <c r="H63" s="34"/>
      <c r="I63" s="34"/>
      <c r="J63" s="34"/>
      <c r="K63" s="34"/>
    </row>
    <row r="64" customFormat="false" ht="20.25" hidden="false" customHeight="true" outlineLevel="0" collapsed="false">
      <c r="A64" s="44" t="s">
        <v>95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</row>
    <row r="66" customFormat="false" ht="24" hidden="false" customHeight="true" outlineLevel="0" collapsed="false">
      <c r="A66" s="3" t="s">
        <v>96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42" hidden="false" customHeight="true" outlineLevel="0" collapsed="false">
      <c r="A67" s="4" t="s">
        <v>48</v>
      </c>
      <c r="B67" s="13" t="s">
        <v>97</v>
      </c>
      <c r="C67" s="13" t="s">
        <v>98</v>
      </c>
      <c r="D67" s="13" t="s">
        <v>99</v>
      </c>
      <c r="E67" s="13" t="s">
        <v>100</v>
      </c>
      <c r="F67" s="13" t="s">
        <v>101</v>
      </c>
      <c r="G67" s="4" t="s">
        <v>102</v>
      </c>
      <c r="H67" s="4" t="s">
        <v>58</v>
      </c>
      <c r="I67" s="4"/>
      <c r="J67" s="4"/>
      <c r="K67" s="4"/>
    </row>
    <row r="68" customFormat="false" ht="18" hidden="false" customHeight="true" outlineLevel="0" collapsed="false">
      <c r="A68" s="45" t="s">
        <v>103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</row>
    <row r="69" customFormat="false" ht="15.75" hidden="false" customHeight="true" outlineLevel="0" collapsed="false">
      <c r="A69" s="31" t="s">
        <v>104</v>
      </c>
      <c r="B69" s="32" t="n">
        <v>1481</v>
      </c>
      <c r="C69" s="32" t="n">
        <v>1539</v>
      </c>
      <c r="D69" s="32" t="n">
        <v>3735</v>
      </c>
      <c r="E69" s="32" t="n">
        <v>4762</v>
      </c>
      <c r="F69" s="32" t="n">
        <f aca="false">E69-B69</f>
        <v>3281</v>
      </c>
      <c r="G69" s="46" t="n">
        <f aca="false">IF(B69=0,"n/a",E69/B69-1)</f>
        <v>2.2153950033761</v>
      </c>
      <c r="H69" s="34"/>
      <c r="I69" s="34"/>
      <c r="J69" s="34"/>
      <c r="K69" s="34"/>
    </row>
    <row r="70" customFormat="false" ht="15.75" hidden="false" customHeight="true" outlineLevel="0" collapsed="false">
      <c r="A70" s="31" t="s">
        <v>105</v>
      </c>
      <c r="B70" s="32" t="n">
        <v>1068</v>
      </c>
      <c r="C70" s="32" t="n">
        <v>1239</v>
      </c>
      <c r="D70" s="32" t="n">
        <v>2726</v>
      </c>
      <c r="E70" s="32" t="n">
        <v>4708</v>
      </c>
      <c r="F70" s="32" t="n">
        <f aca="false">E70-B70</f>
        <v>3640</v>
      </c>
      <c r="G70" s="46" t="n">
        <f aca="false">IF(B70=0,"n/a",E70/B70-1)</f>
        <v>3.40823970037453</v>
      </c>
      <c r="H70" s="34"/>
      <c r="I70" s="34"/>
      <c r="J70" s="34"/>
      <c r="K70" s="34"/>
    </row>
    <row r="71" customFormat="false" ht="15.75" hidden="false" customHeight="true" outlineLevel="0" collapsed="false">
      <c r="A71" s="31" t="s">
        <v>106</v>
      </c>
      <c r="B71" s="32" t="n">
        <v>2079</v>
      </c>
      <c r="C71" s="32" t="n">
        <v>1970</v>
      </c>
      <c r="D71" s="32" t="n">
        <v>2238</v>
      </c>
      <c r="E71" s="32" t="n">
        <v>2698</v>
      </c>
      <c r="F71" s="32" t="n">
        <f aca="false">E71-B71</f>
        <v>619</v>
      </c>
      <c r="G71" s="46" t="n">
        <f aca="false">IF(B71=0,"n/a",E71/B71-1)</f>
        <v>0.297739297739298</v>
      </c>
      <c r="H71" s="34"/>
      <c r="I71" s="34"/>
      <c r="J71" s="34"/>
      <c r="K71" s="34"/>
    </row>
    <row r="72" customFormat="false" ht="15.75" hidden="false" customHeight="true" outlineLevel="0" collapsed="false">
      <c r="A72" s="31" t="s">
        <v>107</v>
      </c>
      <c r="B72" s="32" t="n">
        <v>66</v>
      </c>
      <c r="C72" s="32" t="n">
        <v>45</v>
      </c>
      <c r="D72" s="32" t="n">
        <v>81</v>
      </c>
      <c r="E72" s="32" t="n">
        <v>22</v>
      </c>
      <c r="F72" s="32" t="n">
        <f aca="false">E72-B72</f>
        <v>-44</v>
      </c>
      <c r="G72" s="46" t="n">
        <f aca="false">IF(B72=0,"n/a",E72/B72-1)</f>
        <v>-0.666666666666667</v>
      </c>
      <c r="H72" s="34"/>
      <c r="I72" s="34"/>
      <c r="J72" s="34"/>
      <c r="K72" s="34"/>
    </row>
    <row r="73" customFormat="false" ht="15.75" hidden="false" customHeight="true" outlineLevel="0" collapsed="false">
      <c r="A73" s="31" t="s">
        <v>108</v>
      </c>
      <c r="B73" s="32" t="n">
        <v>392</v>
      </c>
      <c r="C73" s="32" t="n">
        <v>357</v>
      </c>
      <c r="D73" s="32" t="n">
        <v>388</v>
      </c>
      <c r="E73" s="32" t="n">
        <v>590</v>
      </c>
      <c r="F73" s="32" t="n">
        <f aca="false">E73-B73</f>
        <v>198</v>
      </c>
      <c r="G73" s="46" t="n">
        <f aca="false">IF(B73=0,"n/a",E73/B73-1)</f>
        <v>0.505102040816327</v>
      </c>
      <c r="H73" s="34"/>
      <c r="I73" s="34"/>
      <c r="J73" s="34"/>
      <c r="K73" s="34"/>
    </row>
    <row r="74" customFormat="false" ht="15.75" hidden="false" customHeight="true" outlineLevel="0" collapsed="false">
      <c r="A74" s="35" t="s">
        <v>109</v>
      </c>
      <c r="B74" s="36" t="n">
        <v>5086</v>
      </c>
      <c r="C74" s="36" t="n">
        <v>5150</v>
      </c>
      <c r="D74" s="36" t="n">
        <v>9168</v>
      </c>
      <c r="E74" s="36" t="n">
        <v>12780</v>
      </c>
      <c r="F74" s="47" t="n">
        <f aca="false">E74-B74</f>
        <v>7694</v>
      </c>
      <c r="G74" s="46" t="n">
        <f aca="false">IF(B74=0,"n/a",E74/B74-1)</f>
        <v>1.51278018088871</v>
      </c>
      <c r="H74" s="34"/>
      <c r="I74" s="34"/>
      <c r="J74" s="34"/>
      <c r="K74" s="34"/>
    </row>
    <row r="75" customFormat="false" ht="15.75" hidden="false" customHeight="true" outlineLevel="0" collapsed="false">
      <c r="A75" s="31" t="s">
        <v>110</v>
      </c>
      <c r="B75" s="32" t="n">
        <v>0</v>
      </c>
      <c r="C75" s="32" t="n">
        <v>0</v>
      </c>
      <c r="D75" s="32" t="n">
        <v>0</v>
      </c>
      <c r="E75" s="32" t="n">
        <v>1777</v>
      </c>
      <c r="F75" s="32" t="n">
        <f aca="false">E75-B75</f>
        <v>1777</v>
      </c>
      <c r="G75" s="46" t="str">
        <f aca="false">IF(B75=0,"n/a",E75/B75-1)</f>
        <v>n/a</v>
      </c>
      <c r="H75" s="34"/>
      <c r="I75" s="34"/>
      <c r="J75" s="34"/>
      <c r="K75" s="34"/>
    </row>
    <row r="76" customFormat="false" ht="15.75" hidden="false" customHeight="true" outlineLevel="0" collapsed="false">
      <c r="A76" s="31" t="s">
        <v>111</v>
      </c>
      <c r="B76" s="32" t="n">
        <v>619</v>
      </c>
      <c r="C76" s="32" t="n">
        <v>631</v>
      </c>
      <c r="D76" s="32" t="n">
        <v>649</v>
      </c>
      <c r="E76" s="32" t="n">
        <v>674</v>
      </c>
      <c r="F76" s="32" t="n">
        <f aca="false">E76-B76</f>
        <v>55</v>
      </c>
      <c r="G76" s="46" t="n">
        <f aca="false">IF(B76=0,"n/a",E76/B76-1)</f>
        <v>0.0888529886914378</v>
      </c>
      <c r="H76" s="34"/>
      <c r="I76" s="34"/>
      <c r="J76" s="34"/>
      <c r="K76" s="34"/>
    </row>
    <row r="77" customFormat="false" ht="15.75" hidden="false" customHeight="true" outlineLevel="0" collapsed="false">
      <c r="A77" s="48" t="s">
        <v>112</v>
      </c>
      <c r="B77" s="32" t="n">
        <v>654</v>
      </c>
      <c r="C77" s="32" t="n">
        <v>677</v>
      </c>
      <c r="D77" s="32" t="n">
        <v>684</v>
      </c>
      <c r="E77" s="32" t="n">
        <v>678</v>
      </c>
      <c r="F77" s="32" t="n">
        <f aca="false">E77-B77</f>
        <v>24</v>
      </c>
      <c r="G77" s="46" t="n">
        <f aca="false">IF(B77=0,"n/a",E77/B77-1)</f>
        <v>0.036697247706422</v>
      </c>
      <c r="H77" s="34"/>
      <c r="I77" s="34"/>
      <c r="J77" s="34"/>
      <c r="K77" s="34"/>
    </row>
    <row r="78" customFormat="false" ht="15.75" hidden="false" customHeight="true" outlineLevel="0" collapsed="false">
      <c r="A78" s="31" t="s">
        <v>113</v>
      </c>
      <c r="B78" s="32" t="n">
        <v>4999</v>
      </c>
      <c r="C78" s="32" t="n">
        <v>4995</v>
      </c>
      <c r="D78" s="32" t="n">
        <v>4994</v>
      </c>
      <c r="E78" s="32" t="n">
        <v>4994</v>
      </c>
      <c r="F78" s="32" t="n">
        <f aca="false">E78-B78</f>
        <v>-5</v>
      </c>
      <c r="G78" s="46" t="n">
        <f aca="false">IF(B78=0,"n/a",E78/B78-1)</f>
        <v>-0.001000200040008</v>
      </c>
      <c r="H78" s="34"/>
      <c r="I78" s="34"/>
      <c r="J78" s="34"/>
      <c r="K78" s="34"/>
    </row>
    <row r="79" customFormat="false" ht="15.75" hidden="false" customHeight="true" outlineLevel="0" collapsed="false">
      <c r="A79" s="31" t="s">
        <v>114</v>
      </c>
      <c r="B79" s="32" t="n">
        <v>80</v>
      </c>
      <c r="C79" s="32" t="n">
        <v>98</v>
      </c>
      <c r="D79" s="32" t="n">
        <v>134</v>
      </c>
      <c r="E79" s="32" t="n">
        <v>169</v>
      </c>
      <c r="F79" s="32" t="n">
        <f aca="false">E79-B79</f>
        <v>89</v>
      </c>
      <c r="G79" s="46" t="n">
        <f aca="false">IF(B79=0,"n/a",E79/B79-1)</f>
        <v>1.1125</v>
      </c>
      <c r="H79" s="34"/>
      <c r="I79" s="34"/>
      <c r="J79" s="34"/>
      <c r="K79" s="34"/>
    </row>
    <row r="80" customFormat="false" ht="15.75" hidden="false" customHeight="true" outlineLevel="0" collapsed="false">
      <c r="A80" s="31" t="s">
        <v>115</v>
      </c>
      <c r="B80" s="32" t="n">
        <v>58</v>
      </c>
      <c r="C80" s="32" t="n">
        <v>62</v>
      </c>
      <c r="D80" s="32" t="n">
        <v>87</v>
      </c>
      <c r="E80" s="32" t="n">
        <v>66</v>
      </c>
      <c r="F80" s="32" t="n">
        <f aca="false">E80-B80</f>
        <v>8</v>
      </c>
      <c r="G80" s="46" t="n">
        <f aca="false">IF(B80=0,"n/a",E80/B80-1)</f>
        <v>0.137931034482759</v>
      </c>
      <c r="H80" s="34"/>
      <c r="I80" s="34"/>
      <c r="J80" s="34"/>
      <c r="K80" s="34"/>
    </row>
    <row r="81" customFormat="false" ht="15.75" hidden="false" customHeight="true" outlineLevel="0" collapsed="false">
      <c r="A81" s="31" t="s">
        <v>116</v>
      </c>
      <c r="B81" s="32" t="n">
        <v>1489</v>
      </c>
      <c r="C81" s="32" t="n">
        <v>1385</v>
      </c>
      <c r="D81" s="32" t="n">
        <v>1359</v>
      </c>
      <c r="E81" s="32" t="n">
        <v>1369</v>
      </c>
      <c r="F81" s="32" t="n">
        <f aca="false">E81-B81</f>
        <v>-120</v>
      </c>
      <c r="G81" s="46" t="n">
        <f aca="false">IF(B81=0,"n/a",E81/B81-1)</f>
        <v>-0.0805910006715916</v>
      </c>
      <c r="H81" s="34"/>
      <c r="I81" s="34"/>
      <c r="J81" s="34"/>
      <c r="K81" s="34"/>
    </row>
    <row r="82" customFormat="false" ht="15.75" hidden="false" customHeight="true" outlineLevel="0" collapsed="false">
      <c r="A82" s="49" t="s">
        <v>117</v>
      </c>
      <c r="B82" s="50" t="n">
        <v>12985</v>
      </c>
      <c r="C82" s="50" t="n">
        <v>12998</v>
      </c>
      <c r="D82" s="50" t="n">
        <v>17075</v>
      </c>
      <c r="E82" s="50" t="n">
        <v>22507</v>
      </c>
      <c r="F82" s="47" t="n">
        <f aca="false">E82-B82</f>
        <v>9522</v>
      </c>
      <c r="G82" s="46" t="n">
        <f aca="false">IF(B82=0,"n/a",E82/B82-1)</f>
        <v>0.733307662687717</v>
      </c>
      <c r="H82" s="34"/>
      <c r="I82" s="34"/>
      <c r="J82" s="34"/>
      <c r="K82" s="34"/>
    </row>
    <row r="83" customFormat="false" ht="18" hidden="false" customHeight="true" outlineLevel="0" collapsed="false">
      <c r="A83" s="45" t="s">
        <v>118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</row>
    <row r="84" customFormat="false" ht="15.75" hidden="false" customHeight="true" outlineLevel="0" collapsed="false">
      <c r="A84" s="31" t="s">
        <v>119</v>
      </c>
      <c r="B84" s="32" t="n">
        <v>366</v>
      </c>
      <c r="C84" s="32" t="n">
        <v>436</v>
      </c>
      <c r="D84" s="32" t="n">
        <v>416</v>
      </c>
      <c r="E84" s="32" t="n">
        <v>516</v>
      </c>
      <c r="F84" s="32" t="n">
        <f aca="false">E84-B84</f>
        <v>150</v>
      </c>
      <c r="G84" s="46" t="n">
        <f aca="false">IF(B84=0,"n/a",E84/B84-1)</f>
        <v>0.409836065573771</v>
      </c>
      <c r="H84" s="34"/>
      <c r="I84" s="34"/>
      <c r="J84" s="34"/>
      <c r="K84" s="34"/>
    </row>
    <row r="85" customFormat="false" ht="15.75" hidden="false" customHeight="true" outlineLevel="0" collapsed="false">
      <c r="A85" s="31" t="s">
        <v>120</v>
      </c>
      <c r="B85" s="32" t="n">
        <v>400</v>
      </c>
      <c r="C85" s="32" t="n">
        <v>433</v>
      </c>
      <c r="D85" s="32" t="n">
        <v>435</v>
      </c>
      <c r="E85" s="32" t="n">
        <v>460</v>
      </c>
      <c r="F85" s="32" t="n">
        <f aca="false">E85-B85</f>
        <v>60</v>
      </c>
      <c r="G85" s="46" t="n">
        <f aca="false">IF(B85=0,"n/a",E85/B85-1)</f>
        <v>0.15</v>
      </c>
      <c r="H85" s="34"/>
      <c r="I85" s="34"/>
      <c r="J85" s="34"/>
      <c r="K85" s="34"/>
    </row>
    <row r="86" customFormat="false" ht="15.75" hidden="false" customHeight="true" outlineLevel="0" collapsed="false">
      <c r="A86" s="31" t="s">
        <v>121</v>
      </c>
      <c r="B86" s="32" t="n">
        <v>274</v>
      </c>
      <c r="C86" s="32" t="n">
        <v>393</v>
      </c>
      <c r="D86" s="32" t="n">
        <v>383</v>
      </c>
      <c r="E86" s="32" t="n">
        <v>313</v>
      </c>
      <c r="F86" s="32" t="n">
        <f aca="false">E86-B86</f>
        <v>39</v>
      </c>
      <c r="G86" s="46" t="n">
        <f aca="false">IF(B86=0,"n/a",E86/B86-1)</f>
        <v>0.142335766423358</v>
      </c>
      <c r="H86" s="34"/>
      <c r="I86" s="34"/>
      <c r="J86" s="34"/>
      <c r="K86" s="34"/>
    </row>
    <row r="87" customFormat="false" ht="15.75" hidden="false" customHeight="true" outlineLevel="0" collapsed="false">
      <c r="A87" s="31" t="s">
        <v>122</v>
      </c>
      <c r="B87" s="32" t="n">
        <v>173</v>
      </c>
      <c r="C87" s="32" t="n">
        <v>273</v>
      </c>
      <c r="D87" s="32" t="n">
        <v>329</v>
      </c>
      <c r="E87" s="32" t="n">
        <v>657</v>
      </c>
      <c r="F87" s="32" t="n">
        <f aca="false">E87-B87</f>
        <v>484</v>
      </c>
      <c r="G87" s="46" t="n">
        <f aca="false">IF(B87=0,"n/a",E87/B87-1)</f>
        <v>2.79768786127168</v>
      </c>
      <c r="H87" s="34"/>
      <c r="I87" s="34"/>
      <c r="J87" s="34"/>
      <c r="K87" s="34"/>
    </row>
    <row r="88" customFormat="false" ht="15.75" hidden="false" customHeight="true" outlineLevel="0" collapsed="false">
      <c r="A88" s="31" t="s">
        <v>123</v>
      </c>
      <c r="B88" s="32" t="n">
        <v>126</v>
      </c>
      <c r="C88" s="32" t="n">
        <v>0</v>
      </c>
      <c r="D88" s="32" t="n">
        <v>0</v>
      </c>
      <c r="E88" s="32" t="n">
        <v>1500</v>
      </c>
      <c r="F88" s="32" t="n">
        <f aca="false">E88-B88</f>
        <v>1374</v>
      </c>
      <c r="G88" s="46" t="n">
        <f aca="false">IF(B88=0,"n/a",E88/B88-1)</f>
        <v>10.9047619047619</v>
      </c>
      <c r="H88" s="34"/>
      <c r="I88" s="34"/>
      <c r="J88" s="34"/>
      <c r="K88" s="34"/>
    </row>
    <row r="89" customFormat="false" ht="15.75" hidden="false" customHeight="true" outlineLevel="0" collapsed="false">
      <c r="A89" s="31" t="s">
        <v>124</v>
      </c>
      <c r="B89" s="32" t="n">
        <v>25</v>
      </c>
      <c r="C89" s="32" t="n">
        <v>0</v>
      </c>
      <c r="D89" s="32" t="n">
        <v>323</v>
      </c>
      <c r="E89" s="32" t="n">
        <v>849</v>
      </c>
      <c r="F89" s="32" t="n">
        <f aca="false">E89-B89</f>
        <v>824</v>
      </c>
      <c r="G89" s="46" t="n">
        <f aca="false">IF(B89=0,"n/a",E89/B89-1)</f>
        <v>32.96</v>
      </c>
      <c r="H89" s="34"/>
      <c r="I89" s="34"/>
      <c r="J89" s="34"/>
      <c r="K89" s="34"/>
    </row>
    <row r="90" customFormat="false" ht="15.75" hidden="false" customHeight="true" outlineLevel="0" collapsed="false">
      <c r="A90" s="31" t="s">
        <v>125</v>
      </c>
      <c r="B90" s="32" t="n">
        <v>43</v>
      </c>
      <c r="C90" s="32" t="n">
        <v>99</v>
      </c>
      <c r="D90" s="32" t="n">
        <v>31</v>
      </c>
      <c r="E90" s="32" t="n">
        <v>1286</v>
      </c>
      <c r="F90" s="32" t="n">
        <f aca="false">E90-B90</f>
        <v>1243</v>
      </c>
      <c r="G90" s="46" t="n">
        <f aca="false">IF(B90=0,"n/a",E90/B90-1)</f>
        <v>28.906976744186</v>
      </c>
      <c r="H90" s="34"/>
      <c r="I90" s="34"/>
      <c r="J90" s="34"/>
      <c r="K90" s="34"/>
    </row>
    <row r="91" customFormat="false" ht="15.75" hidden="false" customHeight="true" outlineLevel="0" collapsed="false">
      <c r="A91" s="31" t="s">
        <v>126</v>
      </c>
      <c r="B91" s="32" t="n">
        <v>20</v>
      </c>
      <c r="C91" s="32" t="n">
        <v>20</v>
      </c>
      <c r="D91" s="32" t="n">
        <v>0</v>
      </c>
      <c r="E91" s="32" t="n">
        <v>0</v>
      </c>
      <c r="F91" s="32" t="n">
        <f aca="false">E91-B91</f>
        <v>-20</v>
      </c>
      <c r="G91" s="46" t="n">
        <f aca="false">IF(B91=0,"n/a",E91/B91-1)</f>
        <v>-1</v>
      </c>
      <c r="H91" s="34"/>
      <c r="I91" s="34"/>
      <c r="J91" s="34"/>
      <c r="K91" s="34"/>
    </row>
    <row r="92" customFormat="false" ht="15.75" hidden="false" customHeight="true" outlineLevel="0" collapsed="false">
      <c r="A92" s="35" t="s">
        <v>127</v>
      </c>
      <c r="B92" s="36" t="n">
        <v>1427</v>
      </c>
      <c r="C92" s="36" t="n">
        <v>1654</v>
      </c>
      <c r="D92" s="36" t="n">
        <v>1917</v>
      </c>
      <c r="E92" s="36" t="n">
        <v>5581</v>
      </c>
      <c r="F92" s="47" t="n">
        <f aca="false">E92-B92</f>
        <v>4154</v>
      </c>
      <c r="G92" s="46" t="n">
        <f aca="false">IF(B92=0,"n/a",E92/B92-1)</f>
        <v>2.91100210231254</v>
      </c>
      <c r="H92" s="34"/>
      <c r="I92" s="34"/>
      <c r="J92" s="34"/>
      <c r="K92" s="34"/>
    </row>
    <row r="93" customFormat="false" ht="15.75" hidden="false" customHeight="true" outlineLevel="0" collapsed="false">
      <c r="A93" s="31" t="s">
        <v>128</v>
      </c>
      <c r="B93" s="32" t="n">
        <v>17</v>
      </c>
      <c r="C93" s="32" t="n">
        <v>22</v>
      </c>
      <c r="D93" s="32" t="n">
        <v>17</v>
      </c>
      <c r="E93" s="32" t="n">
        <v>161</v>
      </c>
      <c r="F93" s="32" t="n">
        <f aca="false">E93-B93</f>
        <v>144</v>
      </c>
      <c r="G93" s="46" t="n">
        <f aca="false">IF(B93=0,"n/a",E93/B93-1)</f>
        <v>8.47058823529412</v>
      </c>
      <c r="H93" s="34"/>
      <c r="I93" s="34"/>
      <c r="J93" s="34"/>
      <c r="K93" s="34"/>
    </row>
    <row r="94" customFormat="false" ht="15.75" hidden="false" customHeight="true" outlineLevel="0" collapsed="false">
      <c r="A94" s="31" t="s">
        <v>129</v>
      </c>
      <c r="B94" s="32" t="n">
        <v>131</v>
      </c>
      <c r="C94" s="32" t="n">
        <v>0</v>
      </c>
      <c r="D94" s="32" t="n">
        <v>783</v>
      </c>
      <c r="E94" s="32" t="n">
        <v>258</v>
      </c>
      <c r="F94" s="32" t="n">
        <f aca="false">E94-B94</f>
        <v>127</v>
      </c>
      <c r="G94" s="46" t="n">
        <f aca="false">IF(B94=0,"n/a",E94/B94-1)</f>
        <v>0.969465648854962</v>
      </c>
      <c r="H94" s="34"/>
      <c r="I94" s="34"/>
      <c r="J94" s="34"/>
      <c r="K94" s="34"/>
    </row>
    <row r="95" customFormat="false" ht="15.75" hidden="false" customHeight="true" outlineLevel="0" collapsed="false">
      <c r="A95" s="31" t="s">
        <v>130</v>
      </c>
      <c r="B95" s="32" t="n">
        <v>1829</v>
      </c>
      <c r="C95" s="32" t="n">
        <v>583</v>
      </c>
      <c r="D95" s="32" t="n">
        <v>0</v>
      </c>
      <c r="E95" s="32" t="n">
        <v>0</v>
      </c>
      <c r="F95" s="32" t="n">
        <f aca="false">E95-B95</f>
        <v>-1829</v>
      </c>
      <c r="G95" s="46" t="n">
        <f aca="false">IF(B95=0,"n/a",E95/B95-1)</f>
        <v>-1</v>
      </c>
      <c r="H95" s="34"/>
      <c r="I95" s="34"/>
      <c r="J95" s="34"/>
      <c r="K95" s="34"/>
    </row>
    <row r="96" customFormat="false" ht="15.75" hidden="false" customHeight="true" outlineLevel="0" collapsed="false">
      <c r="A96" s="31" t="s">
        <v>131</v>
      </c>
      <c r="B96" s="32" t="n">
        <v>0</v>
      </c>
      <c r="C96" s="32" t="n">
        <v>0</v>
      </c>
      <c r="D96" s="32" t="n">
        <v>188</v>
      </c>
      <c r="E96" s="32" t="n">
        <v>393</v>
      </c>
      <c r="F96" s="32" t="n">
        <f aca="false">E96-B96</f>
        <v>393</v>
      </c>
      <c r="G96" s="46" t="str">
        <f aca="false">IF(B96=0,"n/a",E96/B96-1)</f>
        <v>n/a</v>
      </c>
      <c r="H96" s="34"/>
      <c r="I96" s="34"/>
      <c r="J96" s="34"/>
      <c r="K96" s="34"/>
    </row>
    <row r="97" customFormat="false" ht="15.75" hidden="false" customHeight="true" outlineLevel="0" collapsed="false">
      <c r="A97" s="31" t="s">
        <v>132</v>
      </c>
      <c r="B97" s="32" t="n">
        <v>365</v>
      </c>
      <c r="C97" s="32" t="n">
        <v>526</v>
      </c>
      <c r="D97" s="32" t="n">
        <v>393</v>
      </c>
      <c r="E97" s="32" t="n">
        <v>378</v>
      </c>
      <c r="F97" s="32" t="n">
        <f aca="false">E97-B97</f>
        <v>13</v>
      </c>
      <c r="G97" s="46" t="n">
        <f aca="false">IF(B97=0,"n/a",E97/B97-1)</f>
        <v>0.0356164383561644</v>
      </c>
      <c r="H97" s="34"/>
      <c r="I97" s="34"/>
      <c r="J97" s="34"/>
      <c r="K97" s="34"/>
    </row>
    <row r="98" customFormat="false" ht="15.75" hidden="false" customHeight="true" outlineLevel="0" collapsed="false">
      <c r="A98" s="49" t="s">
        <v>133</v>
      </c>
      <c r="B98" s="50" t="n">
        <v>3769</v>
      </c>
      <c r="C98" s="50" t="n">
        <v>2785</v>
      </c>
      <c r="D98" s="50" t="n">
        <v>3298</v>
      </c>
      <c r="E98" s="50" t="n">
        <v>6771</v>
      </c>
      <c r="F98" s="47" t="n">
        <f aca="false">E98-B98</f>
        <v>3002</v>
      </c>
      <c r="G98" s="46" t="n">
        <f aca="false">IF(B98=0,"n/a",E98/B98-1)</f>
        <v>0.796497744759883</v>
      </c>
      <c r="H98" s="34"/>
      <c r="I98" s="34"/>
      <c r="J98" s="34"/>
      <c r="K98" s="34"/>
    </row>
    <row r="99" customFormat="false" ht="18" hidden="false" customHeight="true" outlineLevel="0" collapsed="false">
      <c r="A99" s="45" t="s">
        <v>134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</row>
    <row r="100" customFormat="false" ht="15.75" hidden="false" customHeight="true" outlineLevel="0" collapsed="false">
      <c r="A100" s="31" t="s">
        <v>135</v>
      </c>
      <c r="B100" s="32" t="n">
        <v>1</v>
      </c>
      <c r="C100" s="32" t="n">
        <v>1</v>
      </c>
      <c r="D100" s="32" t="n">
        <v>1</v>
      </c>
      <c r="E100" s="32" t="n">
        <v>1</v>
      </c>
      <c r="F100" s="32" t="n">
        <f aca="false">E100-B100</f>
        <v>0</v>
      </c>
      <c r="G100" s="46" t="n">
        <f aca="false">IF(B100=0,"n/a",E100/B100-1)</f>
        <v>0</v>
      </c>
      <c r="H100" s="34"/>
      <c r="I100" s="34"/>
      <c r="J100" s="34"/>
      <c r="K100" s="34"/>
    </row>
    <row r="101" customFormat="false" ht="15.75" hidden="false" customHeight="true" outlineLevel="0" collapsed="false">
      <c r="A101" s="31" t="s">
        <v>136</v>
      </c>
      <c r="B101" s="32" t="n">
        <v>0</v>
      </c>
      <c r="C101" s="32" t="n">
        <v>0</v>
      </c>
      <c r="D101" s="32" t="n">
        <v>0</v>
      </c>
      <c r="E101" s="32" t="n">
        <v>-4537</v>
      </c>
      <c r="F101" s="32" t="n">
        <f aca="false">E101-B101</f>
        <v>-4537</v>
      </c>
      <c r="G101" s="46" t="str">
        <f aca="false">IF(B101=0,"n/a",E101/B101-1)</f>
        <v>n/a</v>
      </c>
      <c r="H101" s="34"/>
      <c r="I101" s="34"/>
      <c r="J101" s="34"/>
      <c r="K101" s="34"/>
    </row>
    <row r="102" customFormat="false" ht="15.75" hidden="false" customHeight="true" outlineLevel="0" collapsed="false">
      <c r="A102" s="31" t="s">
        <v>137</v>
      </c>
      <c r="B102" s="32" t="n">
        <v>11248</v>
      </c>
      <c r="C102" s="32" t="n">
        <v>11336</v>
      </c>
      <c r="D102" s="32" t="n">
        <v>11289</v>
      </c>
      <c r="E102" s="32" t="n">
        <v>10879</v>
      </c>
      <c r="F102" s="32" t="n">
        <f aca="false">E102-B102</f>
        <v>-369</v>
      </c>
      <c r="G102" s="46" t="n">
        <f aca="false">IF(B102=0,"n/a",E102/B102-1)</f>
        <v>-0.0328058321479374</v>
      </c>
      <c r="H102" s="34"/>
      <c r="I102" s="34"/>
      <c r="J102" s="34"/>
      <c r="K102" s="34"/>
    </row>
    <row r="103" customFormat="false" ht="15.75" hidden="false" customHeight="true" outlineLevel="0" collapsed="false">
      <c r="A103" s="31" t="s">
        <v>138</v>
      </c>
      <c r="B103" s="32" t="n">
        <v>-249</v>
      </c>
      <c r="C103" s="32" t="n">
        <v>-255</v>
      </c>
      <c r="D103" s="32" t="n">
        <v>-259</v>
      </c>
      <c r="E103" s="32" t="n">
        <v>-256</v>
      </c>
      <c r="F103" s="32" t="n">
        <f aca="false">E103-B103</f>
        <v>-7</v>
      </c>
      <c r="G103" s="46" t="n">
        <f aca="false">IF(B103=0,"n/a",E103/B103-1)</f>
        <v>0.0281124497991967</v>
      </c>
      <c r="H103" s="34"/>
      <c r="I103" s="34"/>
      <c r="J103" s="34"/>
      <c r="K103" s="34"/>
    </row>
    <row r="104" customFormat="false" ht="15.75" hidden="false" customHeight="true" outlineLevel="0" collapsed="false">
      <c r="A104" s="31" t="s">
        <v>139</v>
      </c>
      <c r="B104" s="32" t="n">
        <v>-1784</v>
      </c>
      <c r="C104" s="32" t="n">
        <v>-869</v>
      </c>
      <c r="D104" s="32" t="n">
        <v>2746</v>
      </c>
      <c r="E104" s="32" t="n">
        <v>9649</v>
      </c>
      <c r="F104" s="32" t="n">
        <f aca="false">E104-B104</f>
        <v>11433</v>
      </c>
      <c r="G104" s="46" t="n">
        <f aca="false">IF(B104=0,"n/a",E104/B104-1)</f>
        <v>-6.40863228699552</v>
      </c>
      <c r="H104" s="34"/>
      <c r="I104" s="34"/>
      <c r="J104" s="34"/>
      <c r="K104" s="34"/>
    </row>
    <row r="105" customFormat="false" ht="15.75" hidden="false" customHeight="true" outlineLevel="0" collapsed="false">
      <c r="A105" s="49" t="s">
        <v>140</v>
      </c>
      <c r="B105" s="50" t="n">
        <v>9216</v>
      </c>
      <c r="C105" s="50" t="n">
        <v>10213</v>
      </c>
      <c r="D105" s="50" t="n">
        <v>13777</v>
      </c>
      <c r="E105" s="50" t="n">
        <v>15736</v>
      </c>
      <c r="F105" s="47" t="n">
        <f aca="false">E105-B105</f>
        <v>6520</v>
      </c>
      <c r="G105" s="46" t="n">
        <f aca="false">IF(B105=0,"n/a",E105/B105-1)</f>
        <v>0.707465277777778</v>
      </c>
      <c r="H105" s="34"/>
      <c r="I105" s="34"/>
      <c r="J105" s="34"/>
      <c r="K105" s="34"/>
    </row>
    <row r="106" customFormat="false" ht="33" hidden="false" customHeight="true" outlineLevel="0" collapsed="false">
      <c r="A106" s="44" t="s">
        <v>141</v>
      </c>
      <c r="B106" s="44"/>
      <c r="C106" s="44"/>
      <c r="D106" s="44"/>
      <c r="E106" s="44"/>
      <c r="F106" s="44"/>
      <c r="G106" s="44"/>
      <c r="H106" s="44"/>
      <c r="I106" s="44"/>
      <c r="J106" s="44"/>
      <c r="K106" s="44"/>
    </row>
    <row r="108" customFormat="false" ht="24" hidden="false" customHeight="true" outlineLevel="0" collapsed="false">
      <c r="A108" s="3" t="s">
        <v>142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27" hidden="false" customHeight="true" outlineLevel="0" collapsed="false">
      <c r="A109" s="4" t="s">
        <v>48</v>
      </c>
      <c r="B109" s="13" t="s">
        <v>49</v>
      </c>
      <c r="C109" s="13" t="s">
        <v>50</v>
      </c>
      <c r="D109" s="13" t="s">
        <v>51</v>
      </c>
      <c r="E109" s="13" t="s">
        <v>52</v>
      </c>
      <c r="F109" s="13" t="s">
        <v>53</v>
      </c>
      <c r="G109" s="4" t="s">
        <v>143</v>
      </c>
      <c r="H109" s="4" t="s">
        <v>58</v>
      </c>
      <c r="I109" s="4"/>
      <c r="J109" s="4"/>
      <c r="K109" s="4"/>
    </row>
    <row r="110" customFormat="false" ht="18" hidden="false" customHeight="true" outlineLevel="0" collapsed="false">
      <c r="A110" s="45" t="s">
        <v>144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</row>
    <row r="111" customFormat="false" ht="15.75" hidden="false" customHeight="true" outlineLevel="0" collapsed="false">
      <c r="A111" s="51" t="s">
        <v>145</v>
      </c>
      <c r="B111" s="52" t="n">
        <f aca="false">B47</f>
        <v>112</v>
      </c>
      <c r="C111" s="52" t="n">
        <f aca="false">C47</f>
        <v>803</v>
      </c>
      <c r="D111" s="52" t="n">
        <f aca="false">D47</f>
        <v>3615</v>
      </c>
      <c r="E111" s="52" t="n">
        <f aca="false">E47</f>
        <v>6903</v>
      </c>
      <c r="F111" s="52" t="n">
        <f aca="false">F47</f>
        <v>11433</v>
      </c>
      <c r="G111" s="33" t="n">
        <f aca="false">F111/F28</f>
        <v>0.564648360331885</v>
      </c>
      <c r="H111" s="34"/>
      <c r="I111" s="34"/>
      <c r="J111" s="34"/>
      <c r="K111" s="34"/>
    </row>
    <row r="112" customFormat="false" ht="15.75" hidden="false" customHeight="true" outlineLevel="0" collapsed="false">
      <c r="A112" s="31" t="s">
        <v>146</v>
      </c>
      <c r="B112" s="32" t="n">
        <v>36</v>
      </c>
      <c r="C112" s="32" t="n">
        <v>38</v>
      </c>
      <c r="D112" s="32" t="n">
        <v>38</v>
      </c>
      <c r="E112" s="32" t="n">
        <v>37</v>
      </c>
      <c r="F112" s="32" t="n">
        <v>149</v>
      </c>
      <c r="G112" s="33" t="n">
        <f aca="false">F112/F28</f>
        <v>0.00735875148162782</v>
      </c>
      <c r="H112" s="34"/>
      <c r="I112" s="34"/>
      <c r="J112" s="34"/>
      <c r="K112" s="34"/>
    </row>
    <row r="113" customFormat="false" ht="15.75" hidden="false" customHeight="true" outlineLevel="0" collapsed="false">
      <c r="A113" s="31" t="s">
        <v>147</v>
      </c>
      <c r="B113" s="32" t="n">
        <v>53</v>
      </c>
      <c r="C113" s="32" t="n">
        <v>58</v>
      </c>
      <c r="D113" s="32" t="n">
        <v>54</v>
      </c>
      <c r="E113" s="32" t="n">
        <v>67</v>
      </c>
      <c r="F113" s="32" t="n">
        <v>232</v>
      </c>
      <c r="G113" s="33" t="n">
        <f aca="false">F113/F28</f>
        <v>0.0114579217700514</v>
      </c>
      <c r="H113" s="34"/>
      <c r="I113" s="34"/>
      <c r="J113" s="34"/>
      <c r="K113" s="34"/>
    </row>
    <row r="114" customFormat="false" ht="15.75" hidden="false" customHeight="true" outlineLevel="0" collapsed="false">
      <c r="A114" s="31" t="s">
        <v>148</v>
      </c>
      <c r="B114" s="32" t="n">
        <v>3</v>
      </c>
      <c r="C114" s="32" t="n">
        <v>-13</v>
      </c>
      <c r="D114" s="32" t="n">
        <v>-32</v>
      </c>
      <c r="E114" s="32" t="n">
        <v>162</v>
      </c>
      <c r="F114" s="32" t="n">
        <v>120</v>
      </c>
      <c r="G114" s="33" t="n">
        <f aca="false">F114/F28</f>
        <v>0.00592651126037139</v>
      </c>
      <c r="H114" s="34"/>
      <c r="I114" s="34"/>
      <c r="J114" s="34"/>
      <c r="K114" s="34"/>
    </row>
    <row r="115" customFormat="false" ht="15.75" hidden="false" customHeight="true" outlineLevel="0" collapsed="false">
      <c r="A115" s="31" t="s">
        <v>149</v>
      </c>
      <c r="B115" s="32" t="n">
        <v>0</v>
      </c>
      <c r="C115" s="32" t="n">
        <v>0</v>
      </c>
      <c r="D115" s="32" t="n">
        <v>-4</v>
      </c>
      <c r="E115" s="32" t="n">
        <v>-804</v>
      </c>
      <c r="F115" s="32" t="n">
        <v>-808</v>
      </c>
      <c r="G115" s="33" t="n">
        <f aca="false">F115/F28</f>
        <v>-0.0399051758198341</v>
      </c>
      <c r="H115" s="34"/>
      <c r="I115" s="34"/>
      <c r="J115" s="34"/>
      <c r="K115" s="34"/>
    </row>
    <row r="116" customFormat="false" ht="15.75" hidden="false" customHeight="true" outlineLevel="0" collapsed="false">
      <c r="A116" s="31" t="s">
        <v>150</v>
      </c>
      <c r="B116" s="32" t="n">
        <v>1</v>
      </c>
      <c r="C116" s="32" t="n">
        <v>19</v>
      </c>
      <c r="D116" s="32" t="n">
        <v>19</v>
      </c>
      <c r="E116" s="32" t="n">
        <v>47</v>
      </c>
      <c r="F116" s="32" t="n">
        <v>86</v>
      </c>
      <c r="G116" s="33" t="n">
        <f aca="false">F116/F28</f>
        <v>0.00424733306993283</v>
      </c>
      <c r="H116" s="34"/>
      <c r="I116" s="34"/>
      <c r="J116" s="34"/>
      <c r="K116" s="34"/>
    </row>
    <row r="117" customFormat="false" ht="15.75" hidden="false" customHeight="true" outlineLevel="0" collapsed="false">
      <c r="A117" s="31" t="s">
        <v>151</v>
      </c>
      <c r="B117" s="32" t="n">
        <v>0</v>
      </c>
      <c r="C117" s="32" t="n">
        <v>0</v>
      </c>
      <c r="D117" s="32" t="n">
        <v>46</v>
      </c>
      <c r="E117" s="32" t="n">
        <v>0</v>
      </c>
      <c r="F117" s="32" t="n">
        <v>46</v>
      </c>
      <c r="G117" s="33" t="n">
        <f aca="false">F117/F28</f>
        <v>0.0022718293164757</v>
      </c>
      <c r="H117" s="34"/>
      <c r="I117" s="34"/>
      <c r="J117" s="34"/>
      <c r="K117" s="34"/>
    </row>
    <row r="118" customFormat="false" ht="15.75" hidden="false" customHeight="true" outlineLevel="0" collapsed="false">
      <c r="A118" s="31" t="s">
        <v>152</v>
      </c>
      <c r="B118" s="32" t="n">
        <v>30</v>
      </c>
      <c r="C118" s="32" t="n">
        <v>58</v>
      </c>
      <c r="D118" s="32" t="n">
        <v>17</v>
      </c>
      <c r="E118" s="32" t="n">
        <v>108</v>
      </c>
      <c r="F118" s="32" t="n">
        <v>213</v>
      </c>
      <c r="G118" s="33" t="n">
        <f aca="false">F118/F28</f>
        <v>0.0105195574871592</v>
      </c>
      <c r="H118" s="34"/>
      <c r="I118" s="34"/>
      <c r="J118" s="34"/>
      <c r="K118" s="34"/>
    </row>
    <row r="119" customFormat="false" ht="15.75" hidden="false" customHeight="true" outlineLevel="0" collapsed="false">
      <c r="A119" s="31" t="s">
        <v>153</v>
      </c>
      <c r="B119" s="32" t="n">
        <v>-125</v>
      </c>
      <c r="C119" s="32" t="n">
        <v>-46</v>
      </c>
      <c r="D119" s="32" t="n">
        <v>-1487</v>
      </c>
      <c r="E119" s="32" t="n">
        <v>-1982</v>
      </c>
      <c r="F119" s="32" t="n">
        <v>-3640</v>
      </c>
      <c r="G119" s="33" t="n">
        <f aca="false">F119/F28</f>
        <v>-0.179770841564599</v>
      </c>
      <c r="H119" s="34"/>
      <c r="I119" s="34"/>
      <c r="J119" s="34"/>
      <c r="K119" s="34"/>
    </row>
    <row r="120" customFormat="false" ht="15.75" hidden="false" customHeight="true" outlineLevel="0" collapsed="false">
      <c r="A120" s="31" t="s">
        <v>154</v>
      </c>
      <c r="B120" s="32" t="n">
        <v>172</v>
      </c>
      <c r="C120" s="32" t="n">
        <v>-63</v>
      </c>
      <c r="D120" s="32" t="n">
        <v>-268</v>
      </c>
      <c r="E120" s="32" t="n">
        <v>-460</v>
      </c>
      <c r="F120" s="32" t="n">
        <v>-619</v>
      </c>
      <c r="G120" s="33" t="n">
        <f aca="false">F120/F28</f>
        <v>-0.0305709205847491</v>
      </c>
      <c r="H120" s="34"/>
      <c r="I120" s="34"/>
      <c r="J120" s="34"/>
      <c r="K120" s="34"/>
    </row>
    <row r="121" customFormat="false" ht="15.75" hidden="false" customHeight="true" outlineLevel="0" collapsed="false">
      <c r="A121" s="31" t="s">
        <v>155</v>
      </c>
      <c r="B121" s="32" t="n">
        <v>-3</v>
      </c>
      <c r="C121" s="32" t="n">
        <v>-8</v>
      </c>
      <c r="D121" s="32" t="n">
        <v>-37</v>
      </c>
      <c r="E121" s="32" t="n">
        <v>98</v>
      </c>
      <c r="F121" s="32" t="n">
        <v>169</v>
      </c>
      <c r="G121" s="33" t="n">
        <f aca="false">F121/F28</f>
        <v>0.00834650335835638</v>
      </c>
      <c r="H121" s="34"/>
      <c r="I121" s="34"/>
      <c r="J121" s="34"/>
      <c r="K121" s="34"/>
    </row>
    <row r="122" customFormat="false" ht="15.75" hidden="false" customHeight="true" outlineLevel="0" collapsed="false">
      <c r="A122" s="31" t="s">
        <v>156</v>
      </c>
      <c r="B122" s="32" t="n">
        <v>-43</v>
      </c>
      <c r="C122" s="32" t="n">
        <v>5</v>
      </c>
      <c r="D122" s="32" t="n">
        <v>17</v>
      </c>
      <c r="E122" s="32" t="n">
        <v>45</v>
      </c>
      <c r="F122" s="32" t="n">
        <v>10</v>
      </c>
      <c r="G122" s="33" t="n">
        <f aca="false">F122/F28</f>
        <v>0.000493875938364283</v>
      </c>
      <c r="H122" s="34"/>
      <c r="I122" s="34"/>
      <c r="J122" s="34"/>
      <c r="K122" s="34"/>
    </row>
    <row r="123" customFormat="false" ht="15.75" hidden="false" customHeight="true" outlineLevel="0" collapsed="false">
      <c r="A123" s="31" t="s">
        <v>157</v>
      </c>
      <c r="B123" s="32" t="n">
        <v>35</v>
      </c>
      <c r="C123" s="32" t="n">
        <v>65</v>
      </c>
      <c r="D123" s="32" t="n">
        <v>56</v>
      </c>
      <c r="E123" s="32" t="n">
        <v>304</v>
      </c>
      <c r="F123" s="32" t="n">
        <v>460</v>
      </c>
      <c r="G123" s="33" t="n">
        <f aca="false">F123/F28</f>
        <v>0.022718293164757</v>
      </c>
      <c r="H123" s="34"/>
      <c r="I123" s="34"/>
      <c r="J123" s="34"/>
      <c r="K123" s="34"/>
    </row>
    <row r="124" customFormat="false" ht="15.75" hidden="false" customHeight="true" outlineLevel="0" collapsed="false">
      <c r="A124" s="31" t="s">
        <v>158</v>
      </c>
      <c r="B124" s="32" t="n">
        <v>7</v>
      </c>
      <c r="C124" s="32" t="n">
        <v>7</v>
      </c>
      <c r="D124" s="32" t="n">
        <v>0</v>
      </c>
      <c r="E124" s="32" t="n">
        <v>1360</v>
      </c>
      <c r="F124" s="32" t="n">
        <v>1374</v>
      </c>
      <c r="G124" s="33" t="n">
        <f aca="false">F124/F28</f>
        <v>0.0678585539312525</v>
      </c>
      <c r="H124" s="34"/>
      <c r="I124" s="34"/>
      <c r="J124" s="34"/>
      <c r="K124" s="34"/>
    </row>
    <row r="125" customFormat="false" ht="15.75" hidden="false" customHeight="true" outlineLevel="0" collapsed="false">
      <c r="A125" s="31" t="s">
        <v>159</v>
      </c>
      <c r="B125" s="32" t="n">
        <v>0</v>
      </c>
      <c r="C125" s="32" t="n">
        <v>0</v>
      </c>
      <c r="D125" s="32" t="n">
        <v>486</v>
      </c>
      <c r="E125" s="32" t="n">
        <v>731</v>
      </c>
      <c r="F125" s="32" t="n">
        <v>1217</v>
      </c>
      <c r="G125" s="33" t="n">
        <f aca="false">F125/F28</f>
        <v>0.0601047016989332</v>
      </c>
      <c r="H125" s="34"/>
      <c r="I125" s="34"/>
      <c r="J125" s="34"/>
      <c r="K125" s="34"/>
    </row>
    <row r="126" customFormat="false" ht="15.75" hidden="false" customHeight="true" outlineLevel="0" collapsed="false">
      <c r="A126" s="31" t="s">
        <v>160</v>
      </c>
      <c r="B126" s="32" t="n">
        <v>5</v>
      </c>
      <c r="C126" s="32" t="n">
        <v>4</v>
      </c>
      <c r="D126" s="32" t="n">
        <v>631</v>
      </c>
      <c r="E126" s="32" t="n">
        <v>730</v>
      </c>
      <c r="F126" s="32" t="n">
        <v>1370</v>
      </c>
      <c r="G126" s="33" t="n">
        <f aca="false">F126/F28</f>
        <v>0.0676610035559068</v>
      </c>
      <c r="H126" s="34"/>
      <c r="I126" s="34"/>
      <c r="J126" s="34"/>
      <c r="K126" s="34"/>
    </row>
    <row r="127" customFormat="false" ht="15.75" hidden="false" customHeight="true" outlineLevel="0" collapsed="false">
      <c r="A127" s="31" t="s">
        <v>161</v>
      </c>
      <c r="B127" s="32" t="n">
        <v>95</v>
      </c>
      <c r="C127" s="32" t="n">
        <v>110</v>
      </c>
      <c r="D127" s="32" t="n">
        <v>-116</v>
      </c>
      <c r="E127" s="32" t="n">
        <v>-218</v>
      </c>
      <c r="F127" s="32" t="n">
        <v>-129</v>
      </c>
      <c r="G127" s="33" t="n">
        <f aca="false">F127/F28</f>
        <v>-0.00637099960489925</v>
      </c>
      <c r="H127" s="34"/>
      <c r="I127" s="34"/>
      <c r="J127" s="34"/>
      <c r="K127" s="34"/>
    </row>
    <row r="128" customFormat="false" ht="15.75" hidden="false" customHeight="true" outlineLevel="0" collapsed="false">
      <c r="A128" s="35" t="s">
        <v>162</v>
      </c>
      <c r="B128" s="36" t="n">
        <v>488</v>
      </c>
      <c r="C128" s="36" t="n">
        <v>1019</v>
      </c>
      <c r="D128" s="36" t="n">
        <v>3038</v>
      </c>
      <c r="E128" s="36" t="n">
        <v>7126</v>
      </c>
      <c r="F128" s="36" t="n">
        <v>11671</v>
      </c>
      <c r="G128" s="33" t="n">
        <f aca="false">F128/F28</f>
        <v>0.576402607664955</v>
      </c>
      <c r="H128" s="34"/>
      <c r="I128" s="34"/>
      <c r="J128" s="34"/>
      <c r="K128" s="34"/>
    </row>
    <row r="129" customFormat="false" ht="18" hidden="false" customHeight="true" outlineLevel="0" collapsed="false">
      <c r="A129" s="45" t="s">
        <v>163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</row>
    <row r="130" customFormat="false" ht="15.75" hidden="false" customHeight="true" outlineLevel="0" collapsed="false">
      <c r="A130" s="31" t="s">
        <v>164</v>
      </c>
      <c r="B130" s="32" t="n">
        <v>-50</v>
      </c>
      <c r="C130" s="32" t="n">
        <v>-39</v>
      </c>
      <c r="D130" s="32" t="n">
        <v>-45</v>
      </c>
      <c r="E130" s="32" t="n">
        <v>-43</v>
      </c>
      <c r="F130" s="32" t="n">
        <v>-177</v>
      </c>
      <c r="G130" s="33" t="n">
        <f aca="false">F130/F28</f>
        <v>-0.00874160410904781</v>
      </c>
      <c r="H130" s="34"/>
      <c r="I130" s="34"/>
      <c r="J130" s="34"/>
      <c r="K130" s="34"/>
    </row>
    <row r="131" customFormat="false" ht="15.75" hidden="false" customHeight="true" outlineLevel="0" collapsed="false">
      <c r="A131" s="31" t="s">
        <v>165</v>
      </c>
      <c r="B131" s="32" t="n">
        <v>0</v>
      </c>
      <c r="C131" s="32" t="n">
        <v>0</v>
      </c>
      <c r="D131" s="32" t="n">
        <v>0</v>
      </c>
      <c r="E131" s="32" t="n">
        <v>-970</v>
      </c>
      <c r="F131" s="32" t="n">
        <v>-970</v>
      </c>
      <c r="G131" s="33" t="n">
        <f aca="false">F131/F28</f>
        <v>-0.0479059660213354</v>
      </c>
      <c r="H131" s="34"/>
      <c r="I131" s="34"/>
      <c r="J131" s="34"/>
      <c r="K131" s="34"/>
    </row>
    <row r="132" customFormat="false" ht="15.75" hidden="false" customHeight="true" outlineLevel="0" collapsed="false">
      <c r="A132" s="31" t="s">
        <v>166</v>
      </c>
      <c r="B132" s="32" t="n">
        <v>25</v>
      </c>
      <c r="C132" s="32" t="n">
        <v>0</v>
      </c>
      <c r="D132" s="32" t="n">
        <v>0</v>
      </c>
      <c r="E132" s="32" t="n">
        <v>0</v>
      </c>
      <c r="F132" s="32" t="n">
        <v>25</v>
      </c>
      <c r="G132" s="33" t="n">
        <f aca="false">F132/F28</f>
        <v>0.00123468984591071</v>
      </c>
      <c r="H132" s="34"/>
      <c r="I132" s="34"/>
      <c r="J132" s="34"/>
      <c r="K132" s="34"/>
    </row>
    <row r="133" customFormat="false" ht="15.75" hidden="false" customHeight="true" outlineLevel="0" collapsed="false">
      <c r="A133" s="31" t="s">
        <v>167</v>
      </c>
      <c r="B133" s="32" t="n">
        <v>-87</v>
      </c>
      <c r="C133" s="32" t="n">
        <v>-169</v>
      </c>
      <c r="D133" s="32" t="n">
        <v>-83</v>
      </c>
      <c r="E133" s="32" t="n">
        <v>-123</v>
      </c>
      <c r="F133" s="32" t="n">
        <v>-462</v>
      </c>
      <c r="G133" s="33" t="n">
        <f aca="false">F133/F28</f>
        <v>-0.0228170683524299</v>
      </c>
      <c r="H133" s="34"/>
      <c r="I133" s="34"/>
      <c r="J133" s="34"/>
      <c r="K133" s="34"/>
    </row>
    <row r="134" customFormat="false" ht="15.75" hidden="false" customHeight="true" outlineLevel="0" collapsed="false">
      <c r="A134" s="48" t="s">
        <v>168</v>
      </c>
      <c r="B134" s="32" t="n">
        <v>97</v>
      </c>
      <c r="C134" s="32" t="n">
        <v>32</v>
      </c>
      <c r="D134" s="32" t="n">
        <v>45</v>
      </c>
      <c r="E134" s="32" t="n">
        <v>13</v>
      </c>
      <c r="F134" s="32" t="n">
        <v>187</v>
      </c>
      <c r="G134" s="33" t="n">
        <f aca="false">F134/F28</f>
        <v>0.00923548004741209</v>
      </c>
      <c r="H134" s="34"/>
      <c r="I134" s="34"/>
      <c r="J134" s="34"/>
      <c r="K134" s="34"/>
    </row>
    <row r="135" customFormat="false" ht="15.75" hidden="false" customHeight="true" outlineLevel="0" collapsed="false">
      <c r="A135" s="31" t="s">
        <v>169</v>
      </c>
      <c r="B135" s="32" t="n">
        <v>0</v>
      </c>
      <c r="C135" s="32" t="n">
        <v>11</v>
      </c>
      <c r="D135" s="32" t="n">
        <v>0</v>
      </c>
      <c r="E135" s="32" t="n">
        <v>0</v>
      </c>
      <c r="F135" s="32" t="n">
        <v>11</v>
      </c>
      <c r="G135" s="33" t="n">
        <f aca="false">F135/F28</f>
        <v>0.000543263532200711</v>
      </c>
      <c r="H135" s="34"/>
      <c r="I135" s="34"/>
      <c r="J135" s="34"/>
      <c r="K135" s="34"/>
    </row>
    <row r="136" customFormat="false" ht="15.75" hidden="false" customHeight="true" outlineLevel="0" collapsed="false">
      <c r="A136" s="35" t="s">
        <v>170</v>
      </c>
      <c r="B136" s="36" t="n">
        <v>-15</v>
      </c>
      <c r="C136" s="36" t="n">
        <v>-165</v>
      </c>
      <c r="D136" s="36" t="n">
        <v>-83</v>
      </c>
      <c r="E136" s="36" t="n">
        <v>-1123</v>
      </c>
      <c r="F136" s="36" t="n">
        <v>-1386</v>
      </c>
      <c r="G136" s="33" t="n">
        <f aca="false">F136/F28</f>
        <v>-0.0684512050572896</v>
      </c>
      <c r="H136" s="34"/>
      <c r="I136" s="34"/>
      <c r="J136" s="34"/>
      <c r="K136" s="34"/>
    </row>
    <row r="137" customFormat="false" ht="18" hidden="false" customHeight="true" outlineLevel="0" collapsed="false">
      <c r="A137" s="45" t="s">
        <v>171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</row>
    <row r="138" customFormat="false" ht="15.75" hidden="false" customHeight="true" outlineLevel="0" collapsed="false">
      <c r="A138" s="31" t="s">
        <v>172</v>
      </c>
      <c r="B138" s="32" t="n">
        <v>0</v>
      </c>
      <c r="C138" s="32" t="n">
        <v>24</v>
      </c>
      <c r="D138" s="32" t="n">
        <v>0</v>
      </c>
      <c r="E138" s="32" t="n">
        <v>29</v>
      </c>
      <c r="F138" s="32" t="n">
        <v>53</v>
      </c>
      <c r="G138" s="33" t="n">
        <f aca="false">F138/F28</f>
        <v>0.0026175424733307</v>
      </c>
      <c r="H138" s="34"/>
      <c r="I138" s="34"/>
      <c r="J138" s="34"/>
      <c r="K138" s="34"/>
    </row>
    <row r="139" customFormat="false" ht="15.75" hidden="false" customHeight="true" outlineLevel="0" collapsed="false">
      <c r="A139" s="31" t="s">
        <v>173</v>
      </c>
      <c r="B139" s="32" t="n">
        <v>-15</v>
      </c>
      <c r="C139" s="32" t="n">
        <v>-32</v>
      </c>
      <c r="D139" s="32" t="n">
        <v>-102</v>
      </c>
      <c r="E139" s="32" t="n">
        <v>-481</v>
      </c>
      <c r="F139" s="32" t="n">
        <v>-630</v>
      </c>
      <c r="G139" s="33" t="n">
        <f aca="false">F139/F28</f>
        <v>-0.0311141841169498</v>
      </c>
      <c r="H139" s="34"/>
      <c r="I139" s="34"/>
      <c r="J139" s="34"/>
      <c r="K139" s="34"/>
    </row>
    <row r="140" customFormat="false" ht="15.75" hidden="false" customHeight="true" outlineLevel="0" collapsed="false">
      <c r="A140" s="31" t="s">
        <v>174</v>
      </c>
      <c r="B140" s="32" t="n">
        <v>0</v>
      </c>
      <c r="C140" s="32" t="n">
        <v>0</v>
      </c>
      <c r="D140" s="32" t="n">
        <v>0</v>
      </c>
      <c r="E140" s="32" t="n">
        <v>-4524</v>
      </c>
      <c r="F140" s="32" t="n">
        <v>-4524</v>
      </c>
      <c r="G140" s="33" t="n">
        <f aca="false">F140/F28</f>
        <v>-0.223429474516002</v>
      </c>
      <c r="H140" s="34"/>
      <c r="I140" s="34"/>
      <c r="J140" s="34"/>
      <c r="K140" s="34"/>
    </row>
    <row r="141" customFormat="false" ht="15.75" hidden="false" customHeight="true" outlineLevel="0" collapsed="false">
      <c r="A141" s="31" t="s">
        <v>175</v>
      </c>
      <c r="B141" s="32" t="n">
        <v>-500</v>
      </c>
      <c r="C141" s="32" t="n">
        <v>-750</v>
      </c>
      <c r="D141" s="32" t="n">
        <v>-650</v>
      </c>
      <c r="E141" s="32" t="n">
        <v>0</v>
      </c>
      <c r="F141" s="32" t="n">
        <v>-1900</v>
      </c>
      <c r="G141" s="33" t="n">
        <f aca="false">F141/F28</f>
        <v>-0.0938364282892138</v>
      </c>
      <c r="H141" s="34"/>
      <c r="I141" s="34"/>
      <c r="J141" s="34"/>
      <c r="K141" s="34"/>
    </row>
    <row r="142" customFormat="false" ht="15.75" hidden="false" customHeight="true" outlineLevel="0" collapsed="false">
      <c r="A142" s="35" t="s">
        <v>176</v>
      </c>
      <c r="B142" s="36" t="n">
        <v>-515</v>
      </c>
      <c r="C142" s="36" t="n">
        <v>-758</v>
      </c>
      <c r="D142" s="36" t="n">
        <v>-752</v>
      </c>
      <c r="E142" s="36" t="n">
        <v>-4976</v>
      </c>
      <c r="F142" s="36" t="n">
        <v>-7001</v>
      </c>
      <c r="G142" s="33" t="n">
        <f aca="false">F142/F28</f>
        <v>-0.345762544448835</v>
      </c>
      <c r="H142" s="34"/>
      <c r="I142" s="34"/>
      <c r="J142" s="34"/>
      <c r="K142" s="34"/>
    </row>
    <row r="143" customFormat="false" ht="15.75" hidden="false" customHeight="true" outlineLevel="0" collapsed="false">
      <c r="A143" s="31" t="s">
        <v>177</v>
      </c>
      <c r="B143" s="32" t="n">
        <v>3</v>
      </c>
      <c r="C143" s="32" t="n">
        <v>1</v>
      </c>
      <c r="D143" s="32" t="n">
        <v>-7</v>
      </c>
      <c r="E143" s="32" t="n">
        <v>0</v>
      </c>
      <c r="F143" s="32" t="n">
        <v>-3</v>
      </c>
      <c r="G143" s="33" t="n">
        <f aca="false">F143/F28</f>
        <v>-0.000148162781509285</v>
      </c>
      <c r="H143" s="34"/>
      <c r="I143" s="34"/>
      <c r="J143" s="34"/>
      <c r="K143" s="34"/>
    </row>
    <row r="144" customFormat="false" ht="15.75" hidden="false" customHeight="true" outlineLevel="0" collapsed="false">
      <c r="A144" s="35" t="s">
        <v>178</v>
      </c>
      <c r="B144" s="36" t="n">
        <v>-39</v>
      </c>
      <c r="C144" s="36" t="n">
        <v>97</v>
      </c>
      <c r="D144" s="36" t="n">
        <v>2196</v>
      </c>
      <c r="E144" s="36" t="n">
        <v>1027</v>
      </c>
      <c r="F144" s="36" t="n">
        <v>3281</v>
      </c>
      <c r="G144" s="33" t="n">
        <f aca="false">F144/F28</f>
        <v>0.162040695377321</v>
      </c>
      <c r="H144" s="34"/>
      <c r="I144" s="34"/>
      <c r="J144" s="34"/>
      <c r="K144" s="34"/>
    </row>
    <row r="145" customFormat="false" ht="15.75" hidden="false" customHeight="true" outlineLevel="0" collapsed="false">
      <c r="A145" s="31" t="s">
        <v>179</v>
      </c>
      <c r="B145" s="32" t="n">
        <v>1481</v>
      </c>
      <c r="C145" s="32" t="n">
        <v>1442</v>
      </c>
      <c r="D145" s="32" t="n">
        <v>1539</v>
      </c>
      <c r="E145" s="32" t="n">
        <v>3735</v>
      </c>
      <c r="F145" s="32" t="n">
        <v>1481</v>
      </c>
      <c r="G145" s="33" t="n">
        <f aca="false">F145/F28</f>
        <v>0.0731430264717503</v>
      </c>
      <c r="H145" s="34"/>
      <c r="I145" s="34"/>
      <c r="J145" s="34"/>
      <c r="K145" s="34"/>
    </row>
    <row r="146" customFormat="false" ht="15.75" hidden="false" customHeight="true" outlineLevel="0" collapsed="false">
      <c r="A146" s="51" t="s">
        <v>180</v>
      </c>
      <c r="B146" s="52" t="n">
        <f aca="false">B145+B144</f>
        <v>1442</v>
      </c>
      <c r="C146" s="52" t="n">
        <f aca="false">C145+C144</f>
        <v>1539</v>
      </c>
      <c r="D146" s="52" t="n">
        <f aca="false">D145+D144</f>
        <v>3735</v>
      </c>
      <c r="E146" s="52" t="n">
        <f aca="false">E145+E144</f>
        <v>4762</v>
      </c>
      <c r="F146" s="52" t="n">
        <f aca="false">F145+F144</f>
        <v>4762</v>
      </c>
      <c r="G146" s="33" t="n">
        <f aca="false">F146/F28</f>
        <v>0.235183721849072</v>
      </c>
      <c r="H146" s="34"/>
      <c r="I146" s="34"/>
      <c r="J146" s="34"/>
      <c r="K146" s="34"/>
    </row>
    <row r="147" customFormat="false" ht="24" hidden="false" customHeight="true" outlineLevel="0" collapsed="false">
      <c r="A147" s="53" t="s">
        <v>181</v>
      </c>
      <c r="B147" s="54" t="n">
        <f aca="false">B128+B130</f>
        <v>438</v>
      </c>
      <c r="C147" s="54" t="n">
        <f aca="false">C128+C130</f>
        <v>980</v>
      </c>
      <c r="D147" s="54" t="n">
        <f aca="false">D128+D130</f>
        <v>2993</v>
      </c>
      <c r="E147" s="54" t="n">
        <f aca="false">E128+E130</f>
        <v>7083</v>
      </c>
      <c r="F147" s="54" t="n">
        <f aca="false">F128+F130</f>
        <v>11494</v>
      </c>
      <c r="G147" s="55" t="n">
        <f aca="false">F147/F28</f>
        <v>0.567661003555907</v>
      </c>
      <c r="H147" s="56" t="s">
        <v>182</v>
      </c>
      <c r="I147" s="56"/>
      <c r="J147" s="56"/>
      <c r="K147" s="56"/>
    </row>
    <row r="148" customFormat="false" ht="24" hidden="false" customHeight="true" outlineLevel="0" collapsed="false">
      <c r="A148" s="57" t="s">
        <v>183</v>
      </c>
      <c r="B148" s="58" t="n">
        <f aca="false">-(B133+B134)</f>
        <v>-10</v>
      </c>
      <c r="C148" s="58" t="n">
        <f aca="false">-(C133+C134)</f>
        <v>137</v>
      </c>
      <c r="D148" s="58" t="n">
        <f aca="false">-(D133+D134)</f>
        <v>38</v>
      </c>
      <c r="E148" s="58" t="n">
        <f aca="false">-(E133+E134)</f>
        <v>110</v>
      </c>
      <c r="F148" s="58" t="n">
        <f aca="false">-(F133+F134)</f>
        <v>275</v>
      </c>
      <c r="G148" s="59" t="n">
        <f aca="false">F148/F28</f>
        <v>0.0135815883050178</v>
      </c>
      <c r="H148" s="56" t="s">
        <v>184</v>
      </c>
      <c r="I148" s="56"/>
      <c r="J148" s="56"/>
      <c r="K148" s="56"/>
    </row>
    <row r="149" customFormat="false" ht="24" hidden="false" customHeight="true" outlineLevel="0" collapsed="false">
      <c r="A149" s="60" t="s">
        <v>185</v>
      </c>
      <c r="B149" s="61" t="n">
        <f aca="false">B128+B130+B133+B134</f>
        <v>448</v>
      </c>
      <c r="C149" s="61" t="n">
        <f aca="false">C128+C130+C133+C134</f>
        <v>843</v>
      </c>
      <c r="D149" s="61" t="n">
        <f aca="false">D128+D130+D133+D134</f>
        <v>2955</v>
      </c>
      <c r="E149" s="61" t="n">
        <f aca="false">E128+E130+E133+E134</f>
        <v>6973</v>
      </c>
      <c r="F149" s="61" t="n">
        <f aca="false">F128+F130+F133+F134</f>
        <v>11219</v>
      </c>
      <c r="G149" s="62" t="n">
        <f aca="false">F149/F28</f>
        <v>0.554079415250889</v>
      </c>
      <c r="H149" s="56" t="s">
        <v>186</v>
      </c>
      <c r="I149" s="56"/>
      <c r="J149" s="56"/>
      <c r="K149" s="56"/>
    </row>
    <row r="151" customFormat="false" ht="24" hidden="false" customHeight="true" outlineLevel="0" collapsed="false">
      <c r="A151" s="12" t="s">
        <v>187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customFormat="false" ht="33" hidden="false" customHeight="true" outlineLevel="0" collapsed="false">
      <c r="A152" s="44" t="s">
        <v>188</v>
      </c>
      <c r="B152" s="44"/>
      <c r="C152" s="44"/>
      <c r="D152" s="44"/>
      <c r="E152" s="44"/>
      <c r="F152" s="44"/>
      <c r="G152" s="44"/>
      <c r="H152" s="44"/>
      <c r="I152" s="44"/>
      <c r="J152" s="44"/>
      <c r="K152" s="44"/>
    </row>
    <row r="153" customFormat="false" ht="27" hidden="false" customHeight="true" outlineLevel="0" collapsed="false">
      <c r="A153" s="4" t="s">
        <v>189</v>
      </c>
      <c r="B153" s="4" t="s">
        <v>190</v>
      </c>
      <c r="C153" s="4"/>
      <c r="D153" s="13" t="s">
        <v>191</v>
      </c>
      <c r="E153" s="13" t="s">
        <v>192</v>
      </c>
      <c r="F153" s="13" t="s">
        <v>193</v>
      </c>
      <c r="G153" s="13" t="s">
        <v>194</v>
      </c>
      <c r="H153" s="4" t="s">
        <v>195</v>
      </c>
      <c r="I153" s="4" t="s">
        <v>196</v>
      </c>
      <c r="J153" s="4"/>
      <c r="K153" s="4"/>
    </row>
    <row r="154" customFormat="false" ht="25.5" hidden="false" customHeight="true" outlineLevel="0" collapsed="false">
      <c r="A154" s="63" t="s">
        <v>197</v>
      </c>
      <c r="B154" s="56" t="s">
        <v>198</v>
      </c>
      <c r="C154" s="56"/>
      <c r="D154" s="47" t="n">
        <f aca="false">B111-B47</f>
        <v>0</v>
      </c>
      <c r="E154" s="47" t="n">
        <f aca="false">C111-C47</f>
        <v>0</v>
      </c>
      <c r="F154" s="47" t="n">
        <f aca="false">D111-D47</f>
        <v>0</v>
      </c>
      <c r="G154" s="47" t="n">
        <f aca="false">E111-E47</f>
        <v>0</v>
      </c>
      <c r="H154" s="64" t="str">
        <f aca="false">IF(AND(COUNT(D154:G154)=4,COUNTIF(D154:G154,"&gt;0.5")+COUNTIF(D154:G154,"&lt;-0.5")=0),"✔ 通过","✗ 不平")</f>
        <v>✔ 通过</v>
      </c>
      <c r="I154" s="56" t="s">
        <v>199</v>
      </c>
      <c r="J154" s="56"/>
      <c r="K154" s="56"/>
    </row>
    <row r="155" customFormat="false" ht="25.5" hidden="false" customHeight="true" outlineLevel="0" collapsed="false">
      <c r="A155" s="63" t="s">
        <v>200</v>
      </c>
      <c r="B155" s="56" t="s">
        <v>201</v>
      </c>
      <c r="C155" s="56"/>
      <c r="D155" s="47" t="s">
        <v>202</v>
      </c>
      <c r="E155" s="47" t="n">
        <f aca="false">C146-C69</f>
        <v>0</v>
      </c>
      <c r="F155" s="47" t="n">
        <f aca="false">D146-D69</f>
        <v>0</v>
      </c>
      <c r="G155" s="47" t="n">
        <f aca="false">E146-E69</f>
        <v>0</v>
      </c>
      <c r="H155" s="64" t="str">
        <f aca="false">IF(AND(COUNT(D155:G155)=3,COUNTIF(D155:G155,"&gt;0.5")+COUNTIF(D155:G155,"&lt;-0.5")=0),"✔ 通过","✗ 不平")</f>
        <v>✔ 通过</v>
      </c>
      <c r="I155" s="56" t="s">
        <v>203</v>
      </c>
      <c r="J155" s="56"/>
      <c r="K155" s="56"/>
    </row>
    <row r="156" customFormat="false" ht="25.5" hidden="false" customHeight="true" outlineLevel="0" collapsed="false">
      <c r="A156" s="63" t="s">
        <v>204</v>
      </c>
      <c r="B156" s="56" t="s">
        <v>205</v>
      </c>
      <c r="C156" s="56"/>
      <c r="D156" s="47" t="s">
        <v>202</v>
      </c>
      <c r="E156" s="47" t="n">
        <f aca="false">C82-(C98+C105)</f>
        <v>0</v>
      </c>
      <c r="F156" s="47" t="n">
        <f aca="false">D82-(D98+D105)</f>
        <v>0</v>
      </c>
      <c r="G156" s="47" t="n">
        <f aca="false">E82-(E98+E105)</f>
        <v>0</v>
      </c>
      <c r="H156" s="64" t="str">
        <f aca="false">IF(AND(COUNT(D156:G156)=3,COUNTIF(D156:G156,"&gt;0.5")+COUNTIF(D156:G156,"&lt;-0.5")=0),"✔ 通过","✗ 不平")</f>
        <v>✔ 通过</v>
      </c>
      <c r="I156" s="56" t="s">
        <v>206</v>
      </c>
      <c r="J156" s="56"/>
      <c r="K156" s="56"/>
    </row>
    <row r="157" customFormat="false" ht="25.5" hidden="false" customHeight="true" outlineLevel="0" collapsed="false">
      <c r="A157" s="63" t="s">
        <v>207</v>
      </c>
      <c r="B157" s="56" t="s">
        <v>208</v>
      </c>
      <c r="C157" s="56"/>
      <c r="D157" s="47" t="n">
        <f aca="false">B128+B136+B142+B143-B144</f>
        <v>0</v>
      </c>
      <c r="E157" s="47" t="n">
        <f aca="false">C128+C136+C142+C143-C144</f>
        <v>0</v>
      </c>
      <c r="F157" s="47" t="n">
        <f aca="false">D128+D136+D142+D143-D144</f>
        <v>0</v>
      </c>
      <c r="G157" s="47" t="n">
        <f aca="false">E128+E136+E142+E143-E144</f>
        <v>0</v>
      </c>
      <c r="H157" s="64" t="str">
        <f aca="false">IF(AND(COUNT(D157:G157)=4,COUNTIF(D157:G157,"&gt;0.5")+COUNTIF(D157:G157,"&lt;-0.5")=0),"✔ 通过","✗ 不平")</f>
        <v>✔ 通过</v>
      </c>
      <c r="I157" s="56" t="s">
        <v>209</v>
      </c>
      <c r="J157" s="56"/>
      <c r="K157" s="56"/>
    </row>
    <row r="158" customFormat="false" ht="25.5" hidden="false" customHeight="true" outlineLevel="0" collapsed="false">
      <c r="A158" s="63" t="s">
        <v>210</v>
      </c>
      <c r="B158" s="56" t="s">
        <v>211</v>
      </c>
      <c r="C158" s="56"/>
      <c r="D158" s="47" t="s">
        <v>202</v>
      </c>
      <c r="E158" s="47" t="n">
        <f aca="false">C104-(B104+B47+C47)</f>
        <v>0</v>
      </c>
      <c r="F158" s="47" t="s">
        <v>202</v>
      </c>
      <c r="G158" s="47" t="n">
        <f aca="false">E104-(B104+SUM(B47:E47))</f>
        <v>0</v>
      </c>
      <c r="H158" s="64" t="str">
        <f aca="false">IF(AND(COUNT(D158:G158)=2,COUNTIF(D158:G158,"&gt;0.5")+COUNTIF(D158:G158,"&lt;-0.5")=0),"✔ 通过","✗ 不平")</f>
        <v>✔ 通过</v>
      </c>
      <c r="I158" s="56" t="s">
        <v>212</v>
      </c>
      <c r="J158" s="56"/>
      <c r="K158" s="56"/>
    </row>
    <row r="159" customFormat="false" ht="20.25" hidden="false" customHeight="true" outlineLevel="0" collapsed="false">
      <c r="A159" s="44" t="s">
        <v>213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</row>
    <row r="161" customFormat="false" ht="24" hidden="false" customHeight="true" outlineLevel="0" collapsed="false">
      <c r="A161" s="12" t="s">
        <v>214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customFormat="false" ht="33" hidden="false" customHeight="true" outlineLevel="0" collapsed="false">
      <c r="A162" s="30" t="s">
        <v>215</v>
      </c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 customFormat="false" ht="39.75" hidden="false" customHeight="true" outlineLevel="0" collapsed="false">
      <c r="A163" s="4" t="s">
        <v>216</v>
      </c>
      <c r="B163" s="13" t="s">
        <v>217</v>
      </c>
      <c r="C163" s="13" t="s">
        <v>218</v>
      </c>
      <c r="D163" s="13" t="s">
        <v>219</v>
      </c>
      <c r="E163" s="13" t="s">
        <v>220</v>
      </c>
      <c r="F163" s="13" t="s">
        <v>221</v>
      </c>
      <c r="G163" s="4" t="s">
        <v>222</v>
      </c>
      <c r="H163" s="4"/>
      <c r="I163" s="4"/>
      <c r="J163" s="4"/>
      <c r="K163" s="4"/>
    </row>
    <row r="164" customFormat="false" ht="28.5" hidden="false" customHeight="true" outlineLevel="0" collapsed="false">
      <c r="A164" s="63" t="s">
        <v>223</v>
      </c>
      <c r="B164" s="65" t="n">
        <f aca="false">B70/(G28/4)*91</f>
        <v>52.855472467709</v>
      </c>
      <c r="C164" s="65" t="n">
        <f aca="false">C70/(C28)*91</f>
        <v>37.2723966942149</v>
      </c>
      <c r="D164" s="65" t="n">
        <f aca="false">D70/(D28)*91</f>
        <v>41.6917647058824</v>
      </c>
      <c r="E164" s="65" t="n">
        <f aca="false">E70/(E28)*91</f>
        <v>47.7889570552147</v>
      </c>
      <c r="F164" s="34"/>
      <c r="G164" s="56" t="s">
        <v>224</v>
      </c>
      <c r="H164" s="56"/>
      <c r="I164" s="56"/>
      <c r="J164" s="56"/>
      <c r="K164" s="56"/>
    </row>
    <row r="165" customFormat="false" ht="28.5" hidden="false" customHeight="true" outlineLevel="0" collapsed="false">
      <c r="A165" s="63" t="s">
        <v>225</v>
      </c>
      <c r="B165" s="65" t="n">
        <f aca="false">B71/(G29/4)*91</f>
        <v>147.14291269687</v>
      </c>
      <c r="C165" s="65" t="n">
        <f aca="false">C71/(C29)*91</f>
        <v>120.801886792453</v>
      </c>
      <c r="D165" s="65" t="n">
        <f aca="false">D71/(D29)*91</f>
        <v>158.119565217391</v>
      </c>
      <c r="E165" s="65" t="n">
        <f aca="false">E71/(E29)*91</f>
        <v>177.525668835864</v>
      </c>
      <c r="F165" s="34"/>
      <c r="G165" s="56" t="s">
        <v>226</v>
      </c>
      <c r="H165" s="56"/>
      <c r="I165" s="56"/>
      <c r="J165" s="56"/>
      <c r="K165" s="56"/>
    </row>
    <row r="166" customFormat="false" ht="19.5" hidden="false" customHeight="true" outlineLevel="0" collapsed="false">
      <c r="A166" s="63" t="s">
        <v>227</v>
      </c>
      <c r="B166" s="65" t="n">
        <f aca="false">(B84+B85)/(G29/4)*91</f>
        <v>54.2142718257826</v>
      </c>
      <c r="C166" s="65" t="n">
        <f aca="false">(C84+C85)/(C29)*91</f>
        <v>53.2877358490566</v>
      </c>
      <c r="D166" s="65" t="n">
        <f aca="false">(D84+D85)/(D29)*91</f>
        <v>60.125</v>
      </c>
      <c r="E166" s="65" t="n">
        <f aca="false">(E84+E85)/(E29)*91</f>
        <v>64.2198120028923</v>
      </c>
      <c r="F166" s="34"/>
      <c r="G166" s="56" t="s">
        <v>228</v>
      </c>
      <c r="H166" s="56"/>
      <c r="I166" s="56"/>
      <c r="J166" s="56"/>
      <c r="K166" s="56"/>
    </row>
    <row r="167" customFormat="false" ht="19.5" hidden="false" customHeight="true" outlineLevel="0" collapsed="false">
      <c r="A167" s="63" t="s">
        <v>229</v>
      </c>
      <c r="B167" s="32" t="n">
        <f aca="false">B70+B71-B84-B85</f>
        <v>2381</v>
      </c>
      <c r="C167" s="32" t="n">
        <f aca="false">C70+C71-C84-C85</f>
        <v>2340</v>
      </c>
      <c r="D167" s="32" t="n">
        <f aca="false">D70+D71-D84-D85</f>
        <v>4113</v>
      </c>
      <c r="E167" s="32" t="n">
        <f aca="false">E70+E71-E84-E85</f>
        <v>6430</v>
      </c>
      <c r="F167" s="34"/>
      <c r="G167" s="56" t="s">
        <v>230</v>
      </c>
      <c r="H167" s="56"/>
      <c r="I167" s="56"/>
      <c r="J167" s="56"/>
      <c r="K167" s="56"/>
    </row>
    <row r="168" customFormat="false" ht="19.5" hidden="false" customHeight="true" outlineLevel="0" collapsed="false">
      <c r="A168" s="63" t="s">
        <v>231</v>
      </c>
      <c r="B168" s="32" t="n">
        <f aca="false">(G28/4)*4</f>
        <v>7355</v>
      </c>
      <c r="C168" s="32" t="n">
        <f aca="false">(C28)*4</f>
        <v>12100</v>
      </c>
      <c r="D168" s="32" t="n">
        <f aca="false">(D28)*4</f>
        <v>23800</v>
      </c>
      <c r="E168" s="32" t="n">
        <f aca="false">(E28)*4</f>
        <v>35860</v>
      </c>
      <c r="F168" s="34"/>
      <c r="G168" s="56" t="s">
        <v>232</v>
      </c>
      <c r="H168" s="56"/>
      <c r="I168" s="56"/>
      <c r="J168" s="56"/>
      <c r="K168" s="56"/>
    </row>
    <row r="169" customFormat="false" ht="28.5" hidden="false" customHeight="true" outlineLevel="0" collapsed="false">
      <c r="A169" s="66" t="s">
        <v>233</v>
      </c>
      <c r="B169" s="67" t="n">
        <f aca="false">B167/B168</f>
        <v>0.323725356900068</v>
      </c>
      <c r="C169" s="67" t="n">
        <f aca="false">C167/C168</f>
        <v>0.193388429752066</v>
      </c>
      <c r="D169" s="67" t="n">
        <f aca="false">D167/D168</f>
        <v>0.17281512605042</v>
      </c>
      <c r="E169" s="67" t="n">
        <f aca="false">E167/E168</f>
        <v>0.17930842163971</v>
      </c>
      <c r="F169" s="34"/>
      <c r="G169" s="68" t="s">
        <v>234</v>
      </c>
      <c r="H169" s="68"/>
      <c r="I169" s="68"/>
      <c r="J169" s="68"/>
      <c r="K169" s="68"/>
    </row>
    <row r="170" customFormat="false" ht="19.5" hidden="false" customHeight="true" outlineLevel="0" collapsed="false">
      <c r="A170" s="63" t="s">
        <v>235</v>
      </c>
      <c r="B170" s="34"/>
      <c r="C170" s="34"/>
      <c r="D170" s="34"/>
      <c r="E170" s="34"/>
      <c r="F170" s="69" t="n">
        <f aca="false">-F130/F28</f>
        <v>0.00874160410904781</v>
      </c>
      <c r="G170" s="68" t="s">
        <v>236</v>
      </c>
      <c r="H170" s="68"/>
      <c r="I170" s="68"/>
      <c r="J170" s="68"/>
      <c r="K170" s="68"/>
    </row>
    <row r="171" customFormat="false" ht="28.5" hidden="false" customHeight="true" outlineLevel="0" collapsed="false">
      <c r="A171" s="70" t="s">
        <v>237</v>
      </c>
      <c r="B171" s="34"/>
      <c r="C171" s="34"/>
      <c r="D171" s="34"/>
      <c r="E171" s="34"/>
      <c r="F171" s="69" t="n">
        <f aca="false">-(F133+F134)/F28</f>
        <v>0.0135815883050178</v>
      </c>
      <c r="G171" s="68" t="s">
        <v>238</v>
      </c>
      <c r="H171" s="68"/>
      <c r="I171" s="68"/>
      <c r="J171" s="68"/>
      <c r="K171" s="68"/>
    </row>
    <row r="172" customFormat="false" ht="39.75" hidden="false" customHeight="true" outlineLevel="0" collapsed="false">
      <c r="A172" s="37" t="s">
        <v>239</v>
      </c>
      <c r="B172" s="34"/>
      <c r="C172" s="34"/>
      <c r="D172" s="34"/>
      <c r="E172" s="34"/>
      <c r="F172" s="71" t="n">
        <f aca="false">-(F130+F133+F134)/F28</f>
        <v>0.0223231924140656</v>
      </c>
      <c r="G172" s="68" t="s">
        <v>240</v>
      </c>
      <c r="H172" s="68"/>
      <c r="I172" s="68"/>
      <c r="J172" s="68"/>
      <c r="K172" s="68"/>
    </row>
    <row r="173" customFormat="false" ht="19.5" hidden="false" customHeight="true" outlineLevel="0" collapsed="false">
      <c r="A173" s="63" t="s">
        <v>241</v>
      </c>
      <c r="B173" s="34"/>
      <c r="C173" s="34"/>
      <c r="D173" s="34"/>
      <c r="E173" s="34"/>
      <c r="F173" s="69" t="n">
        <f aca="false">F112/F28</f>
        <v>0.00735875148162782</v>
      </c>
      <c r="G173" s="68" t="s">
        <v>242</v>
      </c>
      <c r="H173" s="68"/>
      <c r="I173" s="68"/>
      <c r="J173" s="68"/>
      <c r="K173" s="68"/>
    </row>
    <row r="174" customFormat="false" ht="39.75" hidden="false" customHeight="true" outlineLevel="0" collapsed="false">
      <c r="A174" s="63" t="s">
        <v>243</v>
      </c>
      <c r="B174" s="34"/>
      <c r="C174" s="34"/>
      <c r="D174" s="34"/>
      <c r="E174" s="34"/>
      <c r="F174" s="58" t="n">
        <f aca="false">E88+E89+E96</f>
        <v>2742</v>
      </c>
      <c r="G174" s="68" t="s">
        <v>244</v>
      </c>
      <c r="H174" s="68"/>
      <c r="I174" s="68"/>
      <c r="J174" s="68"/>
      <c r="K174" s="68"/>
    </row>
    <row r="175" customFormat="false" ht="33" hidden="false" customHeight="true" outlineLevel="0" collapsed="false">
      <c r="A175" s="29" t="s">
        <v>245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29"/>
    </row>
    <row r="328" customFormat="false" ht="45.75" hidden="false" customHeight="true" outlineLevel="0" collapsed="false">
      <c r="A328" s="44" t="s">
        <v>246</v>
      </c>
      <c r="B328" s="44"/>
      <c r="C328" s="44"/>
      <c r="D328" s="44"/>
      <c r="E328" s="44"/>
      <c r="F328" s="44"/>
      <c r="G328" s="44"/>
      <c r="H328" s="44"/>
      <c r="I328" s="44"/>
      <c r="J328" s="44"/>
      <c r="K328" s="44"/>
    </row>
  </sheetData>
  <mergeCells count="73">
    <mergeCell ref="A1:K1"/>
    <mergeCell ref="A2:K2"/>
    <mergeCell ref="A4:K4"/>
    <mergeCell ref="B6:C6"/>
    <mergeCell ref="D6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  <mergeCell ref="B12:C12"/>
    <mergeCell ref="D12:K12"/>
    <mergeCell ref="B13:C13"/>
    <mergeCell ref="D13:K13"/>
    <mergeCell ref="B14:C14"/>
    <mergeCell ref="D14:K14"/>
    <mergeCell ref="A15:K15"/>
    <mergeCell ref="J17:K17"/>
    <mergeCell ref="J18:K18"/>
    <mergeCell ref="J19:K19"/>
    <mergeCell ref="C20:K20"/>
    <mergeCell ref="C21:K21"/>
    <mergeCell ref="A22:K22"/>
    <mergeCell ref="A24:K24"/>
    <mergeCell ref="A26:K26"/>
    <mergeCell ref="A56:K56"/>
    <mergeCell ref="A58:K58"/>
    <mergeCell ref="A64:K64"/>
    <mergeCell ref="A66:K66"/>
    <mergeCell ref="A68:K68"/>
    <mergeCell ref="A83:K83"/>
    <mergeCell ref="A99:K99"/>
    <mergeCell ref="A106:K106"/>
    <mergeCell ref="A108:K108"/>
    <mergeCell ref="A110:K110"/>
    <mergeCell ref="A129:K129"/>
    <mergeCell ref="A137:K137"/>
    <mergeCell ref="H147:K147"/>
    <mergeCell ref="H148:K148"/>
    <mergeCell ref="H149:K149"/>
    <mergeCell ref="A151:K151"/>
    <mergeCell ref="A152:K152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A159:K159"/>
    <mergeCell ref="A161:K161"/>
    <mergeCell ref="A162:K162"/>
    <mergeCell ref="G164:K164"/>
    <mergeCell ref="G165:K165"/>
    <mergeCell ref="G166:K166"/>
    <mergeCell ref="G167:K167"/>
    <mergeCell ref="G168:K168"/>
    <mergeCell ref="G169:K169"/>
    <mergeCell ref="G170:K170"/>
    <mergeCell ref="G171:K171"/>
    <mergeCell ref="G172:K172"/>
    <mergeCell ref="G173:K173"/>
    <mergeCell ref="G174:K174"/>
    <mergeCell ref="A175:K175"/>
    <mergeCell ref="A328:K328"/>
  </mergeCells>
  <conditionalFormatting sqref="H154">
    <cfRule type="expression" priority="2" aboveAverage="0" equalAverage="0" bottom="0" percent="0" rank="0" text="" dxfId="0">
      <formula>ISNUMBER(SEARCH("✔",$H$154))</formula>
    </cfRule>
    <cfRule type="expression" priority="3" aboveAverage="0" equalAverage="0" bottom="0" percent="0" rank="0" text="" dxfId="1">
      <formula>ISNUMBER(SEARCH("✗",$H$154))</formula>
    </cfRule>
  </conditionalFormatting>
  <conditionalFormatting sqref="H155">
    <cfRule type="expression" priority="4" aboveAverage="0" equalAverage="0" bottom="0" percent="0" rank="0" text="" dxfId="0">
      <formula>ISNUMBER(SEARCH("✔",$H$155))</formula>
    </cfRule>
    <cfRule type="expression" priority="5" aboveAverage="0" equalAverage="0" bottom="0" percent="0" rank="0" text="" dxfId="1">
      <formula>ISNUMBER(SEARCH("✗",$H$155))</formula>
    </cfRule>
  </conditionalFormatting>
  <conditionalFormatting sqref="H156">
    <cfRule type="expression" priority="6" aboveAverage="0" equalAverage="0" bottom="0" percent="0" rank="0" text="" dxfId="0">
      <formula>ISNUMBER(SEARCH("✔",$H$156))</formula>
    </cfRule>
    <cfRule type="expression" priority="7" aboveAverage="0" equalAverage="0" bottom="0" percent="0" rank="0" text="" dxfId="1">
      <formula>ISNUMBER(SEARCH("✗",$H$156))</formula>
    </cfRule>
  </conditionalFormatting>
  <conditionalFormatting sqref="H157">
    <cfRule type="expression" priority="8" aboveAverage="0" equalAverage="0" bottom="0" percent="0" rank="0" text="" dxfId="0">
      <formula>ISNUMBER(SEARCH("✔",$H$157))</formula>
    </cfRule>
    <cfRule type="expression" priority="9" aboveAverage="0" equalAverage="0" bottom="0" percent="0" rank="0" text="" dxfId="1">
      <formula>ISNUMBER(SEARCH("✗",$H$157))</formula>
    </cfRule>
  </conditionalFormatting>
  <conditionalFormatting sqref="H158">
    <cfRule type="expression" priority="10" aboveAverage="0" equalAverage="0" bottom="0" percent="0" rank="0" text="" dxfId="0">
      <formula>ISNUMBER(SEARCH("✔",$H$158))</formula>
    </cfRule>
    <cfRule type="expression" priority="11" aboveAverage="0" equalAverage="0" bottom="0" percent="0" rank="0" text="" dxfId="1">
      <formula>ISNUMBER(SEARCH("✗",$H$158))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min="1" max="1" width="29.71" customWidth="1"/>
    <col min="2" max="2" width="11.71" customWidth="1"/>
    <col min="3" max="3" width="11.71" customWidth="1"/>
    <col min="4" max="4" width="11.71" customWidth="1"/>
    <col min="5" max="5" width="11.71" customWidth="1"/>
    <col min="6" max="6" width="12.71" customWidth="1"/>
    <col min="7" max="7" width="11.71" customWidth="1"/>
    <col min="8" max="8" width="13.71" customWidth="1"/>
    <col min="9" max="9" width="14.71" customWidth="1"/>
    <col min="10" max="10" width="12.71" customWidth="1"/>
    <col min="11" max="11" width="12.71" customWidth="1"/>
    <col min="12" max="12" width="12.71" customWidth="1"/>
    <col min="13" max="13" width="13.71" customWidth="1"/>
    <col min="14" max="14" width="14.71" customWidth="1"/>
  </cols>
  <sheetData>
    <row r="1" customFormat="false" ht="37.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72" t="s">
        <v>248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customFormat="false" ht="24" hidden="false" customHeight="true" outlineLevel="0" collapsed="false">
      <c r="A4" s="73" t="s">
        <v>249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customFormat="false" ht="33" hidden="false" customHeight="true" outlineLevel="0" collapsed="false">
      <c r="A5" s="74" t="s">
        <v>250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customFormat="false" ht="18.75" hidden="false" customHeight="true" outlineLevel="0" collapsed="false">
      <c r="A6" s="23" t="s">
        <v>251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customFormat="false" ht="18.75" hidden="false" customHeight="true" outlineLevel="0" collapsed="false">
      <c r="A7" s="23" t="s">
        <v>252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customFormat="false" ht="18.75" hidden="false" customHeight="true" outlineLevel="0" collapsed="false">
      <c r="A8" s="23" t="s">
        <v>253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customFormat="false" ht="18.75" hidden="false" customHeight="true" outlineLevel="0" collapsed="false">
      <c r="A9" s="23" t="s">
        <v>254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1" customFormat="false" ht="24" hidden="false" customHeight="true" outlineLevel="0" collapsed="false">
      <c r="A11" s="73" t="s">
        <v>255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</row>
    <row r="12" customFormat="false" ht="27" hidden="false" customHeight="true" outlineLevel="0" collapsed="false">
      <c r="A12" s="4" t="s">
        <v>48</v>
      </c>
      <c r="B12" s="13" t="s">
        <v>256</v>
      </c>
      <c r="C12" s="13" t="s">
        <v>257</v>
      </c>
      <c r="D12" s="13" t="s">
        <v>258</v>
      </c>
      <c r="E12" s="13" t="s">
        <v>259</v>
      </c>
      <c r="F12" s="13" t="s">
        <v>260</v>
      </c>
      <c r="G12" s="4" t="s">
        <v>261</v>
      </c>
      <c r="H12" s="4"/>
      <c r="I12" s="4"/>
      <c r="J12" s="4"/>
      <c r="K12" s="4"/>
      <c r="L12" s="4"/>
      <c r="M12" s="4"/>
      <c r="N12" s="4"/>
    </row>
    <row r="13" customFormat="false" ht="16.5" hidden="false" customHeight="true" outlineLevel="0" collapsed="false">
      <c r="A13" s="35" t="s">
        <v>262</v>
      </c>
      <c r="B13" s="36" t="n">
        <f aca="false">$B$189</f>
        <v>10550</v>
      </c>
      <c r="C13" s="36" t="n">
        <f aca="false">B13*(1+-0.009479+$B$191)</f>
        <v>10449.99655</v>
      </c>
      <c r="D13" s="36" t="n">
        <f aca="false">C13*(1+-0.148325+$B$191)</f>
        <v>8900.00081172125</v>
      </c>
      <c r="E13" s="36" t="n">
        <f aca="false">D13*(1+-0.202247+$B$191)</f>
        <v>7100.00234755306</v>
      </c>
      <c r="F13" s="75" t="n">
        <f aca="false">SUM(B13:E13)</f>
        <v>36999.9997092743</v>
      </c>
      <c r="G13" s="68" t="s">
        <v>263</v>
      </c>
      <c r="H13" s="68"/>
      <c r="I13" s="68"/>
      <c r="J13" s="68"/>
      <c r="K13" s="68"/>
      <c r="L13" s="68"/>
      <c r="M13" s="68"/>
      <c r="N13" s="68"/>
    </row>
    <row r="14" customFormat="false" ht="16.5" hidden="false" customHeight="true" outlineLevel="0" collapsed="false">
      <c r="A14" s="31" t="s">
        <v>264</v>
      </c>
      <c r="B14" s="76" t="n">
        <f aca="false">B13/'00-三表与联动'!E28-1</f>
        <v>0.176798661461238</v>
      </c>
      <c r="C14" s="76" t="n">
        <f aca="false">C13/B13-1</f>
        <v>-0.00947900000000002</v>
      </c>
      <c r="D14" s="76" t="n">
        <f aca="false">D13/C13-1</f>
        <v>-0.148325</v>
      </c>
      <c r="E14" s="76" t="n">
        <f aca="false">E13/D13-1</f>
        <v>-0.202247</v>
      </c>
      <c r="F14" s="77" t="n">
        <f aca="false">F13/'00-三表与联动'!F28-1</f>
        <v>0.827340957589605</v>
      </c>
      <c r="G14" s="68" t="s">
        <v>265</v>
      </c>
      <c r="H14" s="68"/>
      <c r="I14" s="68"/>
      <c r="J14" s="68"/>
      <c r="K14" s="68"/>
      <c r="L14" s="68"/>
      <c r="M14" s="68"/>
      <c r="N14" s="68"/>
    </row>
    <row r="15" customFormat="false" ht="16.5" hidden="false" customHeight="true" outlineLevel="0" collapsed="false">
      <c r="A15" s="31" t="s">
        <v>266</v>
      </c>
      <c r="B15" s="76" t="n">
        <f aca="false">MAX(0.05,MIN(0.92,0.83+$B$193))</f>
        <v>0.83</v>
      </c>
      <c r="C15" s="76" t="n">
        <f aca="false">MAX(0.05,MIN(0.92,0.78+$B$193))</f>
        <v>0.78</v>
      </c>
      <c r="D15" s="76" t="n">
        <f aca="false">MAX(0.05,MIN(0.92,0.68+$B$193))</f>
        <v>0.68</v>
      </c>
      <c r="E15" s="76" t="n">
        <f aca="false">MAX(0.05,MIN(0.92,0.56+$B$193))</f>
        <v>0.56</v>
      </c>
      <c r="F15" s="77" t="n">
        <f aca="false">F16/F13</f>
        <v>0.727986469925528</v>
      </c>
      <c r="G15" s="56" t="s">
        <v>267</v>
      </c>
      <c r="H15" s="56"/>
      <c r="I15" s="56"/>
      <c r="J15" s="56"/>
      <c r="K15" s="56"/>
      <c r="L15" s="56"/>
      <c r="M15" s="56"/>
      <c r="N15" s="56"/>
    </row>
    <row r="16" customFormat="false" ht="16.5" hidden="false" customHeight="true" outlineLevel="0" collapsed="false">
      <c r="A16" s="31" t="s">
        <v>268</v>
      </c>
      <c r="B16" s="32" t="n">
        <f aca="false">B13*B15</f>
        <v>8756.5</v>
      </c>
      <c r="C16" s="32" t="n">
        <f aca="false">C13*C15</f>
        <v>8150.997309</v>
      </c>
      <c r="D16" s="32" t="n">
        <f aca="false">D13*D15</f>
        <v>6052.00055197045</v>
      </c>
      <c r="E16" s="32" t="n">
        <f aca="false">E13*E15</f>
        <v>3976.00131462971</v>
      </c>
      <c r="F16" s="75" t="n">
        <f aca="false">SUM(B16:E16)</f>
        <v>26935.4991756002</v>
      </c>
      <c r="G16" s="56" t="s">
        <v>269</v>
      </c>
      <c r="H16" s="56"/>
      <c r="I16" s="56"/>
      <c r="J16" s="56"/>
      <c r="K16" s="56"/>
      <c r="L16" s="56"/>
      <c r="M16" s="56"/>
      <c r="N16" s="56"/>
    </row>
    <row r="17" customFormat="false" ht="16.5" hidden="false" customHeight="true" outlineLevel="0" collapsed="false">
      <c r="A17" s="31" t="s">
        <v>270</v>
      </c>
      <c r="B17" s="32" t="n">
        <f aca="false">B13*$B$199</f>
        <v>738.5</v>
      </c>
      <c r="C17" s="32" t="n">
        <f aca="false">C13*$B$199</f>
        <v>731.4997585</v>
      </c>
      <c r="D17" s="32" t="n">
        <f aca="false">D13*$B$199</f>
        <v>623.000056820488</v>
      </c>
      <c r="E17" s="32" t="n">
        <f aca="false">E13*$B$199</f>
        <v>497.000164328714</v>
      </c>
      <c r="F17" s="75" t="n">
        <f aca="false">SUM(B17:E17)</f>
        <v>2589.9999796492</v>
      </c>
      <c r="G17" s="56" t="s">
        <v>271</v>
      </c>
      <c r="H17" s="56"/>
      <c r="I17" s="56"/>
      <c r="J17" s="56"/>
      <c r="K17" s="56"/>
      <c r="L17" s="56"/>
      <c r="M17" s="56"/>
      <c r="N17" s="56"/>
    </row>
    <row r="18" customFormat="false" ht="16.5" hidden="false" customHeight="true" outlineLevel="0" collapsed="false">
      <c r="A18" s="35" t="s">
        <v>272</v>
      </c>
      <c r="B18" s="36" t="n">
        <f aca="false">B16-B17</f>
        <v>8018</v>
      </c>
      <c r="C18" s="36" t="n">
        <f aca="false">C16-C17</f>
        <v>7419.4975505</v>
      </c>
      <c r="D18" s="36" t="n">
        <f aca="false">D16-D17</f>
        <v>5429.00049514996</v>
      </c>
      <c r="E18" s="36" t="n">
        <f aca="false">E16-E17</f>
        <v>3479.001150301</v>
      </c>
      <c r="F18" s="75" t="n">
        <f aca="false">SUM(B18:E18)</f>
        <v>24345.499195951</v>
      </c>
      <c r="G18" s="56" t="s">
        <v>273</v>
      </c>
      <c r="H18" s="56"/>
      <c r="I18" s="56"/>
      <c r="J18" s="56"/>
      <c r="K18" s="56"/>
      <c r="L18" s="56"/>
      <c r="M18" s="56"/>
      <c r="N18" s="56"/>
    </row>
    <row r="19" customFormat="false" ht="16.5" hidden="false" customHeight="true" outlineLevel="0" collapsed="false">
      <c r="A19" s="31" t="s">
        <v>274</v>
      </c>
      <c r="B19" s="76" t="n">
        <f aca="false">B18/B13</f>
        <v>0.76</v>
      </c>
      <c r="C19" s="76" t="n">
        <f aca="false">C18/C13</f>
        <v>0.71</v>
      </c>
      <c r="D19" s="76" t="n">
        <f aca="false">D18/D13</f>
        <v>0.61</v>
      </c>
      <c r="E19" s="76" t="n">
        <f aca="false">E18/E13</f>
        <v>0.49</v>
      </c>
      <c r="F19" s="77" t="n">
        <f aca="false">F18/F13</f>
        <v>0.657986469925528</v>
      </c>
      <c r="G19" s="56" t="s">
        <v>275</v>
      </c>
      <c r="H19" s="56"/>
      <c r="I19" s="56"/>
      <c r="J19" s="56"/>
      <c r="K19" s="56"/>
      <c r="L19" s="56"/>
      <c r="M19" s="56"/>
      <c r="N19" s="56"/>
    </row>
    <row r="20" customFormat="false" ht="16.5" hidden="false" customHeight="true" outlineLevel="0" collapsed="false">
      <c r="A20" s="31" t="s">
        <v>276</v>
      </c>
      <c r="B20" s="32" t="n">
        <f aca="false">MAX(0,B18)*$B$201</f>
        <v>1363.06</v>
      </c>
      <c r="C20" s="32" t="n">
        <f aca="false">MAX(0,C18)*$B$201</f>
        <v>1261.314583585</v>
      </c>
      <c r="D20" s="32" t="n">
        <f aca="false">MAX(0,D18)*$B$201</f>
        <v>922.930084175494</v>
      </c>
      <c r="E20" s="32" t="n">
        <f aca="false">MAX(0,E18)*$B$201</f>
        <v>591.43019555117</v>
      </c>
      <c r="F20" s="75" t="n">
        <f aca="false">SUM(B20:E20)</f>
        <v>4138.73486331166</v>
      </c>
      <c r="G20" s="56" t="s">
        <v>277</v>
      </c>
      <c r="H20" s="56"/>
      <c r="I20" s="56"/>
      <c r="J20" s="56"/>
      <c r="K20" s="56"/>
      <c r="L20" s="56"/>
      <c r="M20" s="56"/>
      <c r="N20" s="56"/>
    </row>
    <row r="21" customFormat="false" ht="16.5" hidden="false" customHeight="true" outlineLevel="0" collapsed="false">
      <c r="A21" s="35" t="s">
        <v>278</v>
      </c>
      <c r="B21" s="36" t="n">
        <f aca="false">B18-B20</f>
        <v>6654.94</v>
      </c>
      <c r="C21" s="36" t="n">
        <f aca="false">C18-C20</f>
        <v>6158.182966915</v>
      </c>
      <c r="D21" s="36" t="n">
        <f aca="false">D18-D20</f>
        <v>4506.07041097447</v>
      </c>
      <c r="E21" s="36" t="n">
        <f aca="false">E18-E20</f>
        <v>2887.57095474983</v>
      </c>
      <c r="F21" s="75" t="n">
        <f aca="false">SUM(B21:E21)</f>
        <v>20206.7643326393</v>
      </c>
      <c r="G21" s="56" t="s">
        <v>279</v>
      </c>
      <c r="H21" s="56"/>
      <c r="I21" s="56"/>
      <c r="J21" s="56"/>
      <c r="K21" s="56"/>
      <c r="L21" s="56"/>
      <c r="M21" s="56"/>
      <c r="N21" s="56"/>
    </row>
    <row r="22" customFormat="false" ht="16.5" hidden="false" customHeight="true" outlineLevel="0" collapsed="false">
      <c r="A22" s="31" t="s">
        <v>280</v>
      </c>
      <c r="B22" s="32" t="n">
        <f aca="false">B13*0.0074</f>
        <v>78.07</v>
      </c>
      <c r="C22" s="32" t="n">
        <f aca="false">C13*0.0074</f>
        <v>77.32997447</v>
      </c>
      <c r="D22" s="32" t="n">
        <f aca="false">D13*0.0074</f>
        <v>65.8600060067373</v>
      </c>
      <c r="E22" s="32" t="n">
        <f aca="false">E13*0.0074</f>
        <v>52.5400173718927</v>
      </c>
      <c r="F22" s="75" t="n">
        <f aca="false">SUM(B22:E22)</f>
        <v>273.79999784863</v>
      </c>
      <c r="G22" s="56" t="s">
        <v>281</v>
      </c>
      <c r="H22" s="56"/>
      <c r="I22" s="56"/>
      <c r="J22" s="56"/>
      <c r="K22" s="56"/>
      <c r="L22" s="56"/>
      <c r="M22" s="56"/>
      <c r="N22" s="56"/>
    </row>
    <row r="23" customFormat="false" ht="16.5" hidden="false" customHeight="true" outlineLevel="0" collapsed="false">
      <c r="A23" s="31" t="s">
        <v>282</v>
      </c>
      <c r="B23" s="32" t="n">
        <f aca="false">-B13*$B$203</f>
        <v>-189.9</v>
      </c>
      <c r="C23" s="32" t="n">
        <f aca="false">-C13*$B$203</f>
        <v>-188.0999379</v>
      </c>
      <c r="D23" s="32" t="n">
        <f aca="false">-D13*$B$203</f>
        <v>-160.200014610982</v>
      </c>
      <c r="E23" s="32" t="n">
        <f aca="false">-E13*$B$203</f>
        <v>-127.800042255955</v>
      </c>
      <c r="F23" s="75" t="n">
        <f aca="false">SUM(B23:E23)</f>
        <v>-665.999994766938</v>
      </c>
      <c r="G23" s="56" t="s">
        <v>283</v>
      </c>
      <c r="H23" s="56"/>
      <c r="I23" s="56"/>
      <c r="J23" s="56"/>
      <c r="K23" s="56"/>
      <c r="L23" s="56"/>
      <c r="M23" s="56"/>
      <c r="N23" s="56"/>
    </row>
    <row r="24" customFormat="false" ht="16.5" hidden="false" customHeight="true" outlineLevel="0" collapsed="false">
      <c r="A24" s="48" t="s">
        <v>284</v>
      </c>
      <c r="B24" s="32" t="n">
        <f aca="false">-B13*$B$205</f>
        <v>-390.35</v>
      </c>
      <c r="C24" s="32" t="n">
        <f aca="false">-C13*$B$205</f>
        <v>-386.64987235</v>
      </c>
      <c r="D24" s="32" t="n">
        <f aca="false">-D13*$B$205</f>
        <v>-329.300030033686</v>
      </c>
      <c r="E24" s="32" t="n">
        <f aca="false">-E13*$B$205</f>
        <v>-262.700086859463</v>
      </c>
      <c r="F24" s="75" t="n">
        <f aca="false">SUM(B24:E24)</f>
        <v>-1368.99998924315</v>
      </c>
      <c r="G24" s="56" t="s">
        <v>285</v>
      </c>
      <c r="H24" s="56"/>
      <c r="I24" s="56"/>
      <c r="J24" s="56"/>
      <c r="K24" s="56"/>
      <c r="L24" s="56"/>
      <c r="M24" s="56"/>
      <c r="N24" s="56"/>
    </row>
    <row r="25" customFormat="false" ht="16.5" hidden="false" customHeight="true" outlineLevel="0" collapsed="false">
      <c r="A25" s="31" t="s">
        <v>286</v>
      </c>
      <c r="B25" s="32" t="n">
        <f aca="false">B13*4*$B$207</f>
        <v>8440</v>
      </c>
      <c r="C25" s="32" t="n">
        <f aca="false">C13*4*$B$207</f>
        <v>8359.99724</v>
      </c>
      <c r="D25" s="32" t="n">
        <f aca="false">D13*4*$B$207</f>
        <v>7120.000649377</v>
      </c>
      <c r="E25" s="32" t="n">
        <f aca="false">E13*4*$B$207</f>
        <v>5680.00187804245</v>
      </c>
      <c r="F25" s="75" t="n">
        <f aca="false">E25</f>
        <v>5680.00187804245</v>
      </c>
      <c r="G25" s="56" t="s">
        <v>287</v>
      </c>
      <c r="H25" s="56"/>
      <c r="I25" s="56"/>
      <c r="J25" s="56"/>
      <c r="K25" s="56"/>
      <c r="L25" s="56"/>
      <c r="M25" s="56"/>
      <c r="N25" s="56"/>
    </row>
    <row r="26" customFormat="false" ht="16.5" hidden="false" customHeight="true" outlineLevel="0" collapsed="false">
      <c r="A26" s="31" t="s">
        <v>288</v>
      </c>
      <c r="B26" s="32" t="n">
        <f aca="false">-(B25-'00-三表与联动'!E28*4*$B$207)</f>
        <v>-1268</v>
      </c>
      <c r="C26" s="32" t="n">
        <f aca="false">-(C25-B25)</f>
        <v>80.0027599999994</v>
      </c>
      <c r="D26" s="32" t="n">
        <f aca="false">-(D25-C25)</f>
        <v>1239.996590623</v>
      </c>
      <c r="E26" s="32" t="n">
        <f aca="false">-(E25-D25)</f>
        <v>1439.99877133455</v>
      </c>
      <c r="F26" s="75" t="n">
        <f aca="false">SUM(B26:E26)</f>
        <v>1491.99812195755</v>
      </c>
      <c r="G26" s="56" t="s">
        <v>289</v>
      </c>
      <c r="H26" s="56"/>
      <c r="I26" s="56"/>
      <c r="J26" s="56"/>
      <c r="K26" s="56"/>
      <c r="L26" s="56"/>
      <c r="M26" s="56"/>
      <c r="N26" s="56"/>
    </row>
    <row r="27" customFormat="false" ht="16.5" hidden="false" customHeight="true" outlineLevel="0" collapsed="false">
      <c r="A27" s="35" t="s">
        <v>290</v>
      </c>
      <c r="B27" s="78" t="n">
        <f aca="false">B21+B22+B23+B24+B26</f>
        <v>4884.76</v>
      </c>
      <c r="C27" s="78" t="n">
        <f aca="false">C21+C22+C23+C24+C26</f>
        <v>5740.765891135</v>
      </c>
      <c r="D27" s="78" t="n">
        <f aca="false">D21+D22+D23+D24+D26</f>
        <v>5322.42696295954</v>
      </c>
      <c r="E27" s="78" t="n">
        <f aca="false">E21+E22+E23+E24+E26</f>
        <v>3989.60961434085</v>
      </c>
      <c r="F27" s="75" t="n">
        <f aca="false">SUM(B27:E27)</f>
        <v>19937.5624684354</v>
      </c>
      <c r="G27" s="56" t="s">
        <v>291</v>
      </c>
      <c r="H27" s="56"/>
      <c r="I27" s="56"/>
      <c r="J27" s="56"/>
      <c r="K27" s="56"/>
      <c r="L27" s="56"/>
      <c r="M27" s="56"/>
      <c r="N27" s="56"/>
    </row>
    <row r="28" customFormat="false" ht="20.25" hidden="false" customHeight="true" outlineLevel="0" collapsed="false">
      <c r="A28" s="44" t="s">
        <v>292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30" customFormat="false" ht="24" hidden="false" customHeight="true" outlineLevel="0" collapsed="false">
      <c r="A30" s="73" t="s">
        <v>293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</row>
    <row r="31" customFormat="false" ht="27" hidden="false" customHeight="true" outlineLevel="0" collapsed="false">
      <c r="A31" s="4" t="s">
        <v>48</v>
      </c>
      <c r="B31" s="13" t="s">
        <v>294</v>
      </c>
      <c r="C31" s="13" t="s">
        <v>295</v>
      </c>
      <c r="D31" s="13" t="s">
        <v>296</v>
      </c>
      <c r="E31" s="13" t="s">
        <v>297</v>
      </c>
      <c r="F31" s="13" t="s">
        <v>298</v>
      </c>
      <c r="G31" s="13" t="s">
        <v>299</v>
      </c>
      <c r="H31" s="4" t="s">
        <v>300</v>
      </c>
      <c r="I31" s="4" t="s">
        <v>261</v>
      </c>
      <c r="J31" s="4"/>
      <c r="K31" s="4"/>
      <c r="L31" s="4"/>
      <c r="M31" s="4"/>
      <c r="N31" s="4"/>
    </row>
    <row r="32" customFormat="false" ht="16.5" hidden="false" customHeight="true" outlineLevel="0" collapsed="false">
      <c r="A32" s="35" t="s">
        <v>262</v>
      </c>
      <c r="B32" s="36" t="n">
        <f aca="false">F13</f>
        <v>36999.9997092743</v>
      </c>
      <c r="C32" s="36" t="n">
        <f aca="false">B32*(1+-0.34)</f>
        <v>24419.999808121</v>
      </c>
      <c r="D32" s="36" t="n">
        <f aca="false">C32*(1+-0.1+$B$197)</f>
        <v>21977.9998273089</v>
      </c>
      <c r="E32" s="36" t="n">
        <f aca="false">D32*(1+0.12+$B$197)</f>
        <v>24615.359806586</v>
      </c>
      <c r="F32" s="36" t="n">
        <f aca="false">E32*(1+0.1+$B$197)</f>
        <v>27076.8957872446</v>
      </c>
      <c r="G32" s="36" t="n">
        <f aca="false">F32*(1+0.08+$B$197)</f>
        <v>29243.0474502242</v>
      </c>
      <c r="H32" s="79" t="n">
        <f aca="false">G32*(1+$B$211)</f>
        <v>29974.1236364798</v>
      </c>
      <c r="I32" s="68" t="s">
        <v>301</v>
      </c>
      <c r="J32" s="68"/>
      <c r="K32" s="68"/>
      <c r="L32" s="68"/>
      <c r="M32" s="68"/>
      <c r="N32" s="68"/>
    </row>
    <row r="33" customFormat="false" ht="16.5" hidden="false" customHeight="true" outlineLevel="0" collapsed="false">
      <c r="A33" s="31" t="s">
        <v>302</v>
      </c>
      <c r="B33" s="76" t="n">
        <f aca="false">B32/'00-三表与联动'!F28-1</f>
        <v>0.827340957589605</v>
      </c>
      <c r="C33" s="76" t="n">
        <f aca="false">C32/B32-1</f>
        <v>-0.34</v>
      </c>
      <c r="D33" s="76" t="n">
        <f aca="false">D32/C32-1</f>
        <v>-0.1</v>
      </c>
      <c r="E33" s="76" t="n">
        <f aca="false">E32/D32-1</f>
        <v>0.12</v>
      </c>
      <c r="F33" s="76" t="n">
        <f aca="false">F32/E32-1</f>
        <v>0.1</v>
      </c>
      <c r="G33" s="76" t="n">
        <f aca="false">G32/F32-1</f>
        <v>0.0800000000000001</v>
      </c>
      <c r="H33" s="80" t="n">
        <f aca="false">$B$211</f>
        <v>0.025</v>
      </c>
      <c r="I33" s="56" t="s">
        <v>303</v>
      </c>
      <c r="J33" s="56"/>
      <c r="K33" s="56"/>
      <c r="L33" s="56"/>
      <c r="M33" s="56"/>
      <c r="N33" s="56"/>
    </row>
    <row r="34" customFormat="false" ht="16.5" hidden="false" customHeight="true" outlineLevel="0" collapsed="false">
      <c r="A34" s="31" t="s">
        <v>266</v>
      </c>
      <c r="B34" s="76" t="n">
        <f aca="false">F16/F13</f>
        <v>0.727986469925528</v>
      </c>
      <c r="C34" s="76" t="n">
        <f aca="false">MAX(0.05,MIN(0.92,0.42+$B$193))</f>
        <v>0.42</v>
      </c>
      <c r="D34" s="76" t="n">
        <f aca="false">MAX(0.05,MIN(0.92,0.36+$B$193))</f>
        <v>0.36</v>
      </c>
      <c r="E34" s="76" t="n">
        <f aca="false">MAX(0.05,MIN(0.92,0.43+$B$193))</f>
        <v>0.43</v>
      </c>
      <c r="F34" s="76" t="n">
        <f aca="false">MAX(0.05,MIN(0.92,0.46+$B$193))</f>
        <v>0.46</v>
      </c>
      <c r="G34" s="76" t="n">
        <f aca="false">$B$195</f>
        <v>0.46</v>
      </c>
      <c r="H34" s="80" t="n">
        <f aca="false">G34</f>
        <v>0.46</v>
      </c>
      <c r="I34" s="56" t="s">
        <v>304</v>
      </c>
      <c r="J34" s="56"/>
      <c r="K34" s="56"/>
      <c r="L34" s="56"/>
      <c r="M34" s="56"/>
      <c r="N34" s="56"/>
    </row>
    <row r="35" customFormat="false" ht="16.5" hidden="false" customHeight="true" outlineLevel="0" collapsed="false">
      <c r="A35" s="31" t="s">
        <v>268</v>
      </c>
      <c r="B35" s="32" t="n">
        <f aca="false">B32*B34</f>
        <v>26935.4991756002</v>
      </c>
      <c r="C35" s="32" t="n">
        <f aca="false">C32*C34</f>
        <v>10256.3999194108</v>
      </c>
      <c r="D35" s="32" t="n">
        <f aca="false">D32*D34</f>
        <v>7912.07993783122</v>
      </c>
      <c r="E35" s="32" t="n">
        <f aca="false">E32*E34</f>
        <v>10584.604716832</v>
      </c>
      <c r="F35" s="32" t="n">
        <f aca="false">F32*F34</f>
        <v>12455.3720621325</v>
      </c>
      <c r="G35" s="32" t="n">
        <f aca="false">G32*G34</f>
        <v>13451.8018271031</v>
      </c>
      <c r="H35" s="81" t="n">
        <f aca="false">H32*H34</f>
        <v>13788.0968727807</v>
      </c>
      <c r="I35" s="56" t="s">
        <v>269</v>
      </c>
      <c r="J35" s="56"/>
      <c r="K35" s="56"/>
      <c r="L35" s="56"/>
      <c r="M35" s="56"/>
      <c r="N35" s="56"/>
    </row>
    <row r="36" customFormat="false" ht="16.5" hidden="false" customHeight="true" outlineLevel="0" collapsed="false">
      <c r="A36" s="31" t="s">
        <v>270</v>
      </c>
      <c r="B36" s="32" t="n">
        <f aca="false">B32*$B$199</f>
        <v>2589.9999796492</v>
      </c>
      <c r="C36" s="32" t="n">
        <f aca="false">C32*$B$199</f>
        <v>1709.39998656847</v>
      </c>
      <c r="D36" s="32" t="n">
        <f aca="false">D32*$B$199</f>
        <v>1538.45998791163</v>
      </c>
      <c r="E36" s="32" t="n">
        <f aca="false">E32*$B$199</f>
        <v>1723.07518646102</v>
      </c>
      <c r="F36" s="32" t="n">
        <f aca="false">F32*$B$199</f>
        <v>1895.38270510712</v>
      </c>
      <c r="G36" s="32" t="n">
        <f aca="false">G32*$B$199</f>
        <v>2047.01332151569</v>
      </c>
      <c r="H36" s="81" t="n">
        <f aca="false">H32*$B$199</f>
        <v>2098.18865455359</v>
      </c>
      <c r="I36" s="56" t="s">
        <v>305</v>
      </c>
      <c r="J36" s="56"/>
      <c r="K36" s="56"/>
      <c r="L36" s="56"/>
      <c r="M36" s="56"/>
      <c r="N36" s="56"/>
    </row>
    <row r="37" customFormat="false" ht="16.5" hidden="false" customHeight="true" outlineLevel="0" collapsed="false">
      <c r="A37" s="35" t="s">
        <v>272</v>
      </c>
      <c r="B37" s="36" t="n">
        <f aca="false">B35-B36</f>
        <v>24345.499195951</v>
      </c>
      <c r="C37" s="36" t="n">
        <f aca="false">C35-C36</f>
        <v>8546.99993284237</v>
      </c>
      <c r="D37" s="36" t="n">
        <f aca="false">D35-D36</f>
        <v>6373.61994991959</v>
      </c>
      <c r="E37" s="36" t="n">
        <f aca="false">E35-E36</f>
        <v>8861.52953037097</v>
      </c>
      <c r="F37" s="36" t="n">
        <f aca="false">F35-F36</f>
        <v>10559.9893570254</v>
      </c>
      <c r="G37" s="36" t="n">
        <f aca="false">G35-G36</f>
        <v>11404.7885055874</v>
      </c>
      <c r="H37" s="79" t="n">
        <f aca="false">H35-H36</f>
        <v>11689.9082182271</v>
      </c>
      <c r="I37" s="56" t="s">
        <v>273</v>
      </c>
      <c r="J37" s="56"/>
      <c r="K37" s="56"/>
      <c r="L37" s="56"/>
      <c r="M37" s="56"/>
      <c r="N37" s="56"/>
    </row>
    <row r="38" customFormat="false" ht="16.5" hidden="false" customHeight="true" outlineLevel="0" collapsed="false">
      <c r="A38" s="31" t="s">
        <v>274</v>
      </c>
      <c r="B38" s="76" t="n">
        <f aca="false">B37/B32</f>
        <v>0.657986469925528</v>
      </c>
      <c r="C38" s="76" t="n">
        <f aca="false">C37/C32</f>
        <v>0.35</v>
      </c>
      <c r="D38" s="76" t="n">
        <f aca="false">D37/D32</f>
        <v>0.29</v>
      </c>
      <c r="E38" s="76" t="n">
        <f aca="false">E37/E32</f>
        <v>0.36</v>
      </c>
      <c r="F38" s="76" t="n">
        <f aca="false">F37/F32</f>
        <v>0.39</v>
      </c>
      <c r="G38" s="76" t="n">
        <f aca="false">G37/G32</f>
        <v>0.39</v>
      </c>
      <c r="H38" s="80" t="n">
        <f aca="false">H37/H32</f>
        <v>0.39</v>
      </c>
      <c r="I38" s="56" t="s">
        <v>306</v>
      </c>
      <c r="J38" s="56"/>
      <c r="K38" s="56"/>
      <c r="L38" s="56"/>
      <c r="M38" s="56"/>
      <c r="N38" s="56"/>
    </row>
    <row r="39" customFormat="false" ht="16.5" hidden="false" customHeight="true" outlineLevel="0" collapsed="false">
      <c r="A39" s="31" t="s">
        <v>307</v>
      </c>
      <c r="B39" s="32" t="n">
        <f aca="false">B37*(1-$B$201)</f>
        <v>20206.7643326393</v>
      </c>
      <c r="C39" s="32" t="n">
        <f aca="false">C37*(1-$B$201)</f>
        <v>7094.00994425916</v>
      </c>
      <c r="D39" s="32" t="n">
        <f aca="false">D37*(1-$B$201)</f>
        <v>5290.10455843326</v>
      </c>
      <c r="E39" s="32" t="n">
        <f aca="false">E37*(1-$B$201)</f>
        <v>7355.0695102079</v>
      </c>
      <c r="F39" s="32" t="n">
        <f aca="false">F37*(1-$B$201)</f>
        <v>8764.79116633108</v>
      </c>
      <c r="G39" s="32" t="n">
        <f aca="false">G37*(1-$B$201)</f>
        <v>9465.97445963757</v>
      </c>
      <c r="H39" s="81" t="n">
        <f aca="false">H37*(1-$B$201)</f>
        <v>9702.62382112851</v>
      </c>
      <c r="I39" s="56" t="s">
        <v>308</v>
      </c>
      <c r="J39" s="56"/>
      <c r="K39" s="56"/>
      <c r="L39" s="56"/>
      <c r="M39" s="56"/>
      <c r="N39" s="56"/>
    </row>
    <row r="40" customFormat="false" ht="16.5" hidden="false" customHeight="true" outlineLevel="0" collapsed="false">
      <c r="A40" s="31" t="s">
        <v>280</v>
      </c>
      <c r="B40" s="32" t="n">
        <f aca="false">B32*0.0074</f>
        <v>273.79999784863</v>
      </c>
      <c r="C40" s="32" t="n">
        <f aca="false">C32*0.0074</f>
        <v>180.707998580096</v>
      </c>
      <c r="D40" s="32" t="n">
        <f aca="false">D32*0.0074</f>
        <v>162.637198722086</v>
      </c>
      <c r="E40" s="32" t="n">
        <f aca="false">E32*0.0074</f>
        <v>182.153662568737</v>
      </c>
      <c r="F40" s="32" t="n">
        <f aca="false">F32*0.0074</f>
        <v>200.36902882561</v>
      </c>
      <c r="G40" s="32" t="n">
        <f aca="false">G32*0.0074</f>
        <v>216.398551131659</v>
      </c>
      <c r="H40" s="81" t="n">
        <f aca="false">H32*0.0074</f>
        <v>221.808514909951</v>
      </c>
      <c r="I40" s="56" t="s">
        <v>309</v>
      </c>
      <c r="J40" s="56"/>
      <c r="K40" s="56"/>
      <c r="L40" s="56"/>
      <c r="M40" s="56"/>
      <c r="N40" s="56"/>
    </row>
    <row r="41" customFormat="false" ht="16.5" hidden="false" customHeight="true" outlineLevel="0" collapsed="false">
      <c r="A41" s="31" t="s">
        <v>282</v>
      </c>
      <c r="B41" s="32" t="n">
        <f aca="false">-B32*$B$203</f>
        <v>-665.999994766938</v>
      </c>
      <c r="C41" s="32" t="n">
        <f aca="false">-C32*$B$203</f>
        <v>-439.559996546179</v>
      </c>
      <c r="D41" s="32" t="n">
        <f aca="false">-D32*$B$203</f>
        <v>-395.603996891561</v>
      </c>
      <c r="E41" s="32" t="n">
        <f aca="false">-E32*$B$203</f>
        <v>-443.076476518548</v>
      </c>
      <c r="F41" s="32" t="n">
        <f aca="false">-F32*$B$203</f>
        <v>-487.384124170403</v>
      </c>
      <c r="G41" s="32" t="n">
        <f aca="false">-G32*$B$203</f>
        <v>-526.374854104036</v>
      </c>
      <c r="H41" s="81" t="n">
        <f aca="false">-H32*$B$203</f>
        <v>-539.534225456636</v>
      </c>
      <c r="I41" s="56" t="s">
        <v>310</v>
      </c>
      <c r="J41" s="56"/>
      <c r="K41" s="56"/>
      <c r="L41" s="56"/>
      <c r="M41" s="56"/>
      <c r="N41" s="56"/>
    </row>
    <row r="42" customFormat="false" ht="16.5" hidden="false" customHeight="true" outlineLevel="0" collapsed="false">
      <c r="A42" s="48" t="s">
        <v>284</v>
      </c>
      <c r="B42" s="32" t="n">
        <f aca="false">-B32*$B$205</f>
        <v>-1368.99998924315</v>
      </c>
      <c r="C42" s="32" t="n">
        <f aca="false">-C32*$B$205</f>
        <v>-903.539992900479</v>
      </c>
      <c r="D42" s="32" t="n">
        <f aca="false">-D32*$B$205</f>
        <v>-813.185993610431</v>
      </c>
      <c r="E42" s="32" t="n">
        <f aca="false">-E32*$B$205</f>
        <v>-910.768312843683</v>
      </c>
      <c r="F42" s="32" t="n">
        <f aca="false">-F32*$B$205</f>
        <v>-1001.84514412805</v>
      </c>
      <c r="G42" s="32" t="n">
        <f aca="false">-G32*$B$205</f>
        <v>-1081.9927556583</v>
      </c>
      <c r="H42" s="81" t="n">
        <f aca="false">-H32*$B$205</f>
        <v>-1109.04257454975</v>
      </c>
      <c r="I42" s="56" t="s">
        <v>311</v>
      </c>
      <c r="J42" s="56"/>
      <c r="K42" s="56"/>
      <c r="L42" s="56"/>
      <c r="M42" s="56"/>
      <c r="N42" s="56"/>
    </row>
    <row r="43" customFormat="false" ht="16.5" hidden="false" customHeight="true" outlineLevel="0" collapsed="false">
      <c r="A43" s="31" t="s">
        <v>286</v>
      </c>
      <c r="B43" s="32" t="n">
        <f aca="false">B32*$B$207</f>
        <v>7399.99994185486</v>
      </c>
      <c r="C43" s="32" t="n">
        <f aca="false">C32*$B$207</f>
        <v>4883.99996162421</v>
      </c>
      <c r="D43" s="32" t="n">
        <f aca="false">D32*$B$207</f>
        <v>4395.59996546179</v>
      </c>
      <c r="E43" s="32" t="n">
        <f aca="false">E32*$B$207</f>
        <v>4923.0719613172</v>
      </c>
      <c r="F43" s="32" t="n">
        <f aca="false">F32*$B$207</f>
        <v>5415.37915744893</v>
      </c>
      <c r="G43" s="32" t="n">
        <f aca="false">G32*$B$207</f>
        <v>5848.60949004484</v>
      </c>
      <c r="H43" s="81" t="n">
        <f aca="false">H32*$B$207</f>
        <v>5994.82472729596</v>
      </c>
      <c r="I43" s="56" t="s">
        <v>312</v>
      </c>
      <c r="J43" s="56"/>
      <c r="K43" s="56"/>
      <c r="L43" s="56"/>
      <c r="M43" s="56"/>
      <c r="N43" s="56"/>
    </row>
    <row r="44" customFormat="false" ht="16.5" hidden="false" customHeight="true" outlineLevel="0" collapsed="false">
      <c r="A44" s="31" t="s">
        <v>288</v>
      </c>
      <c r="B44" s="32" t="n">
        <f aca="false">-(B43-'00-三表与联动'!E28*4*$B$207)</f>
        <v>-227.999941854863</v>
      </c>
      <c r="C44" s="32" t="n">
        <f aca="false">-(C43-B43)</f>
        <v>2515.99998023065</v>
      </c>
      <c r="D44" s="32" t="n">
        <f aca="false">-(D43-C43)</f>
        <v>488.39999616242</v>
      </c>
      <c r="E44" s="32" t="n">
        <f aca="false">-(E43-D43)</f>
        <v>-527.471995855416</v>
      </c>
      <c r="F44" s="32" t="n">
        <f aca="false">-(F43-E43)</f>
        <v>-492.307196131721</v>
      </c>
      <c r="G44" s="32" t="n">
        <f aca="false">-(G43-F43)</f>
        <v>-433.230332595915</v>
      </c>
      <c r="H44" s="81" t="n">
        <f aca="false">-(H43-G43)</f>
        <v>-146.21523725112</v>
      </c>
      <c r="I44" s="56" t="s">
        <v>313</v>
      </c>
      <c r="J44" s="56"/>
      <c r="K44" s="56"/>
      <c r="L44" s="56"/>
      <c r="M44" s="56"/>
      <c r="N44" s="56"/>
    </row>
    <row r="45" customFormat="false" ht="16.5" hidden="false" customHeight="true" outlineLevel="0" collapsed="false">
      <c r="A45" s="35" t="s">
        <v>290</v>
      </c>
      <c r="B45" s="78" t="n">
        <f aca="false">B39+B40+B41+B42+B44</f>
        <v>18217.564404623</v>
      </c>
      <c r="C45" s="78" t="n">
        <f aca="false">C39+C40+C41+C42+C44</f>
        <v>8447.61793362326</v>
      </c>
      <c r="D45" s="78" t="n">
        <f aca="false">D39+D40+D41+D42+D44</f>
        <v>4732.35176281578</v>
      </c>
      <c r="E45" s="78" t="n">
        <f aca="false">E39+E40+E41+E42+E44</f>
        <v>5655.90638755899</v>
      </c>
      <c r="F45" s="78" t="n">
        <f aca="false">F39+F40+F41+F42+F44</f>
        <v>6983.62373072652</v>
      </c>
      <c r="G45" s="78" t="n">
        <f aca="false">G39+G40+G41+G42+G44</f>
        <v>7640.77506841099</v>
      </c>
      <c r="H45" s="82" t="n">
        <f aca="false">H39+H40+H41+H42+H44</f>
        <v>8129.64029878095</v>
      </c>
      <c r="I45" s="56" t="s">
        <v>314</v>
      </c>
      <c r="J45" s="56"/>
      <c r="K45" s="56"/>
      <c r="L45" s="56"/>
      <c r="M45" s="56"/>
      <c r="N45" s="56"/>
    </row>
    <row r="46" customFormat="false" ht="16.5" hidden="false" customHeight="true" outlineLevel="0" collapsed="false">
      <c r="A46" s="31" t="s">
        <v>315</v>
      </c>
      <c r="B46" s="76" t="n">
        <f aca="false">B45/B32</f>
        <v>0.492366609399097</v>
      </c>
      <c r="C46" s="76" t="n">
        <f aca="false">C45/C32</f>
        <v>0.345930303030303</v>
      </c>
      <c r="D46" s="76" t="n">
        <f aca="false">D45/D32</f>
        <v>0.215322222222222</v>
      </c>
      <c r="E46" s="76" t="n">
        <f aca="false">E45/E32</f>
        <v>0.229771428571429</v>
      </c>
      <c r="F46" s="76" t="n">
        <f aca="false">F45/F32</f>
        <v>0.257918181818182</v>
      </c>
      <c r="G46" s="76" t="n">
        <f aca="false">G45/G32</f>
        <v>0.261285185185185</v>
      </c>
      <c r="H46" s="80" t="n">
        <f aca="false">H45/H32</f>
        <v>0.271221951219512</v>
      </c>
      <c r="I46" s="56" t="s">
        <v>316</v>
      </c>
      <c r="J46" s="56"/>
      <c r="K46" s="56"/>
      <c r="L46" s="56"/>
      <c r="M46" s="56"/>
      <c r="N46" s="56"/>
    </row>
    <row r="47" customFormat="false" ht="16.5" hidden="false" customHeight="true" outlineLevel="0" collapsed="false">
      <c r="A47" s="31" t="s">
        <v>317</v>
      </c>
      <c r="B47" s="83" t="n">
        <f aca="false">0.5</f>
        <v>0.5</v>
      </c>
      <c r="C47" s="83" t="n">
        <f aca="false">1.5</f>
        <v>1.5</v>
      </c>
      <c r="D47" s="83" t="n">
        <f aca="false">2.5</f>
        <v>2.5</v>
      </c>
      <c r="E47" s="83" t="n">
        <f aca="false">3.5</f>
        <v>3.5</v>
      </c>
      <c r="F47" s="83" t="n">
        <f aca="false">4.5</f>
        <v>4.5</v>
      </c>
      <c r="G47" s="83" t="n">
        <f aca="false">5.5</f>
        <v>5.5</v>
      </c>
      <c r="H47" s="81" t="s">
        <v>318</v>
      </c>
      <c r="I47" s="56" t="s">
        <v>319</v>
      </c>
      <c r="J47" s="56"/>
      <c r="K47" s="56"/>
      <c r="L47" s="56"/>
      <c r="M47" s="56"/>
      <c r="N47" s="56"/>
    </row>
    <row r="48" customFormat="false" ht="16.5" hidden="false" customHeight="true" outlineLevel="0" collapsed="false">
      <c r="A48" s="31" t="s">
        <v>320</v>
      </c>
      <c r="B48" s="83" t="n">
        <f aca="false">1/(1+$B$209)^B47</f>
        <v>0.936585811581694</v>
      </c>
      <c r="C48" s="83" t="n">
        <f aca="false">1/(1+$B$209)^C47</f>
        <v>0.821566501387451</v>
      </c>
      <c r="D48" s="83" t="n">
        <f aca="false">1/(1+$B$209)^D47</f>
        <v>0.720672369638115</v>
      </c>
      <c r="E48" s="83" t="n">
        <f aca="false">1/(1+$B$209)^E47</f>
        <v>0.632168745296592</v>
      </c>
      <c r="F48" s="83" t="n">
        <f aca="false">1/(1+$B$209)^F47</f>
        <v>0.554533987102273</v>
      </c>
      <c r="G48" s="83" t="n">
        <f aca="false">1/(1+$B$209)^G47</f>
        <v>0.486433322019538</v>
      </c>
      <c r="H48" s="81" t="s">
        <v>318</v>
      </c>
      <c r="I48" s="56" t="s">
        <v>321</v>
      </c>
      <c r="J48" s="56"/>
      <c r="K48" s="56"/>
      <c r="L48" s="56"/>
      <c r="M48" s="56"/>
      <c r="N48" s="56"/>
    </row>
    <row r="49" customFormat="false" ht="16.5" hidden="false" customHeight="true" outlineLevel="0" collapsed="false">
      <c r="A49" s="35" t="s">
        <v>322</v>
      </c>
      <c r="B49" s="78" t="n">
        <f aca="false">B45*B48</f>
        <v>17062.3123429456</v>
      </c>
      <c r="C49" s="78" t="n">
        <f aca="false">C45*C48</f>
        <v>6940.27991078474</v>
      </c>
      <c r="D49" s="78" t="n">
        <f aca="false">D45*D48</f>
        <v>3410.47515886955</v>
      </c>
      <c r="E49" s="78" t="n">
        <f aca="false">E45*E48</f>
        <v>3575.48724453815</v>
      </c>
      <c r="F49" s="78" t="n">
        <f aca="false">F45*F48</f>
        <v>3872.65671182183</v>
      </c>
      <c r="G49" s="78" t="n">
        <f aca="false">G45*G48</f>
        <v>3716.72759933122</v>
      </c>
      <c r="H49" s="79" t="s">
        <v>318</v>
      </c>
      <c r="I49" s="56" t="s">
        <v>323</v>
      </c>
      <c r="J49" s="56"/>
      <c r="K49" s="56"/>
      <c r="L49" s="56"/>
      <c r="M49" s="56"/>
      <c r="N49" s="56"/>
    </row>
    <row r="51" customFormat="false" ht="24" hidden="false" customHeight="true" outlineLevel="0" collapsed="false">
      <c r="A51" s="73" t="s">
        <v>324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  <row r="52" customFormat="false" ht="27" hidden="false" customHeight="true" outlineLevel="0" collapsed="false">
      <c r="A52" s="4" t="s">
        <v>325</v>
      </c>
      <c r="B52" s="4" t="s">
        <v>326</v>
      </c>
      <c r="C52" s="4"/>
      <c r="D52" s="4" t="s">
        <v>327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9.5" hidden="false" customHeight="true" outlineLevel="0" collapsed="false">
      <c r="A53" s="5" t="s">
        <v>20</v>
      </c>
      <c r="B53" s="84" t="n">
        <f aca="false">'00-三表与联动'!$B$13</f>
        <v>0.042</v>
      </c>
      <c r="C53" s="84"/>
      <c r="D53" s="68" t="s">
        <v>328</v>
      </c>
      <c r="E53" s="68"/>
      <c r="F53" s="68"/>
      <c r="G53" s="68"/>
      <c r="H53" s="68"/>
      <c r="I53" s="68"/>
      <c r="J53" s="68"/>
      <c r="K53" s="68"/>
      <c r="L53" s="68"/>
      <c r="M53" s="68"/>
      <c r="N53" s="68"/>
    </row>
    <row r="54" customFormat="false" ht="19.5" hidden="false" customHeight="true" outlineLevel="0" collapsed="false">
      <c r="A54" s="5" t="s">
        <v>22</v>
      </c>
      <c r="B54" s="84" t="n">
        <f aca="false">'00-三表与联动'!$B$14</f>
        <v>0.05</v>
      </c>
      <c r="C54" s="84"/>
      <c r="D54" s="56" t="s">
        <v>329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</row>
    <row r="55" customFormat="false" ht="28.5" hidden="false" customHeight="true" outlineLevel="0" collapsed="false">
      <c r="A55" s="5" t="s">
        <v>330</v>
      </c>
      <c r="B55" s="85" t="n">
        <f aca="false">(B56-B53)/B54</f>
        <v>1.96</v>
      </c>
      <c r="C55" s="85"/>
      <c r="D55" s="56" t="s">
        <v>331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customFormat="false" ht="19.5" hidden="false" customHeight="true" outlineLevel="0" collapsed="false">
      <c r="A56" s="5" t="s">
        <v>332</v>
      </c>
      <c r="B56" s="84" t="n">
        <f aca="false">$B$209</f>
        <v>0.14</v>
      </c>
      <c r="C56" s="84"/>
      <c r="D56" s="56" t="s">
        <v>333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</row>
    <row r="57" customFormat="false" ht="19.5" hidden="false" customHeight="true" outlineLevel="0" collapsed="false">
      <c r="A57" s="5" t="s">
        <v>334</v>
      </c>
      <c r="B57" s="86" t="n">
        <v>0</v>
      </c>
      <c r="C57" s="86"/>
      <c r="D57" s="68" t="s">
        <v>335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</row>
    <row r="58" customFormat="false" ht="19.5" hidden="false" customHeight="true" outlineLevel="0" collapsed="false">
      <c r="A58" s="5" t="s">
        <v>336</v>
      </c>
      <c r="B58" s="86" t="n">
        <v>0</v>
      </c>
      <c r="C58" s="86"/>
      <c r="D58" s="56" t="s">
        <v>337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60" customFormat="false" ht="24" hidden="false" customHeight="true" outlineLevel="0" collapsed="false">
      <c r="A60" s="73" t="s">
        <v>338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</row>
    <row r="61" customFormat="false" ht="27" hidden="false" customHeight="true" outlineLevel="0" collapsed="false">
      <c r="A61" s="4" t="s">
        <v>339</v>
      </c>
      <c r="B61" s="4" t="s">
        <v>340</v>
      </c>
      <c r="C61" s="4"/>
      <c r="D61" s="4" t="s">
        <v>341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8.75" hidden="false" customHeight="true" outlineLevel="0" collapsed="false">
      <c r="A62" s="63" t="s">
        <v>342</v>
      </c>
      <c r="B62" s="87" t="n">
        <f aca="false">SUM(B49:G49)</f>
        <v>38577.9389682911</v>
      </c>
      <c r="C62" s="87"/>
      <c r="D62" s="68" t="s">
        <v>343</v>
      </c>
      <c r="E62" s="68"/>
      <c r="F62" s="68"/>
      <c r="G62" s="68"/>
      <c r="H62" s="68"/>
      <c r="I62" s="68"/>
      <c r="J62" s="68"/>
      <c r="K62" s="68"/>
      <c r="L62" s="68"/>
      <c r="M62" s="68"/>
      <c r="N62" s="68"/>
    </row>
    <row r="63" customFormat="false" ht="18.75" hidden="false" customHeight="true" outlineLevel="0" collapsed="false">
      <c r="A63" s="63" t="s">
        <v>344</v>
      </c>
      <c r="B63" s="87" t="n">
        <f aca="false">H45/($B$209-$B$211)</f>
        <v>70692.5243372257</v>
      </c>
      <c r="C63" s="87"/>
      <c r="D63" s="56" t="s">
        <v>345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4" customFormat="false" ht="18.75" hidden="false" customHeight="true" outlineLevel="0" collapsed="false">
      <c r="A64" s="63" t="s">
        <v>346</v>
      </c>
      <c r="B64" s="87" t="n">
        <f aca="false">B63*G48/(1+$B$209)^0.5</f>
        <v>32206.5631098672</v>
      </c>
      <c r="C64" s="87"/>
      <c r="D64" s="56" t="s">
        <v>347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</row>
    <row r="65" customFormat="false" ht="18.75" hidden="false" customHeight="true" outlineLevel="0" collapsed="false">
      <c r="A65" s="63" t="s">
        <v>348</v>
      </c>
      <c r="B65" s="86" t="n">
        <f aca="false">B64/B66</f>
        <v>0.454994556213811</v>
      </c>
      <c r="C65" s="86"/>
      <c r="D65" s="56" t="s">
        <v>349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</row>
    <row r="66" customFormat="false" ht="18.75" hidden="false" customHeight="true" outlineLevel="0" collapsed="false">
      <c r="A66" s="63" t="s">
        <v>350</v>
      </c>
      <c r="B66" s="87" t="n">
        <f aca="false">B62+B64</f>
        <v>70784.5020781583</v>
      </c>
      <c r="C66" s="87"/>
      <c r="D66" s="56" t="s">
        <v>351</v>
      </c>
      <c r="E66" s="56"/>
      <c r="F66" s="56"/>
      <c r="G66" s="56"/>
      <c r="H66" s="56"/>
      <c r="I66" s="56"/>
      <c r="J66" s="56"/>
      <c r="K66" s="56"/>
      <c r="L66" s="56"/>
      <c r="M66" s="56"/>
      <c r="N66" s="56"/>
    </row>
    <row r="67" customFormat="false" ht="18.75" hidden="false" customHeight="true" outlineLevel="0" collapsed="false">
      <c r="A67" s="63" t="s">
        <v>352</v>
      </c>
      <c r="B67" s="87" t="n">
        <f aca="false">'00-三表与联动'!$B$10</f>
        <v>4762</v>
      </c>
      <c r="C67" s="87"/>
      <c r="D67" s="68" t="s">
        <v>353</v>
      </c>
      <c r="E67" s="68"/>
      <c r="F67" s="68"/>
      <c r="G67" s="68"/>
      <c r="H67" s="68"/>
      <c r="I67" s="68"/>
      <c r="J67" s="68"/>
      <c r="K67" s="68"/>
      <c r="L67" s="68"/>
      <c r="M67" s="68"/>
      <c r="N67" s="68"/>
    </row>
    <row r="68" customFormat="false" ht="18.75" hidden="false" customHeight="true" outlineLevel="0" collapsed="false">
      <c r="A68" s="63" t="s">
        <v>354</v>
      </c>
      <c r="B68" s="87" t="n">
        <f aca="false">'00-三表与联动'!$B$11</f>
        <v>1777</v>
      </c>
      <c r="C68" s="87"/>
      <c r="D68" s="68" t="s">
        <v>355</v>
      </c>
      <c r="E68" s="68"/>
      <c r="F68" s="68"/>
      <c r="G68" s="68"/>
      <c r="H68" s="68"/>
      <c r="I68" s="68"/>
      <c r="J68" s="68"/>
      <c r="K68" s="68"/>
      <c r="L68" s="68"/>
      <c r="M68" s="68"/>
      <c r="N68" s="68"/>
    </row>
    <row r="69" customFormat="false" ht="18.75" hidden="false" customHeight="true" outlineLevel="0" collapsed="false">
      <c r="A69" s="63" t="s">
        <v>356</v>
      </c>
      <c r="B69" s="87" t="n">
        <f aca="false">-'00-三表与联动'!$B$12</f>
        <v>-0</v>
      </c>
      <c r="C69" s="87"/>
      <c r="D69" s="56" t="s">
        <v>357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</row>
    <row r="70" customFormat="false" ht="18.75" hidden="false" customHeight="true" outlineLevel="0" collapsed="false">
      <c r="A70" s="63" t="s">
        <v>358</v>
      </c>
      <c r="B70" s="87" t="n">
        <f aca="false">B66+B67+B68+B69</f>
        <v>77323.5020781583</v>
      </c>
      <c r="C70" s="87"/>
      <c r="D70" s="56" t="s">
        <v>359</v>
      </c>
      <c r="E70" s="56"/>
      <c r="F70" s="56"/>
      <c r="G70" s="56"/>
      <c r="H70" s="56"/>
      <c r="I70" s="56"/>
      <c r="J70" s="56"/>
      <c r="K70" s="56"/>
      <c r="L70" s="56"/>
      <c r="M70" s="56"/>
      <c r="N70" s="56"/>
    </row>
    <row r="71" customFormat="false" ht="18.75" hidden="false" customHeight="true" outlineLevel="0" collapsed="false">
      <c r="A71" s="63" t="s">
        <v>360</v>
      </c>
      <c r="B71" s="88" t="n">
        <f aca="false">'00-三表与联动'!$B$9</f>
        <v>155</v>
      </c>
      <c r="C71" s="88"/>
      <c r="D71" s="56" t="s">
        <v>361</v>
      </c>
      <c r="E71" s="56"/>
      <c r="F71" s="56"/>
      <c r="G71" s="56"/>
      <c r="H71" s="56"/>
      <c r="I71" s="56"/>
      <c r="J71" s="56"/>
      <c r="K71" s="56"/>
      <c r="L71" s="56"/>
      <c r="M71" s="56"/>
      <c r="N71" s="56"/>
    </row>
    <row r="72" customFormat="false" ht="24" hidden="false" customHeight="true" outlineLevel="0" collapsed="false">
      <c r="A72" s="89" t="s">
        <v>362</v>
      </c>
      <c r="B72" s="90" t="n">
        <f aca="false">B70/B71</f>
        <v>498.861303730054</v>
      </c>
      <c r="C72" s="90"/>
      <c r="D72" s="56" t="s">
        <v>363</v>
      </c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 customFormat="false" ht="18.75" hidden="false" customHeight="true" outlineLevel="0" collapsed="false">
      <c r="A73" s="63" t="s">
        <v>364</v>
      </c>
      <c r="B73" s="91" t="n">
        <f aca="false">'00-三表与联动'!$B$6</f>
        <v>1500.17</v>
      </c>
      <c r="C73" s="91"/>
      <c r="D73" s="68" t="s">
        <v>365</v>
      </c>
      <c r="E73" s="68"/>
      <c r="F73" s="68"/>
      <c r="G73" s="68"/>
      <c r="H73" s="68"/>
      <c r="I73" s="68"/>
      <c r="J73" s="68"/>
      <c r="K73" s="68"/>
      <c r="L73" s="68"/>
      <c r="M73" s="68"/>
      <c r="N73" s="68"/>
    </row>
    <row r="74" customFormat="false" ht="24" hidden="false" customHeight="true" outlineLevel="0" collapsed="false">
      <c r="A74" s="89" t="s">
        <v>366</v>
      </c>
      <c r="B74" s="92" t="n">
        <f aca="false">B72/B73-1</f>
        <v>-0.667463484984999</v>
      </c>
      <c r="C74" s="92"/>
      <c r="D74" s="56" t="s">
        <v>367</v>
      </c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 customFormat="false" ht="20.25" hidden="false" customHeight="true" outlineLevel="0" collapsed="false">
      <c r="A75" s="30" t="s">
        <v>368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7" customFormat="false" ht="24" hidden="false" customHeight="true" outlineLevel="0" collapsed="false">
      <c r="A77" s="73" t="s">
        <v>369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</row>
    <row r="78" customFormat="false" ht="27" hidden="false" customHeight="true" outlineLevel="0" collapsed="false">
      <c r="A78" s="4" t="s">
        <v>370</v>
      </c>
      <c r="B78" s="4" t="s">
        <v>371</v>
      </c>
      <c r="C78" s="4"/>
      <c r="D78" s="4" t="s">
        <v>372</v>
      </c>
      <c r="E78" s="4"/>
      <c r="F78" s="4" t="s">
        <v>373</v>
      </c>
      <c r="G78" s="4"/>
      <c r="H78" s="4"/>
      <c r="I78" s="4"/>
      <c r="J78" s="4"/>
      <c r="K78" s="4"/>
      <c r="L78" s="4"/>
      <c r="M78" s="4"/>
      <c r="N78" s="4"/>
    </row>
    <row r="79" customFormat="false" ht="19.5" hidden="false" customHeight="true" outlineLevel="0" collapsed="false">
      <c r="A79" s="5" t="s">
        <v>374</v>
      </c>
      <c r="B79" s="93"/>
      <c r="C79" s="93"/>
      <c r="D79" s="94" t="n">
        <f aca="false">B63/(G37+G40)</f>
        <v>6.0830725804687</v>
      </c>
      <c r="E79" s="94"/>
      <c r="F79" s="56" t="s">
        <v>375</v>
      </c>
      <c r="G79" s="56"/>
      <c r="H79" s="56"/>
      <c r="I79" s="56"/>
      <c r="J79" s="56"/>
      <c r="K79" s="56"/>
      <c r="L79" s="56"/>
      <c r="M79" s="56"/>
      <c r="N79" s="56"/>
    </row>
    <row r="80" customFormat="false" ht="19.5" hidden="false" customHeight="true" outlineLevel="0" collapsed="false">
      <c r="A80" s="5" t="s">
        <v>376</v>
      </c>
      <c r="B80" s="93"/>
      <c r="C80" s="93"/>
      <c r="D80" s="94" t="n">
        <f aca="false">B63/G32</f>
        <v>2.41741304347826</v>
      </c>
      <c r="E80" s="94"/>
      <c r="F80" s="56" t="s">
        <v>377</v>
      </c>
      <c r="G80" s="56"/>
      <c r="H80" s="56"/>
      <c r="I80" s="56"/>
      <c r="J80" s="56"/>
      <c r="K80" s="56"/>
      <c r="L80" s="56"/>
      <c r="M80" s="56"/>
      <c r="N80" s="56"/>
    </row>
    <row r="81" customFormat="false" ht="19.5" hidden="false" customHeight="true" outlineLevel="0" collapsed="false">
      <c r="A81" s="5" t="s">
        <v>378</v>
      </c>
      <c r="B81" s="93"/>
      <c r="C81" s="93"/>
      <c r="D81" s="95" t="n">
        <f aca="false">B72/(F27/'00-三表与联动'!$B$9)</f>
        <v>3.87828262359427</v>
      </c>
      <c r="E81" s="95"/>
      <c r="F81" s="56" t="s">
        <v>379</v>
      </c>
      <c r="G81" s="56"/>
      <c r="H81" s="56"/>
      <c r="I81" s="56"/>
      <c r="J81" s="56"/>
      <c r="K81" s="56"/>
      <c r="L81" s="56"/>
      <c r="M81" s="56"/>
      <c r="N81" s="56"/>
    </row>
    <row r="82" customFormat="false" ht="19.5" hidden="false" customHeight="true" outlineLevel="0" collapsed="false">
      <c r="A82" s="5" t="s">
        <v>380</v>
      </c>
      <c r="B82" s="93"/>
      <c r="C82" s="93"/>
      <c r="D82" s="95" t="n">
        <f aca="false">'00-三表与联动'!$B$6/(F27/'00-三表与联动'!$B$9)</f>
        <v>11.6627270945548</v>
      </c>
      <c r="E82" s="95"/>
      <c r="F82" s="56" t="s">
        <v>381</v>
      </c>
      <c r="G82" s="56"/>
      <c r="H82" s="56"/>
      <c r="I82" s="56"/>
      <c r="J82" s="56"/>
      <c r="K82" s="56"/>
      <c r="L82" s="56"/>
      <c r="M82" s="56"/>
      <c r="N82" s="56"/>
    </row>
    <row r="83" customFormat="false" ht="19.5" hidden="false" customHeight="true" outlineLevel="0" collapsed="false">
      <c r="A83" s="5" t="s">
        <v>382</v>
      </c>
      <c r="B83" s="93"/>
      <c r="C83" s="93"/>
      <c r="D83" s="94" t="n">
        <f aca="false">'00-三表与联动'!$B$6*'00-三表与联动'!$B$9/B70</f>
        <v>3.00718854876701</v>
      </c>
      <c r="E83" s="94"/>
      <c r="F83" s="56" t="s">
        <v>383</v>
      </c>
      <c r="G83" s="56"/>
      <c r="H83" s="56"/>
      <c r="I83" s="56"/>
      <c r="J83" s="56"/>
      <c r="K83" s="56"/>
      <c r="L83" s="56"/>
      <c r="M83" s="56"/>
      <c r="N83" s="56"/>
    </row>
    <row r="85" customFormat="false" ht="24" hidden="false" customHeight="true" outlineLevel="0" collapsed="false">
      <c r="A85" s="73" t="s">
        <v>384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</row>
    <row r="86" customFormat="false" ht="33" hidden="false" customHeight="true" outlineLevel="0" collapsed="false">
      <c r="A86" s="74" t="s">
        <v>385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customFormat="false" ht="33" hidden="false" customHeight="true" outlineLevel="0" collapsed="false">
      <c r="A87" s="30" t="s">
        <v>386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 customFormat="false" ht="33" hidden="false" customHeight="true" outlineLevel="0" collapsed="false">
      <c r="A88" s="30" t="s">
        <v>387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customFormat="false" ht="27" hidden="false" customHeight="true" outlineLevel="0" collapsed="false">
      <c r="A89" s="4" t="s">
        <v>388</v>
      </c>
      <c r="B89" s="13" t="s">
        <v>294</v>
      </c>
      <c r="C89" s="13" t="s">
        <v>295</v>
      </c>
      <c r="D89" s="13" t="s">
        <v>296</v>
      </c>
      <c r="E89" s="13" t="s">
        <v>297</v>
      </c>
      <c r="F89" s="13" t="s">
        <v>298</v>
      </c>
      <c r="G89" s="13" t="s">
        <v>299</v>
      </c>
      <c r="H89" s="4" t="s">
        <v>5</v>
      </c>
      <c r="I89" s="4"/>
      <c r="J89" s="4"/>
      <c r="K89" s="4"/>
      <c r="L89" s="4"/>
      <c r="M89" s="4"/>
      <c r="N89" s="4"/>
    </row>
    <row r="90" customFormat="false" ht="16.5" hidden="false" customHeight="true" outlineLevel="0" collapsed="false">
      <c r="A90" s="31" t="s">
        <v>389</v>
      </c>
      <c r="B90" s="32" t="n">
        <f aca="false">B45</f>
        <v>18217.564404623</v>
      </c>
      <c r="C90" s="32" t="n">
        <f aca="false">C45</f>
        <v>8447.61793362326</v>
      </c>
      <c r="D90" s="32" t="n">
        <f aca="false">D45</f>
        <v>4732.35176281578</v>
      </c>
      <c r="E90" s="32" t="n">
        <f aca="false">E45</f>
        <v>5655.90638755899</v>
      </c>
      <c r="F90" s="32" t="n">
        <f aca="false">F45</f>
        <v>6983.62373072652</v>
      </c>
      <c r="G90" s="32" t="n">
        <f aca="false">G45</f>
        <v>7640.77506841099</v>
      </c>
      <c r="H90" s="56" t="s">
        <v>390</v>
      </c>
      <c r="I90" s="56"/>
      <c r="J90" s="56"/>
      <c r="K90" s="56"/>
      <c r="L90" s="56"/>
      <c r="M90" s="56"/>
      <c r="N90" s="56"/>
    </row>
    <row r="91" customFormat="false" ht="16.5" hidden="false" customHeight="true" outlineLevel="0" collapsed="false">
      <c r="A91" s="48" t="s">
        <v>391</v>
      </c>
      <c r="B91" s="43" t="n">
        <f aca="false">$B$133</f>
        <v>1</v>
      </c>
      <c r="C91" s="43" t="n">
        <f aca="false">$B$133</f>
        <v>1</v>
      </c>
      <c r="D91" s="43" t="n">
        <f aca="false">$B$133</f>
        <v>1</v>
      </c>
      <c r="E91" s="43" t="n">
        <f aca="false">$B$133</f>
        <v>1</v>
      </c>
      <c r="F91" s="43" t="n">
        <f aca="false">$B$133</f>
        <v>1</v>
      </c>
      <c r="G91" s="43" t="n">
        <f aca="false">$B$133</f>
        <v>1</v>
      </c>
      <c r="H91" s="56" t="s">
        <v>392</v>
      </c>
      <c r="I91" s="56"/>
      <c r="J91" s="56"/>
      <c r="K91" s="56"/>
      <c r="L91" s="56"/>
      <c r="M91" s="56"/>
      <c r="N91" s="56"/>
    </row>
    <row r="92" customFormat="false" ht="16.5" hidden="false" customHeight="true" outlineLevel="0" collapsed="false">
      <c r="A92" s="31" t="s">
        <v>393</v>
      </c>
      <c r="B92" s="32" t="n">
        <f aca="false">MAX(0,B90*B91)</f>
        <v>18217.564404623</v>
      </c>
      <c r="C92" s="32" t="n">
        <f aca="false">MAX(0,C90*C91)</f>
        <v>8447.61793362326</v>
      </c>
      <c r="D92" s="32" t="n">
        <f aca="false">MAX(0,D90*D91)</f>
        <v>4732.35176281578</v>
      </c>
      <c r="E92" s="32" t="n">
        <f aca="false">MAX(0,E90*E91)</f>
        <v>5655.90638755899</v>
      </c>
      <c r="F92" s="32" t="n">
        <f aca="false">MAX(0,F90*F91)</f>
        <v>6983.62373072652</v>
      </c>
      <c r="G92" s="32" t="n">
        <f aca="false">MAX(0,G90*G91)</f>
        <v>7640.77506841099</v>
      </c>
      <c r="H92" s="56" t="s">
        <v>394</v>
      </c>
      <c r="I92" s="56"/>
      <c r="J92" s="56"/>
      <c r="K92" s="56"/>
      <c r="L92" s="56"/>
      <c r="M92" s="56"/>
      <c r="N92" s="56"/>
    </row>
    <row r="93" customFormat="false" ht="16.5" hidden="false" customHeight="true" outlineLevel="0" collapsed="false">
      <c r="A93" s="31" t="s">
        <v>395</v>
      </c>
      <c r="B93" s="96" t="n">
        <f aca="false">'00-三表与联动'!$B$6*$B$135*(1+$B$209)^0.5</f>
        <v>1601.74324813498</v>
      </c>
      <c r="C93" s="96" t="n">
        <f aca="false">'00-三表与联动'!$B$6*$B$135*(1+$B$209)^1.5</f>
        <v>1825.98730287388</v>
      </c>
      <c r="D93" s="96" t="n">
        <f aca="false">'00-三表与联动'!$B$6*$B$135*(1+$B$209)^2.5</f>
        <v>2081.62552527622</v>
      </c>
      <c r="E93" s="96" t="n">
        <f aca="false">'00-三表与联动'!$B$6*$B$135*(1+$B$209)^3.5</f>
        <v>2373.05309881489</v>
      </c>
      <c r="F93" s="96" t="n">
        <f aca="false">'00-三表与联动'!$B$6*$B$135*(1+$B$209)^4.5</f>
        <v>2705.28053264898</v>
      </c>
      <c r="G93" s="96" t="n">
        <f aca="false">'00-三表与联动'!$B$6*$B$135*(1+$B$209)^5.5</f>
        <v>3084.01980721984</v>
      </c>
      <c r="H93" s="56" t="s">
        <v>396</v>
      </c>
      <c r="I93" s="56"/>
      <c r="J93" s="56"/>
      <c r="K93" s="56"/>
      <c r="L93" s="56"/>
      <c r="M93" s="56"/>
      <c r="N93" s="56"/>
    </row>
    <row r="94" customFormat="false" ht="16.5" hidden="false" customHeight="true" outlineLevel="0" collapsed="false">
      <c r="A94" s="31" t="s">
        <v>397</v>
      </c>
      <c r="B94" s="97" t="n">
        <f aca="false">B92/B93</f>
        <v>11.3735858888963</v>
      </c>
      <c r="C94" s="97" t="n">
        <f aca="false">C92/C93</f>
        <v>4.62632895657475</v>
      </c>
      <c r="D94" s="97" t="n">
        <f aca="false">D92/D93</f>
        <v>2.27339245476816</v>
      </c>
      <c r="E94" s="97" t="n">
        <f aca="false">E92/E93</f>
        <v>2.38338804571358</v>
      </c>
      <c r="F94" s="97" t="n">
        <f aca="false">F92/F93</f>
        <v>2.58147857364287</v>
      </c>
      <c r="G94" s="97" t="n">
        <f aca="false">G92/G93</f>
        <v>2.47753761195812</v>
      </c>
      <c r="H94" s="56" t="s">
        <v>398</v>
      </c>
      <c r="I94" s="56"/>
      <c r="J94" s="56"/>
      <c r="K94" s="56"/>
      <c r="L94" s="56"/>
      <c r="M94" s="56"/>
      <c r="N94" s="56"/>
    </row>
    <row r="95" customFormat="false" ht="16.5" hidden="false" customHeight="true" outlineLevel="0" collapsed="false">
      <c r="A95" s="31" t="s">
        <v>399</v>
      </c>
      <c r="B95" s="97" t="n">
        <f aca="false">B32*0.0115/B93</f>
        <v>0.265648066350268</v>
      </c>
      <c r="C95" s="97" t="n">
        <f aca="false">C32*0.0115/C93</f>
        <v>0.153796248939629</v>
      </c>
      <c r="D95" s="97" t="n">
        <f aca="false">D32*0.0115/D93</f>
        <v>0.121418091268128</v>
      </c>
      <c r="E95" s="97" t="n">
        <f aca="false">E32*0.0115/E93</f>
        <v>0.119287949316055</v>
      </c>
      <c r="F95" s="97" t="n">
        <f aca="false">F32*0.0115/F93</f>
        <v>0.11510240723479</v>
      </c>
      <c r="G95" s="97" t="n">
        <f aca="false">G32*0.0115/G93</f>
        <v>0.10904438580138</v>
      </c>
      <c r="H95" s="56" t="s">
        <v>400</v>
      </c>
      <c r="I95" s="56"/>
      <c r="J95" s="56"/>
      <c r="K95" s="56"/>
      <c r="L95" s="56"/>
      <c r="M95" s="56"/>
      <c r="N95" s="56"/>
    </row>
    <row r="96" customFormat="false" ht="16.5" hidden="false" customHeight="true" outlineLevel="0" collapsed="false">
      <c r="A96" s="31" t="s">
        <v>401</v>
      </c>
      <c r="B96" s="97" t="n">
        <f aca="false">'00-三表与联动'!$B$9</f>
        <v>155</v>
      </c>
      <c r="C96" s="97" t="n">
        <f aca="false">B97</f>
        <v>143.892062177454</v>
      </c>
      <c r="D96" s="97" t="n">
        <f aca="false">C97</f>
        <v>139.419529469819</v>
      </c>
      <c r="E96" s="97" t="n">
        <f aca="false">D97</f>
        <v>137.267555106319</v>
      </c>
      <c r="F96" s="97" t="n">
        <f aca="false">E97</f>
        <v>135.003455009921</v>
      </c>
      <c r="G96" s="97" t="n">
        <f aca="false">F97</f>
        <v>132.537078843513</v>
      </c>
      <c r="H96" s="68" t="s">
        <v>402</v>
      </c>
      <c r="I96" s="68"/>
      <c r="J96" s="68"/>
      <c r="K96" s="68"/>
      <c r="L96" s="68"/>
      <c r="M96" s="68"/>
      <c r="N96" s="68"/>
    </row>
    <row r="97" customFormat="false" ht="16.5" hidden="false" customHeight="true" outlineLevel="0" collapsed="false">
      <c r="A97" s="35" t="s">
        <v>403</v>
      </c>
      <c r="B97" s="98" t="n">
        <f aca="false">MAX(20,B96-B94+B95)</f>
        <v>143.892062177454</v>
      </c>
      <c r="C97" s="98" t="n">
        <f aca="false">MAX(20,C96-C94+C95)</f>
        <v>139.419529469819</v>
      </c>
      <c r="D97" s="98" t="n">
        <f aca="false">MAX(20,D96-D94+D95)</f>
        <v>137.267555106319</v>
      </c>
      <c r="E97" s="98" t="n">
        <f aca="false">MAX(20,E96-E94+E95)</f>
        <v>135.003455009921</v>
      </c>
      <c r="F97" s="98" t="n">
        <f aca="false">MAX(20,F96-F94+F95)</f>
        <v>132.537078843513</v>
      </c>
      <c r="G97" s="98" t="n">
        <f aca="false">MAX(20,G96-G94+G95)</f>
        <v>130.168585617356</v>
      </c>
      <c r="H97" s="56" t="s">
        <v>404</v>
      </c>
      <c r="I97" s="56"/>
      <c r="J97" s="56"/>
      <c r="K97" s="56"/>
      <c r="L97" s="56"/>
      <c r="M97" s="56"/>
      <c r="N97" s="56"/>
    </row>
    <row r="98" customFormat="false" ht="16.5" hidden="false" customHeight="true" outlineLevel="0" collapsed="false">
      <c r="A98" s="31" t="s">
        <v>405</v>
      </c>
      <c r="B98" s="32" t="n">
        <f aca="false">('00-三表与联动'!$B$10+'00-三表与联动'!$B$11-'00-三表与联动'!$B$12)+B90-B92</f>
        <v>6539</v>
      </c>
      <c r="C98" s="32" t="n">
        <f aca="false">B98+C90-C92</f>
        <v>6539</v>
      </c>
      <c r="D98" s="32" t="n">
        <f aca="false">C98+D90-D92</f>
        <v>6539</v>
      </c>
      <c r="E98" s="32" t="n">
        <f aca="false">D98+E90-E92</f>
        <v>6539</v>
      </c>
      <c r="F98" s="32" t="n">
        <f aca="false">E98+F90-F92</f>
        <v>6539</v>
      </c>
      <c r="G98" s="32" t="n">
        <f aca="false">F98+G90-G92</f>
        <v>6539</v>
      </c>
      <c r="H98" s="56" t="s">
        <v>406</v>
      </c>
      <c r="I98" s="56"/>
      <c r="J98" s="56"/>
      <c r="K98" s="56"/>
      <c r="L98" s="56"/>
      <c r="M98" s="56"/>
      <c r="N98" s="56"/>
    </row>
    <row r="99" customFormat="false" ht="16.5" hidden="false" customHeight="true" outlineLevel="0" collapsed="false">
      <c r="A99" s="31" t="s">
        <v>307</v>
      </c>
      <c r="B99" s="32" t="n">
        <f aca="false">B39</f>
        <v>20206.7643326393</v>
      </c>
      <c r="C99" s="32" t="n">
        <f aca="false">C39</f>
        <v>7094.00994425916</v>
      </c>
      <c r="D99" s="32" t="n">
        <f aca="false">D39</f>
        <v>5290.10455843326</v>
      </c>
      <c r="E99" s="32" t="n">
        <f aca="false">E39</f>
        <v>7355.0695102079</v>
      </c>
      <c r="F99" s="32" t="n">
        <f aca="false">F39</f>
        <v>8764.79116633108</v>
      </c>
      <c r="G99" s="32" t="n">
        <f aca="false">G39</f>
        <v>9465.97445963757</v>
      </c>
      <c r="H99" s="56" t="s">
        <v>407</v>
      </c>
      <c r="I99" s="56"/>
      <c r="J99" s="56"/>
      <c r="K99" s="56"/>
      <c r="L99" s="56"/>
      <c r="M99" s="56"/>
      <c r="N99" s="56"/>
    </row>
    <row r="100" customFormat="false" ht="16.5" hidden="false" customHeight="true" outlineLevel="0" collapsed="false">
      <c r="A100" s="35" t="s">
        <v>408</v>
      </c>
      <c r="B100" s="99" t="n">
        <f aca="false">B99/B97</f>
        <v>140.430014184656</v>
      </c>
      <c r="C100" s="99" t="n">
        <f aca="false">C99/C97</f>
        <v>50.8824694161291</v>
      </c>
      <c r="D100" s="99" t="n">
        <f aca="false">D99/D97</f>
        <v>38.5386375850861</v>
      </c>
      <c r="E100" s="99" t="n">
        <f aca="false">E99/E97</f>
        <v>54.4806020680536</v>
      </c>
      <c r="F100" s="99" t="n">
        <f aca="false">F99/F97</f>
        <v>66.130861211146</v>
      </c>
      <c r="G100" s="99" t="n">
        <f aca="false">G99/G97</f>
        <v>72.7208828055008</v>
      </c>
      <c r="H100" s="56" t="s">
        <v>409</v>
      </c>
      <c r="I100" s="56"/>
      <c r="J100" s="56"/>
      <c r="K100" s="56"/>
      <c r="L100" s="56"/>
      <c r="M100" s="56"/>
      <c r="N100" s="56"/>
    </row>
    <row r="101" customFormat="false" ht="16.5" hidden="false" customHeight="true" outlineLevel="0" collapsed="false">
      <c r="A101" s="31" t="s">
        <v>410</v>
      </c>
      <c r="B101" s="100" t="n">
        <f aca="false">B98/B97</f>
        <v>45.4437854392261</v>
      </c>
      <c r="C101" s="100" t="n">
        <f aca="false">C98/C97</f>
        <v>46.901607148341</v>
      </c>
      <c r="D101" s="100" t="n">
        <f aca="false">D98/D97</f>
        <v>47.636894202241</v>
      </c>
      <c r="E101" s="100" t="n">
        <f aca="false">E98/E97</f>
        <v>48.4357974358467</v>
      </c>
      <c r="F101" s="100" t="n">
        <f aca="false">F98/F97</f>
        <v>49.3371368756407</v>
      </c>
      <c r="G101" s="100" t="n">
        <f aca="false">G98/G97</f>
        <v>50.2348548152935</v>
      </c>
      <c r="H101" s="56" t="s">
        <v>411</v>
      </c>
      <c r="I101" s="56"/>
      <c r="J101" s="56"/>
      <c r="K101" s="56"/>
      <c r="L101" s="56"/>
      <c r="M101" s="56"/>
      <c r="N101" s="56"/>
    </row>
    <row r="102" customFormat="false" ht="16.5" hidden="false" customHeight="true" outlineLevel="0" collapsed="false">
      <c r="A102" s="35" t="s">
        <v>412</v>
      </c>
      <c r="B102" s="101" t="n">
        <f aca="false">$B$137</f>
        <v>5</v>
      </c>
      <c r="C102" s="101" t="n">
        <f aca="false">$B$139</f>
        <v>8</v>
      </c>
      <c r="D102" s="101" t="n">
        <f aca="false">$B$139+($B$141-$B$139)*1/4</f>
        <v>8.25</v>
      </c>
      <c r="E102" s="101" t="n">
        <f aca="false">$B$139+($B$141-$B$139)*2/4</f>
        <v>8.5</v>
      </c>
      <c r="F102" s="101" t="n">
        <f aca="false">$B$139+($B$141-$B$139)*3/4</f>
        <v>8.75</v>
      </c>
      <c r="G102" s="101" t="n">
        <f aca="false">$B$141</f>
        <v>9</v>
      </c>
      <c r="H102" s="68" t="s">
        <v>413</v>
      </c>
      <c r="I102" s="68"/>
      <c r="J102" s="68"/>
      <c r="K102" s="68"/>
      <c r="L102" s="68"/>
      <c r="M102" s="68"/>
      <c r="N102" s="68"/>
    </row>
    <row r="103" customFormat="false" ht="16.5" hidden="false" customHeight="true" outlineLevel="0" collapsed="false">
      <c r="A103" s="35" t="s">
        <v>414</v>
      </c>
      <c r="B103" s="102" t="n">
        <f aca="false">B100*B102+B101</f>
        <v>747.593856362507</v>
      </c>
      <c r="C103" s="102" t="n">
        <f aca="false">C100*C102+C101</f>
        <v>453.961362477374</v>
      </c>
      <c r="D103" s="102" t="n">
        <f aca="false">D100*D102+D101</f>
        <v>365.580654279202</v>
      </c>
      <c r="E103" s="102" t="n">
        <f aca="false">E100*E102+E101</f>
        <v>511.520915014302</v>
      </c>
      <c r="F103" s="102" t="n">
        <f aca="false">F100*F102+F101</f>
        <v>627.982172473168</v>
      </c>
      <c r="G103" s="102" t="n">
        <f aca="false">G100*G102+G101</f>
        <v>704.7228000648</v>
      </c>
      <c r="H103" s="56" t="s">
        <v>415</v>
      </c>
      <c r="I103" s="56"/>
      <c r="J103" s="56"/>
      <c r="K103" s="56"/>
      <c r="L103" s="56"/>
      <c r="M103" s="56"/>
      <c r="N103" s="56"/>
    </row>
    <row r="104" customFormat="false" ht="16.5" hidden="false" customHeight="true" outlineLevel="0" collapsed="false">
      <c r="A104" s="31" t="s">
        <v>416</v>
      </c>
      <c r="B104" s="103" t="n">
        <f aca="false">1/(1+$B$209)^1</f>
        <v>0.87719298245614</v>
      </c>
      <c r="C104" s="103" t="n">
        <f aca="false">1/(1+$B$209)^2</f>
        <v>0.769467528470298</v>
      </c>
      <c r="D104" s="103" t="n">
        <f aca="false">1/(1+$B$209)^3</f>
        <v>0.674971516202016</v>
      </c>
      <c r="E104" s="103" t="n">
        <f aca="false">1/(1+$B$209)^4</f>
        <v>0.592080277370189</v>
      </c>
      <c r="F104" s="103" t="n">
        <f aca="false">1/(1+$B$209)^5</f>
        <v>0.519368664359815</v>
      </c>
      <c r="G104" s="103" t="n">
        <f aca="false">1/(1+$B$209)^6</f>
        <v>0.455586547684048</v>
      </c>
      <c r="H104" s="56" t="s">
        <v>417</v>
      </c>
      <c r="I104" s="56"/>
      <c r="J104" s="56"/>
      <c r="K104" s="56"/>
      <c r="L104" s="56"/>
      <c r="M104" s="56"/>
      <c r="N104" s="56"/>
    </row>
    <row r="105" customFormat="false" ht="16.5" hidden="false" customHeight="true" outlineLevel="0" collapsed="false">
      <c r="A105" s="35" t="s">
        <v>418</v>
      </c>
      <c r="B105" s="102" t="n">
        <f aca="false">B103*B104</f>
        <v>655.784084528515</v>
      </c>
      <c r="C105" s="102" t="n">
        <f aca="false">C103*C104</f>
        <v>349.308527606474</v>
      </c>
      <c r="D105" s="102" t="n">
        <f aca="false">D103*D104</f>
        <v>246.756528512958</v>
      </c>
      <c r="E105" s="102" t="n">
        <f aca="false">E103*E104</f>
        <v>302.861445242321</v>
      </c>
      <c r="F105" s="102" t="n">
        <f aca="false">F103*F104</f>
        <v>326.154262159164</v>
      </c>
      <c r="G105" s="102" t="n">
        <f aca="false">G103*G104</f>
        <v>321.062227555758</v>
      </c>
      <c r="H105" s="56" t="s">
        <v>419</v>
      </c>
      <c r="I105" s="56"/>
      <c r="J105" s="56"/>
      <c r="K105" s="56"/>
      <c r="L105" s="56"/>
      <c r="M105" s="56"/>
      <c r="N105" s="56"/>
    </row>
    <row r="107" customFormat="false" ht="19.5" hidden="false" customHeight="true" outlineLevel="0" collapsed="false">
      <c r="A107" s="104" t="s">
        <v>420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</row>
    <row r="108" customFormat="false" ht="27" hidden="false" customHeight="true" outlineLevel="0" collapsed="false">
      <c r="A108" s="4" t="s">
        <v>421</v>
      </c>
      <c r="B108" s="4" t="s">
        <v>422</v>
      </c>
      <c r="C108" s="4" t="s">
        <v>410</v>
      </c>
      <c r="D108" s="4" t="s">
        <v>423</v>
      </c>
      <c r="E108" s="4" t="s">
        <v>424</v>
      </c>
      <c r="F108" s="4" t="s">
        <v>425</v>
      </c>
      <c r="G108" s="4" t="s">
        <v>418</v>
      </c>
      <c r="H108" s="4" t="s">
        <v>426</v>
      </c>
      <c r="I108" s="4" t="s">
        <v>427</v>
      </c>
      <c r="J108" s="4"/>
      <c r="K108" s="4"/>
      <c r="L108" s="4"/>
      <c r="M108" s="4"/>
      <c r="N108" s="4"/>
    </row>
    <row r="109" customFormat="false" ht="30" hidden="false" customHeight="true" outlineLevel="0" collapsed="false">
      <c r="A109" s="105" t="s">
        <v>428</v>
      </c>
      <c r="B109" s="106" t="n">
        <f aca="false">B100</f>
        <v>140.430014184656</v>
      </c>
      <c r="C109" s="106" t="n">
        <f aca="false">B101</f>
        <v>45.4437854392261</v>
      </c>
      <c r="D109" s="107" t="n">
        <f aca="false">B102</f>
        <v>5</v>
      </c>
      <c r="E109" s="15" t="n">
        <f aca="false">B103</f>
        <v>747.593856362507</v>
      </c>
      <c r="F109" s="108" t="n">
        <v>1</v>
      </c>
      <c r="G109" s="15" t="n">
        <f aca="false">B103/(1+$B$209)^1</f>
        <v>655.784084528515</v>
      </c>
      <c r="H109" s="16" t="n">
        <f aca="false">B103/(1+$B$209)^1/'00-三表与联动'!$B$6-1</f>
        <v>-0.562860152830336</v>
      </c>
      <c r="I109" s="56" t="s">
        <v>429</v>
      </c>
      <c r="J109" s="56"/>
      <c r="K109" s="56"/>
      <c r="L109" s="56"/>
      <c r="M109" s="56"/>
      <c r="N109" s="56"/>
    </row>
    <row r="110" customFormat="false" ht="25.5" hidden="false" customHeight="true" outlineLevel="0" collapsed="false">
      <c r="A110" s="105" t="s">
        <v>430</v>
      </c>
      <c r="B110" s="106" t="n">
        <f aca="false">C100</f>
        <v>50.8824694161291</v>
      </c>
      <c r="C110" s="106" t="n">
        <f aca="false">C101</f>
        <v>46.901607148341</v>
      </c>
      <c r="D110" s="107" t="n">
        <f aca="false">C102</f>
        <v>8</v>
      </c>
      <c r="E110" s="15" t="n">
        <f aca="false">C103</f>
        <v>453.961362477374</v>
      </c>
      <c r="F110" s="108" t="n">
        <v>2</v>
      </c>
      <c r="G110" s="15" t="n">
        <f aca="false">C103/(1+$B$209)^2</f>
        <v>349.308527606474</v>
      </c>
      <c r="H110" s="16" t="n">
        <f aca="false">C103/(1+$B$209)^2/'00-三表与联动'!$B$6-1</f>
        <v>-0.767154037471437</v>
      </c>
      <c r="I110" s="56" t="s">
        <v>431</v>
      </c>
      <c r="J110" s="56"/>
      <c r="K110" s="56"/>
      <c r="L110" s="56"/>
      <c r="M110" s="56"/>
      <c r="N110" s="56"/>
    </row>
    <row r="111" customFormat="false" ht="25.5" hidden="false" customHeight="true" outlineLevel="0" collapsed="false">
      <c r="A111" s="105" t="s">
        <v>432</v>
      </c>
      <c r="B111" s="106" t="n">
        <f aca="false">G100</f>
        <v>72.7208828055008</v>
      </c>
      <c r="C111" s="106" t="n">
        <f aca="false">G101</f>
        <v>50.2348548152935</v>
      </c>
      <c r="D111" s="107" t="n">
        <f aca="false">G102</f>
        <v>9</v>
      </c>
      <c r="E111" s="15" t="n">
        <f aca="false">G103</f>
        <v>704.7228000648</v>
      </c>
      <c r="F111" s="108" t="n">
        <v>6</v>
      </c>
      <c r="G111" s="15" t="n">
        <f aca="false">G103/(1+$B$209)^6</f>
        <v>321.062227555758</v>
      </c>
      <c r="H111" s="16" t="n">
        <f aca="false">G103/(1+$B$209)^6/'00-三表与联动'!$B$6-1</f>
        <v>-0.785982770248866</v>
      </c>
      <c r="I111" s="56" t="s">
        <v>433</v>
      </c>
      <c r="J111" s="56"/>
      <c r="K111" s="56"/>
      <c r="L111" s="56"/>
      <c r="M111" s="56"/>
      <c r="N111" s="56"/>
    </row>
    <row r="112" customFormat="false" ht="20.25" hidden="false" customHeight="true" outlineLevel="0" collapsed="false">
      <c r="A112" s="29" t="s">
        <v>434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4" customFormat="false" ht="19.5" hidden="false" customHeight="true" outlineLevel="0" collapsed="false">
      <c r="A114" s="104" t="s">
        <v>435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</row>
    <row r="115" customFormat="false" ht="27" hidden="false" customHeight="true" outlineLevel="0" collapsed="false">
      <c r="A115" s="4" t="s">
        <v>436</v>
      </c>
      <c r="B115" s="4" t="s">
        <v>4</v>
      </c>
      <c r="C115" s="4"/>
      <c r="D115" s="4" t="s">
        <v>196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8.75" hidden="false" customHeight="true" outlineLevel="0" collapsed="false">
      <c r="A116" s="70" t="s">
        <v>437</v>
      </c>
      <c r="B116" s="109" t="n">
        <f aca="false">B103</f>
        <v>747.593856362507</v>
      </c>
      <c r="C116" s="109"/>
      <c r="D116" s="56" t="s">
        <v>438</v>
      </c>
      <c r="E116" s="56"/>
      <c r="F116" s="56"/>
      <c r="G116" s="56"/>
      <c r="H116" s="56"/>
      <c r="I116" s="56"/>
      <c r="J116" s="56"/>
      <c r="K116" s="56"/>
      <c r="L116" s="56"/>
      <c r="M116" s="56"/>
      <c r="N116" s="56"/>
    </row>
    <row r="117" customFormat="false" ht="25.5" hidden="false" customHeight="true" outlineLevel="0" collapsed="false">
      <c r="A117" s="110" t="s">
        <v>439</v>
      </c>
      <c r="B117" s="111" t="n">
        <f aca="false">G105</f>
        <v>321.062227555758</v>
      </c>
      <c r="C117" s="111"/>
      <c r="D117" s="68" t="s">
        <v>440</v>
      </c>
      <c r="E117" s="68"/>
      <c r="F117" s="68"/>
      <c r="G117" s="68"/>
      <c r="H117" s="68"/>
      <c r="I117" s="68"/>
      <c r="J117" s="68"/>
      <c r="K117" s="68"/>
      <c r="L117" s="68"/>
      <c r="M117" s="68"/>
      <c r="N117" s="68"/>
    </row>
    <row r="118" customFormat="false" ht="18.75" hidden="false" customHeight="true" outlineLevel="0" collapsed="false">
      <c r="A118" s="70" t="s">
        <v>441</v>
      </c>
      <c r="B118" s="109" t="n">
        <f aca="false">B72</f>
        <v>498.861303730054</v>
      </c>
      <c r="C118" s="109"/>
      <c r="D118" s="56" t="s">
        <v>442</v>
      </c>
      <c r="E118" s="56"/>
      <c r="F118" s="56"/>
      <c r="G118" s="56"/>
      <c r="H118" s="56"/>
      <c r="I118" s="56"/>
      <c r="J118" s="56"/>
      <c r="K118" s="56"/>
      <c r="L118" s="56"/>
      <c r="M118" s="56"/>
      <c r="N118" s="56"/>
    </row>
    <row r="119" customFormat="false" ht="18.75" hidden="false" customHeight="true" outlineLevel="0" collapsed="false">
      <c r="A119" s="63" t="s">
        <v>443</v>
      </c>
      <c r="B119" s="112" t="n">
        <f aca="false">B117/B118-1</f>
        <v>-0.356409837453552</v>
      </c>
      <c r="C119" s="112"/>
      <c r="D119" s="56" t="s">
        <v>444</v>
      </c>
      <c r="E119" s="56"/>
      <c r="F119" s="56"/>
      <c r="G119" s="56"/>
      <c r="H119" s="56"/>
      <c r="I119" s="56"/>
      <c r="J119" s="56"/>
      <c r="K119" s="56"/>
      <c r="L119" s="56"/>
      <c r="M119" s="56"/>
      <c r="N119" s="56"/>
    </row>
    <row r="120" customFormat="false" ht="25.5" hidden="false" customHeight="true" outlineLevel="0" collapsed="false">
      <c r="A120" s="89" t="s">
        <v>445</v>
      </c>
      <c r="B120" s="113" t="n">
        <f aca="false">B63/G39</f>
        <v>7.46806624491276</v>
      </c>
      <c r="C120" s="113"/>
      <c r="D120" s="56" t="s">
        <v>446</v>
      </c>
      <c r="E120" s="56"/>
      <c r="F120" s="56"/>
      <c r="G120" s="56"/>
      <c r="H120" s="56"/>
      <c r="I120" s="56"/>
      <c r="J120" s="56"/>
      <c r="K120" s="56"/>
      <c r="L120" s="56"/>
      <c r="M120" s="56"/>
      <c r="N120" s="56"/>
    </row>
    <row r="121" customFormat="false" ht="18.75" hidden="false" customHeight="true" outlineLevel="0" collapsed="false">
      <c r="A121" s="63" t="s">
        <v>447</v>
      </c>
      <c r="B121" s="87" t="n">
        <f aca="false">SUM(B92:G92)</f>
        <v>51677.8392877585</v>
      </c>
      <c r="C121" s="87"/>
      <c r="D121" s="56" t="s">
        <v>448</v>
      </c>
      <c r="E121" s="56"/>
      <c r="F121" s="56"/>
      <c r="G121" s="56"/>
      <c r="H121" s="56"/>
      <c r="I121" s="56"/>
      <c r="J121" s="56"/>
      <c r="K121" s="56"/>
      <c r="L121" s="56"/>
      <c r="M121" s="56"/>
      <c r="N121" s="56"/>
    </row>
    <row r="122" customFormat="false" ht="18.75" hidden="false" customHeight="true" outlineLevel="0" collapsed="false">
      <c r="A122" s="63" t="s">
        <v>449</v>
      </c>
      <c r="B122" s="88" t="n">
        <f aca="false">SUM(B94:G94)</f>
        <v>25.7157115315538</v>
      </c>
      <c r="C122" s="88"/>
      <c r="D122" s="56" t="s">
        <v>450</v>
      </c>
      <c r="E122" s="56"/>
      <c r="F122" s="56"/>
      <c r="G122" s="56"/>
      <c r="H122" s="56"/>
      <c r="I122" s="56"/>
      <c r="J122" s="56"/>
      <c r="K122" s="56"/>
      <c r="L122" s="56"/>
      <c r="M122" s="56"/>
      <c r="N122" s="56"/>
    </row>
    <row r="123" customFormat="false" ht="18.75" hidden="false" customHeight="true" outlineLevel="0" collapsed="false">
      <c r="A123" s="70" t="s">
        <v>451</v>
      </c>
      <c r="B123" s="86" t="n">
        <f aca="false">G97/'00-三表与联动'!$B$9</f>
        <v>0.83979732656359</v>
      </c>
      <c r="C123" s="86"/>
      <c r="D123" s="56" t="s">
        <v>452</v>
      </c>
      <c r="E123" s="56"/>
      <c r="F123" s="56"/>
      <c r="G123" s="56"/>
      <c r="H123" s="56"/>
      <c r="I123" s="56"/>
      <c r="J123" s="56"/>
      <c r="K123" s="56"/>
      <c r="L123" s="56"/>
      <c r="M123" s="56"/>
      <c r="N123" s="56"/>
    </row>
    <row r="124" customFormat="false" ht="18.75" hidden="false" customHeight="true" outlineLevel="0" collapsed="false">
      <c r="A124" s="63" t="s">
        <v>453</v>
      </c>
      <c r="B124" s="109" t="n">
        <f aca="false">((G39/('00-三表与联动'!$B$9+SUM(B95:G95)))*$B$141+(('00-三表与联动'!$B$10+'00-三表与联动'!$B$11-'00-三表与联动'!$B$12)+SUM(B90:G90))/('00-三表与联动'!$B$9+SUM(B95:G95)))/(1+$B$209)^6</f>
        <v>419.131019890727</v>
      </c>
      <c r="C124" s="109"/>
      <c r="D124" s="56" t="s">
        <v>454</v>
      </c>
      <c r="E124" s="56"/>
      <c r="F124" s="56"/>
      <c r="G124" s="56"/>
      <c r="H124" s="56"/>
      <c r="I124" s="56"/>
      <c r="J124" s="56"/>
      <c r="K124" s="56"/>
      <c r="L124" s="56"/>
      <c r="M124" s="56"/>
      <c r="N124" s="56"/>
    </row>
    <row r="125" customFormat="false" ht="25.5" hidden="false" customHeight="true" outlineLevel="0" collapsed="false">
      <c r="A125" s="89" t="s">
        <v>455</v>
      </c>
      <c r="B125" s="114" t="n">
        <f aca="false">B117-B124</f>
        <v>-98.0687923349686</v>
      </c>
      <c r="C125" s="114"/>
      <c r="D125" s="56" t="s">
        <v>456</v>
      </c>
      <c r="E125" s="56"/>
      <c r="F125" s="56"/>
      <c r="G125" s="56"/>
      <c r="H125" s="56"/>
      <c r="I125" s="56"/>
      <c r="J125" s="56"/>
      <c r="K125" s="56"/>
      <c r="L125" s="56"/>
      <c r="M125" s="56"/>
      <c r="N125" s="56"/>
    </row>
    <row r="126" customFormat="false" ht="28.5" hidden="false" customHeight="true" outlineLevel="0" collapsed="false">
      <c r="A126" s="63" t="s">
        <v>457</v>
      </c>
      <c r="B126" s="115" t="n">
        <f aca="false">SUM(B92:G92)/('00-三表与联动'!$B$6*'00-三表与联动'!$B$8)</f>
        <v>0.235300469625093</v>
      </c>
      <c r="C126" s="115"/>
      <c r="D126" s="56" t="s">
        <v>458</v>
      </c>
      <c r="E126" s="56"/>
      <c r="F126" s="56"/>
      <c r="G126" s="56"/>
      <c r="H126" s="56"/>
      <c r="I126" s="56"/>
      <c r="J126" s="56"/>
      <c r="K126" s="56"/>
      <c r="L126" s="56"/>
      <c r="M126" s="56"/>
      <c r="N126" s="56"/>
    </row>
    <row r="127" customFormat="false" ht="18.75" hidden="false" customHeight="true" outlineLevel="0" collapsed="false">
      <c r="A127" s="63" t="s">
        <v>459</v>
      </c>
      <c r="B127" s="116" t="n">
        <f aca="false">B72/'00-三表与联动'!$B$6</f>
        <v>0.332536515015001</v>
      </c>
      <c r="C127" s="116"/>
      <c r="D127" s="56" t="s">
        <v>460</v>
      </c>
      <c r="E127" s="56"/>
      <c r="F127" s="56"/>
      <c r="G127" s="56"/>
      <c r="H127" s="56"/>
      <c r="I127" s="56"/>
      <c r="J127" s="56"/>
      <c r="K127" s="56"/>
      <c r="L127" s="56"/>
      <c r="M127" s="56"/>
      <c r="N127" s="56"/>
    </row>
    <row r="128" customFormat="false" ht="45.75" hidden="false" customHeight="true" outlineLevel="0" collapsed="false">
      <c r="A128" s="30" t="s">
        <v>461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30" customFormat="false" ht="24" hidden="false" customHeight="true" outlineLevel="0" collapsed="false">
      <c r="A130" s="117" t="s">
        <v>462</v>
      </c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</row>
    <row r="131" customFormat="false" ht="20.25" hidden="false" customHeight="true" outlineLevel="0" collapsed="false">
      <c r="A131" s="74" t="s">
        <v>463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</row>
    <row r="132" customFormat="false" ht="27" hidden="false" customHeight="true" outlineLevel="0" collapsed="false">
      <c r="A132" s="4" t="s">
        <v>325</v>
      </c>
      <c r="B132" s="4" t="s">
        <v>464</v>
      </c>
      <c r="C132" s="4" t="s">
        <v>465</v>
      </c>
      <c r="D132" s="4"/>
      <c r="E132" s="4"/>
      <c r="F132" s="4"/>
      <c r="G132" s="4"/>
      <c r="H132" s="4" t="s">
        <v>466</v>
      </c>
      <c r="I132" s="4" t="s">
        <v>467</v>
      </c>
      <c r="J132" s="4" t="s">
        <v>373</v>
      </c>
      <c r="K132" s="4"/>
      <c r="L132" s="4"/>
      <c r="M132" s="4"/>
      <c r="N132" s="4"/>
    </row>
    <row r="133" customFormat="false" ht="30" hidden="false" customHeight="true" outlineLevel="0" collapsed="false">
      <c r="A133" s="118" t="s">
        <v>468</v>
      </c>
      <c r="B133" s="119" t="n">
        <f aca="false">H133/1000</f>
        <v>1</v>
      </c>
      <c r="C133" s="120"/>
      <c r="D133" s="120"/>
      <c r="E133" s="120"/>
      <c r="F133" s="120"/>
      <c r="G133" s="120"/>
      <c r="H133" s="121" t="n">
        <v>1000</v>
      </c>
      <c r="I133" s="122" t="s">
        <v>469</v>
      </c>
      <c r="J133" s="123" t="s">
        <v>470</v>
      </c>
      <c r="K133" s="123"/>
      <c r="L133" s="123"/>
      <c r="M133" s="123"/>
      <c r="N133" s="123"/>
    </row>
    <row r="134" customFormat="false" ht="30" hidden="false" customHeight="true" outlineLevel="0" collapsed="false">
      <c r="A134" s="118"/>
      <c r="B134" s="119"/>
      <c r="C134" s="120"/>
      <c r="D134" s="120"/>
      <c r="E134" s="120"/>
      <c r="F134" s="120"/>
      <c r="G134" s="120"/>
      <c r="H134" s="121"/>
      <c r="I134" s="122"/>
      <c r="J134" s="122"/>
      <c r="K134" s="123"/>
      <c r="L134" s="123"/>
      <c r="M134" s="123"/>
      <c r="N134" s="123"/>
    </row>
    <row r="135" customFormat="false" ht="30" hidden="false" customHeight="true" outlineLevel="0" collapsed="false">
      <c r="A135" s="118" t="s">
        <v>471</v>
      </c>
      <c r="B135" s="124" t="n">
        <f aca="false">H135/100</f>
        <v>1</v>
      </c>
      <c r="C135" s="120"/>
      <c r="D135" s="120"/>
      <c r="E135" s="120"/>
      <c r="F135" s="120"/>
      <c r="G135" s="120"/>
      <c r="H135" s="121" t="n">
        <v>100</v>
      </c>
      <c r="I135" s="122" t="s">
        <v>472</v>
      </c>
      <c r="J135" s="123" t="s">
        <v>473</v>
      </c>
      <c r="K135" s="123"/>
      <c r="L135" s="123"/>
      <c r="M135" s="123"/>
      <c r="N135" s="123"/>
    </row>
    <row r="136" customFormat="false" ht="30" hidden="false" customHeight="true" outlineLevel="0" collapsed="false">
      <c r="A136" s="118"/>
      <c r="B136" s="124"/>
      <c r="C136" s="120"/>
      <c r="D136" s="120"/>
      <c r="E136" s="120"/>
      <c r="F136" s="120"/>
      <c r="G136" s="120"/>
      <c r="H136" s="121"/>
      <c r="I136" s="122"/>
      <c r="J136" s="122"/>
      <c r="K136" s="123"/>
      <c r="L136" s="123"/>
      <c r="M136" s="123"/>
      <c r="N136" s="123"/>
    </row>
    <row r="137" customFormat="false" ht="30" hidden="false" customHeight="true" outlineLevel="0" collapsed="false">
      <c r="A137" s="125" t="s">
        <v>474</v>
      </c>
      <c r="B137" s="126" t="n">
        <f aca="false">H137/10</f>
        <v>5</v>
      </c>
      <c r="C137" s="120"/>
      <c r="D137" s="120"/>
      <c r="E137" s="120"/>
      <c r="F137" s="120"/>
      <c r="G137" s="120"/>
      <c r="H137" s="121" t="n">
        <v>50</v>
      </c>
      <c r="I137" s="122" t="s">
        <v>475</v>
      </c>
      <c r="J137" s="123" t="s">
        <v>476</v>
      </c>
      <c r="K137" s="123"/>
      <c r="L137" s="123"/>
      <c r="M137" s="123"/>
      <c r="N137" s="123"/>
    </row>
    <row r="138" customFormat="false" ht="30" hidden="false" customHeight="true" outlineLevel="0" collapsed="false">
      <c r="A138" s="125"/>
      <c r="B138" s="126"/>
      <c r="C138" s="120"/>
      <c r="D138" s="120"/>
      <c r="E138" s="120"/>
      <c r="F138" s="120"/>
      <c r="G138" s="120"/>
      <c r="H138" s="121"/>
      <c r="I138" s="122"/>
      <c r="J138" s="122"/>
      <c r="K138" s="123"/>
      <c r="L138" s="123"/>
      <c r="M138" s="123"/>
      <c r="N138" s="123"/>
    </row>
    <row r="139" customFormat="false" ht="30" hidden="false" customHeight="true" outlineLevel="0" collapsed="false">
      <c r="A139" s="125" t="s">
        <v>477</v>
      </c>
      <c r="B139" s="126" t="n">
        <f aca="false">H139/10</f>
        <v>8</v>
      </c>
      <c r="C139" s="120"/>
      <c r="D139" s="120"/>
      <c r="E139" s="120"/>
      <c r="F139" s="120"/>
      <c r="G139" s="120"/>
      <c r="H139" s="121" t="n">
        <v>80</v>
      </c>
      <c r="I139" s="122" t="s">
        <v>475</v>
      </c>
      <c r="J139" s="123" t="s">
        <v>478</v>
      </c>
      <c r="K139" s="123"/>
      <c r="L139" s="123"/>
      <c r="M139" s="123"/>
      <c r="N139" s="123"/>
    </row>
    <row r="140" customFormat="false" ht="30" hidden="false" customHeight="true" outlineLevel="0" collapsed="false">
      <c r="A140" s="125"/>
      <c r="B140" s="126"/>
      <c r="C140" s="120"/>
      <c r="D140" s="120"/>
      <c r="E140" s="120"/>
      <c r="F140" s="120"/>
      <c r="G140" s="120"/>
      <c r="H140" s="121"/>
      <c r="I140" s="122"/>
      <c r="J140" s="122"/>
      <c r="K140" s="123"/>
      <c r="L140" s="123"/>
      <c r="M140" s="123"/>
      <c r="N140" s="123"/>
    </row>
    <row r="141" customFormat="false" ht="30" hidden="false" customHeight="true" outlineLevel="0" collapsed="false">
      <c r="A141" s="125" t="s">
        <v>479</v>
      </c>
      <c r="B141" s="126" t="n">
        <f aca="false">H141/10</f>
        <v>9</v>
      </c>
      <c r="C141" s="120"/>
      <c r="D141" s="120"/>
      <c r="E141" s="120"/>
      <c r="F141" s="120"/>
      <c r="G141" s="120"/>
      <c r="H141" s="121" t="n">
        <v>90</v>
      </c>
      <c r="I141" s="122" t="s">
        <v>475</v>
      </c>
      <c r="J141" s="123" t="s">
        <v>480</v>
      </c>
      <c r="K141" s="123"/>
      <c r="L141" s="123"/>
      <c r="M141" s="123"/>
      <c r="N141" s="123"/>
    </row>
    <row r="142" customFormat="false" ht="30" hidden="false" customHeight="true" outlineLevel="0" collapsed="false">
      <c r="A142" s="125"/>
      <c r="B142" s="126"/>
      <c r="C142" s="120"/>
      <c r="D142" s="120"/>
      <c r="E142" s="120"/>
      <c r="F142" s="120"/>
      <c r="G142" s="120"/>
      <c r="H142" s="121"/>
      <c r="I142" s="122"/>
      <c r="J142" s="122"/>
      <c r="K142" s="123"/>
      <c r="L142" s="123"/>
      <c r="M142" s="123"/>
      <c r="N142" s="123"/>
    </row>
    <row r="144" customFormat="false" ht="18.75" hidden="false" customHeight="true" outlineLevel="0" collapsed="false">
      <c r="A144" s="45" t="s">
        <v>481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</row>
    <row r="145" customFormat="false" ht="27.75" hidden="false" customHeight="true" outlineLevel="0" collapsed="false">
      <c r="A145" s="127" t="s">
        <v>482</v>
      </c>
      <c r="B145" s="128" t="n">
        <v>0</v>
      </c>
      <c r="C145" s="128" t="n">
        <v>0.25</v>
      </c>
      <c r="D145" s="128" t="n">
        <v>0.5</v>
      </c>
      <c r="E145" s="128" t="n">
        <v>0.75</v>
      </c>
      <c r="F145" s="128" t="n">
        <v>1</v>
      </c>
      <c r="G145" s="34"/>
      <c r="H145" s="34"/>
      <c r="I145" s="34"/>
      <c r="J145" s="34"/>
      <c r="K145" s="34"/>
      <c r="L145" s="34"/>
      <c r="M145" s="34"/>
      <c r="N145" s="34"/>
    </row>
    <row r="146" customFormat="false" ht="18.75" hidden="false" customHeight="true" outlineLevel="0" collapsed="false">
      <c r="A146" s="129" t="n">
        <f aca="false">MAX(1,$B$141+-4)</f>
        <v>5</v>
      </c>
      <c r="B146" s="96" t="n">
        <f aca="false">((G39/MAX(20,'00-三表与联动'!$B$9-B$145*SUMPRODUCT(B90:G90,1/B93:G93)+SUM(B95:G95)))*$A$146+(('00-三表与联动'!$B$10+'00-三表与联动'!$B$11-'00-三表与联动'!$B$12)+(1-B$145)*SUM(B90:G90))/MAX(20,'00-三表与联动'!$B$9-B$145*SUMPRODUCT(B90:G90,1/B93:G93)+SUM(B95:G95)))/(1+$B$209)^6</f>
        <v>308.470210472264</v>
      </c>
      <c r="C146" s="96" t="n">
        <f aca="false">((G39/MAX(20,'00-三表与联动'!$B$9-C$145*SUMPRODUCT(B90:G90,1/B93:G93)+SUM(B95:G95)))*$A$146+(('00-三表与联动'!$B$10+'00-三表与联动'!$B$11-'00-三表与联动'!$B$12)+(1-C$145)*SUM(B90:G90))/MAX(20,'00-三表与联动'!$B$9-C$145*SUMPRODUCT(B90:G90,1/B93:G93)+SUM(B95:G95)))/(1+$B$209)^6</f>
        <v>282.35673338381</v>
      </c>
      <c r="D146" s="96" t="n">
        <f aca="false">((G39/MAX(20,'00-三表与联动'!$B$9-D$145*SUMPRODUCT(B90:G90,1/B93:G93)+SUM(B95:G95)))*$A$146+(('00-三表与联动'!$B$10+'00-三表与联动'!$B$11-'00-三表与联动'!$B$12)+(1-D$145)*SUM(B90:G90))/MAX(20,'00-三表与联动'!$B$9-D$145*SUMPRODUCT(B90:G90,1/B93:G93)+SUM(B95:G95)))/(1+$B$209)^6</f>
        <v>253.895695112269</v>
      </c>
      <c r="E146" s="96" t="n">
        <f aca="false">((G39/MAX(20,'00-三表与联动'!$B$9-E$145*SUMPRODUCT(B90:G90,1/B93:G93)+SUM(B95:G95)))*$A$146+(('00-三表与联动'!$B$10+'00-三表与联动'!$B$11-'00-三表与联动'!$B$12)+(1-E$145)*SUM(B90:G90))/MAX(20,'00-三表与联动'!$B$9-E$145*SUMPRODUCT(B90:G90,1/B93:G93)+SUM(B95:G95)))/(1+$B$209)^6</f>
        <v>222.755633514002</v>
      </c>
      <c r="F146" s="96" t="n">
        <f aca="false">((G39/MAX(20,'00-三表与联动'!$B$9-F$145*SUMPRODUCT(B90:G90,1/B93:G93)+SUM(B95:G95)))*$A$146+(('00-三表与联动'!$B$10+'00-三表与联动'!$B$11-'00-三表与联动'!$B$12)+(1-F$145)*SUM(B90:G90))/MAX(20,'00-三表与联动'!$B$9-F$145*SUMPRODUCT(B90:G90,1/B93:G93)+SUM(B95:G95)))/(1+$B$209)^6</f>
        <v>188.539603788181</v>
      </c>
      <c r="G146" s="93"/>
      <c r="H146" s="93"/>
      <c r="I146" s="93"/>
      <c r="J146" s="93"/>
      <c r="K146" s="93"/>
      <c r="L146" s="93"/>
      <c r="M146" s="93"/>
      <c r="N146" s="93"/>
    </row>
    <row r="147" customFormat="false" ht="18.75" hidden="false" customHeight="true" outlineLevel="0" collapsed="false">
      <c r="A147" s="129" t="n">
        <f aca="false">MAX(1,$B$141+-2)</f>
        <v>7</v>
      </c>
      <c r="B147" s="96" t="n">
        <f aca="false">((G39/MAX(20,'00-三表与联动'!$B$9-B$145*SUMPRODUCT(B90:G90,1/B93:G93)+SUM(B95:G95)))*$A$147+(('00-三表与联动'!$B$10+'00-三表与联动'!$B$11-'00-三表与联动'!$B$12)+(1-B$145)*SUM(B90:G90))/MAX(20,'00-三表与联动'!$B$9-B$145*SUMPRODUCT(B90:G90,1/B93:G93)+SUM(B95:G95)))/(1+$B$209)^6</f>
        <v>363.800615181495</v>
      </c>
      <c r="C147" s="96" t="n">
        <f aca="false">((G39/MAX(20,'00-三表与联动'!$B$9-C$145*SUMPRODUCT(B90:G90,1/B93:G93)+SUM(B95:G95)))*$A$147+(('00-三表与联动'!$B$10+'00-三表与联动'!$B$11-'00-三表与联动'!$B$12)+(1-C$145)*SUM(B90:G90))/MAX(20,'00-三表与联动'!$B$9-C$145*SUMPRODUCT(B90:G90,1/B93:G93)+SUM(B95:G95)))/(1+$B$209)^6</f>
        <v>340.067214388417</v>
      </c>
      <c r="D147" s="96" t="n">
        <f aca="false">((G39/MAX(20,'00-三表与联动'!$B$9-D$145*SUMPRODUCT(B90:G90,1/B93:G93)+SUM(B95:G95)))*$A$147+(('00-三表与联动'!$B$10+'00-三表与联动'!$B$11-'00-三表与联动'!$B$12)+(1-D$145)*SUM(B90:G90))/MAX(20,'00-三表与联动'!$B$9-D$145*SUMPRODUCT(B90:G90,1/B93:G93)+SUM(B95:G95)))/(1+$B$209)^6</f>
        <v>314.200217588351</v>
      </c>
      <c r="E147" s="96" t="n">
        <f aca="false">((G39/MAX(20,'00-三表与联动'!$B$9-E$145*SUMPRODUCT(B90:G90,1/B93:G93)+SUM(B95:G95)))*$A$147+(('00-三表与联动'!$B$10+'00-三表与联动'!$B$11-'00-三表与联动'!$B$12)+(1-E$145)*SUM(B90:G90))/MAX(20,'00-三表与联动'!$B$9-E$145*SUMPRODUCT(B90:G90,1/B93:G93)+SUM(B95:G95)))/(1+$B$209)^6</f>
        <v>285.898373290505</v>
      </c>
      <c r="F147" s="96" t="n">
        <f aca="false">((G39/MAX(20,'00-三表与联动'!$B$9-F$145*SUMPRODUCT(B90:G90,1/B93:G93)+SUM(B95:G95)))*$A$147+(('00-三表与联动'!$B$10+'00-三表与联动'!$B$11-'00-三表与联动'!$B$12)+(1-F$145)*SUM(B90:G90))/MAX(20,'00-三表与联动'!$B$9-F$145*SUMPRODUCT(B90:G90,1/B93:G93)+SUM(B95:G95)))/(1+$B$209)^6</f>
        <v>254.80091567197</v>
      </c>
      <c r="G147" s="93"/>
      <c r="H147" s="93"/>
      <c r="I147" s="93"/>
      <c r="J147" s="93"/>
      <c r="K147" s="93"/>
      <c r="L147" s="93"/>
      <c r="M147" s="93"/>
      <c r="N147" s="93"/>
    </row>
    <row r="148" customFormat="false" ht="18.75" hidden="false" customHeight="true" outlineLevel="0" collapsed="false">
      <c r="A148" s="129" t="n">
        <f aca="false">MAX(1,$B$141+0)</f>
        <v>9</v>
      </c>
      <c r="B148" s="96" t="n">
        <f aca="false">((G39/MAX(20,'00-三表与联动'!$B$9-B$145*SUMPRODUCT(B90:G90,1/B93:G93)+SUM(B95:G95)))*$A$148+(('00-三表与联动'!$B$10+'00-三表与联动'!$B$11-'00-三表与联动'!$B$12)+(1-B$145)*SUM(B90:G90))/MAX(20,'00-三表与联动'!$B$9-B$145*SUMPRODUCT(B90:G90,1/B93:G93)+SUM(B95:G95)))/(1+$B$209)^6</f>
        <v>419.131019890727</v>
      </c>
      <c r="C148" s="96" t="n">
        <f aca="false">((G39/MAX(20,'00-三表与联动'!$B$9-C$145*SUMPRODUCT(B90:G90,1/B93:G93)+SUM(B95:G95)))*$A$148+(('00-三表与联动'!$B$10+'00-三表与联动'!$B$11-'00-三表与联动'!$B$12)+(1-C$145)*SUM(B90:G90))/MAX(20,'00-三表与联动'!$B$9-C$145*SUMPRODUCT(B90:G90,1/B93:G93)+SUM(B95:G95)))/(1+$B$209)^6</f>
        <v>397.777695393025</v>
      </c>
      <c r="D148" s="96" t="n">
        <f aca="false">((G39/MAX(20,'00-三表与联动'!$B$9-D$145*SUMPRODUCT(B90:G90,1/B93:G93)+SUM(B95:G95)))*$A$148+(('00-三表与联动'!$B$10+'00-三表与联动'!$B$11-'00-三表与联动'!$B$12)+(1-D$145)*SUM(B90:G90))/MAX(20,'00-三表与联动'!$B$9-D$145*SUMPRODUCT(B90:G90,1/B93:G93)+SUM(B95:G95)))/(1+$B$209)^6</f>
        <v>374.504740064434</v>
      </c>
      <c r="E148" s="96" t="n">
        <f aca="false">((G39/MAX(20,'00-三表与联动'!$B$9-E$145*SUMPRODUCT(B90:G90,1/B93:G93)+SUM(B95:G95)))*$A$148+(('00-三表与联动'!$B$10+'00-三表与联动'!$B$11-'00-三表与联动'!$B$12)+(1-E$145)*SUM(B90:G90))/MAX(20,'00-三表与联动'!$B$9-E$145*SUMPRODUCT(B90:G90,1/B93:G93)+SUM(B95:G95)))/(1+$B$209)^6</f>
        <v>349.041113067008</v>
      </c>
      <c r="F148" s="130" t="n">
        <f aca="false">((G39/MAX(20,'00-三表与联动'!$B$9-F$145*SUMPRODUCT(B90:G90,1/B93:G93)+SUM(B95:G95)))*$A$148+(('00-三表与联动'!$B$10+'00-三表与联动'!$B$11-'00-三表与联动'!$B$12)+(1-F$145)*SUM(B90:G90))/MAX(20,'00-三表与联动'!$B$9-F$145*SUMPRODUCT(B90:G90,1/B93:G93)+SUM(B95:G95)))/(1+$B$209)^6</f>
        <v>321.062227555758</v>
      </c>
      <c r="G148" s="93"/>
      <c r="H148" s="93"/>
      <c r="I148" s="93"/>
      <c r="J148" s="93"/>
      <c r="K148" s="93"/>
      <c r="L148" s="93"/>
      <c r="M148" s="93"/>
      <c r="N148" s="93"/>
    </row>
    <row r="149" customFormat="false" ht="18.75" hidden="false" customHeight="true" outlineLevel="0" collapsed="false">
      <c r="A149" s="129" t="n">
        <f aca="false">MAX(1,$B$141+2)</f>
        <v>11</v>
      </c>
      <c r="B149" s="96" t="n">
        <f aca="false">((G39/MAX(20,'00-三表与联动'!$B$9-B$145*SUMPRODUCT(B90:G90,1/B93:G93)+SUM(B95:G95)))*$A$149+(('00-三表与联动'!$B$10+'00-三表与联动'!$B$11-'00-三表与联动'!$B$12)+(1-B$145)*SUM(B90:G90))/MAX(20,'00-三表与联动'!$B$9-B$145*SUMPRODUCT(B90:G90,1/B93:G93)+SUM(B95:G95)))/(1+$B$209)^6</f>
        <v>474.461424599958</v>
      </c>
      <c r="C149" s="96" t="n">
        <f aca="false">((G39/MAX(20,'00-三表与联动'!$B$9-C$145*SUMPRODUCT(B90:G90,1/B93:G93)+SUM(B95:G95)))*$A$149+(('00-三表与联动'!$B$10+'00-三表与联动'!$B$11-'00-三表与联动'!$B$12)+(1-C$145)*SUM(B90:G90))/MAX(20,'00-三表与联动'!$B$9-C$145*SUMPRODUCT(B90:G90,1/B93:G93)+SUM(B95:G95)))/(1+$B$209)^6</f>
        <v>455.488176397632</v>
      </c>
      <c r="D149" s="96" t="n">
        <f aca="false">((G39/MAX(20,'00-三表与联动'!$B$9-D$145*SUMPRODUCT(B90:G90,1/B93:G93)+SUM(B95:G95)))*$A$149+(('00-三表与联动'!$B$10+'00-三表与联动'!$B$11-'00-三表与联动'!$B$12)+(1-D$145)*SUM(B90:G90))/MAX(20,'00-三表与联动'!$B$9-D$145*SUMPRODUCT(B90:G90,1/B93:G93)+SUM(B95:G95)))/(1+$B$209)^6</f>
        <v>434.809262540517</v>
      </c>
      <c r="E149" s="96" t="n">
        <f aca="false">((G39/MAX(20,'00-三表与联动'!$B$9-E$145*SUMPRODUCT(B90:G90,1/B93:G93)+SUM(B95:G95)))*$A$149+(('00-三表与联动'!$B$10+'00-三表与联动'!$B$11-'00-三表与联动'!$B$12)+(1-E$145)*SUM(B90:G90))/MAX(20,'00-三表与联动'!$B$9-E$145*SUMPRODUCT(B90:G90,1/B93:G93)+SUM(B95:G95)))/(1+$B$209)^6</f>
        <v>412.183852843511</v>
      </c>
      <c r="F149" s="96" t="n">
        <f aca="false">((G39/MAX(20,'00-三表与联动'!$B$9-F$145*SUMPRODUCT(B90:G90,1/B93:G93)+SUM(B95:G95)))*$A$149+(('00-三表与联动'!$B$10+'00-三表与联动'!$B$11-'00-三表与联动'!$B$12)+(1-F$145)*SUM(B90:G90))/MAX(20,'00-三表与联动'!$B$9-F$145*SUMPRODUCT(B90:G90,1/B93:G93)+SUM(B95:G95)))/(1+$B$209)^6</f>
        <v>387.323539439547</v>
      </c>
      <c r="G149" s="93"/>
      <c r="H149" s="93"/>
      <c r="I149" s="93"/>
      <c r="J149" s="93"/>
      <c r="K149" s="93"/>
      <c r="L149" s="93"/>
      <c r="M149" s="93"/>
      <c r="N149" s="93"/>
    </row>
    <row r="150" customFormat="false" ht="18.75" hidden="false" customHeight="true" outlineLevel="0" collapsed="false">
      <c r="A150" s="129" t="n">
        <f aca="false">MAX(1,$B$141+4)</f>
        <v>13</v>
      </c>
      <c r="B150" s="96" t="n">
        <f aca="false">((G39/MAX(20,'00-三表与联动'!$B$9-B$145*SUMPRODUCT(B90:G90,1/B93:G93)+SUM(B95:G95)))*$A$150+(('00-三表与联动'!$B$10+'00-三表与联动'!$B$11-'00-三表与联动'!$B$12)+(1-B$145)*SUM(B90:G90))/MAX(20,'00-三表与联动'!$B$9-B$145*SUMPRODUCT(B90:G90,1/B93:G93)+SUM(B95:G95)))/(1+$B$209)^6</f>
        <v>529.79182930919</v>
      </c>
      <c r="C150" s="96" t="n">
        <f aca="false">((G39/MAX(20,'00-三表与联动'!$B$9-C$145*SUMPRODUCT(B90:G90,1/B93:G93)+SUM(B95:G95)))*$A$150+(('00-三表与联动'!$B$10+'00-三表与联动'!$B$11-'00-三表与联动'!$B$12)+(1-C$145)*SUM(B90:G90))/MAX(20,'00-三表与联动'!$B$9-C$145*SUMPRODUCT(B90:G90,1/B93:G93)+SUM(B95:G95)))/(1+$B$209)^6</f>
        <v>513.198657402239</v>
      </c>
      <c r="D150" s="96" t="n">
        <f aca="false">((G39/MAX(20,'00-三表与联动'!$B$9-D$145*SUMPRODUCT(B90:G90,1/B93:G93)+SUM(B95:G95)))*$A$150+(('00-三表与联动'!$B$10+'00-三表与联动'!$B$11-'00-三表与联动'!$B$12)+(1-D$145)*SUM(B90:G90))/MAX(20,'00-三表与联动'!$B$9-D$145*SUMPRODUCT(B90:G90,1/B93:G93)+SUM(B95:G95)))/(1+$B$209)^6</f>
        <v>495.1137850166</v>
      </c>
      <c r="E150" s="96" t="n">
        <f aca="false">((G39/MAX(20,'00-三表与联动'!$B$9-E$145*SUMPRODUCT(B90:G90,1/B93:G93)+SUM(B95:G95)))*$A$150+(('00-三表与联动'!$B$10+'00-三表与联动'!$B$11-'00-三表与联动'!$B$12)+(1-E$145)*SUM(B90:G90))/MAX(20,'00-三表与联动'!$B$9-E$145*SUMPRODUCT(B90:G90,1/B93:G93)+SUM(B95:G95)))/(1+$B$209)^6</f>
        <v>475.326592620014</v>
      </c>
      <c r="F150" s="96" t="n">
        <f aca="false">((G39/MAX(20,'00-三表与联动'!$B$9-F$145*SUMPRODUCT(B90:G90,1/B93:G93)+SUM(B95:G95)))*$A$150+(('00-三表与联动'!$B$10+'00-三表与联动'!$B$11-'00-三表与联动'!$B$12)+(1-F$145)*SUM(B90:G90))/MAX(20,'00-三表与联动'!$B$9-F$145*SUMPRODUCT(B90:G90,1/B93:G93)+SUM(B95:G95)))/(1+$B$209)^6</f>
        <v>453.584851323336</v>
      </c>
      <c r="G150" s="93"/>
      <c r="H150" s="93"/>
      <c r="I150" s="93"/>
      <c r="J150" s="93"/>
      <c r="K150" s="93"/>
      <c r="L150" s="93"/>
      <c r="M150" s="93"/>
      <c r="N150" s="93"/>
    </row>
    <row r="151" customFormat="false" ht="33" hidden="false" customHeight="true" outlineLevel="0" collapsed="false">
      <c r="A151" s="29" t="s">
        <v>483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</row>
    <row r="153" customFormat="false" ht="18.75" hidden="false" customHeight="true" outlineLevel="0" collapsed="false">
      <c r="A153" s="45" t="s">
        <v>484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</row>
    <row r="154" customFormat="false" ht="39.75" hidden="false" customHeight="true" outlineLevel="0" collapsed="false">
      <c r="A154" s="13" t="s">
        <v>485</v>
      </c>
      <c r="B154" s="13" t="s">
        <v>486</v>
      </c>
      <c r="C154" s="13" t="s">
        <v>487</v>
      </c>
      <c r="D154" s="13" t="s">
        <v>488</v>
      </c>
      <c r="E154" s="13" t="s">
        <v>489</v>
      </c>
      <c r="F154" s="13" t="s">
        <v>490</v>
      </c>
      <c r="G154" s="4" t="s">
        <v>491</v>
      </c>
      <c r="H154" s="4"/>
      <c r="I154" s="4"/>
      <c r="J154" s="4"/>
      <c r="K154" s="4"/>
      <c r="L154" s="4"/>
      <c r="M154" s="4"/>
      <c r="N154" s="4"/>
    </row>
    <row r="155" customFormat="false" ht="18.75" hidden="false" customHeight="true" outlineLevel="0" collapsed="false">
      <c r="A155" s="131" t="n">
        <v>6</v>
      </c>
      <c r="B155" s="132" t="n">
        <f aca="false">B100*$A$155+B101</f>
        <v>888.023870547164</v>
      </c>
      <c r="C155" s="132" t="n">
        <f aca="false">(C100*$A$155+C101)/(1+$B$209)^2</f>
        <v>271.003711638285</v>
      </c>
      <c r="D155" s="132" t="n">
        <f aca="false">(G100*$A$155+G101)/(1+$B$209)^6</f>
        <v>221.670259730075</v>
      </c>
      <c r="E155" s="133" t="n">
        <f aca="false">B155/'00-三表与联动'!$B$6-1</f>
        <v>-0.408051173835523</v>
      </c>
      <c r="F155" s="133" t="n">
        <f aca="false">D155/'00-三表与联动'!$B$6-1</f>
        <v>-0.852236573368302</v>
      </c>
      <c r="G155" s="93"/>
      <c r="H155" s="93"/>
      <c r="I155" s="93"/>
      <c r="J155" s="93"/>
      <c r="K155" s="93"/>
      <c r="L155" s="93"/>
      <c r="M155" s="93"/>
      <c r="N155" s="93"/>
    </row>
    <row r="156" customFormat="false" ht="18.75" hidden="false" customHeight="true" outlineLevel="0" collapsed="false">
      <c r="A156" s="131" t="n">
        <v>9</v>
      </c>
      <c r="B156" s="132" t="n">
        <f aca="false">B100*$A$156+B101</f>
        <v>1309.31391310113</v>
      </c>
      <c r="C156" s="132" t="n">
        <f aca="false">(C100*$A$156+C101)/(1+$B$209)^2</f>
        <v>388.460935590568</v>
      </c>
      <c r="D156" s="132" t="n">
        <f aca="false">(G100*$A$156+G101)/(1+$B$209)^6</f>
        <v>321.062227555758</v>
      </c>
      <c r="E156" s="133" t="n">
        <f aca="false">B156/'00-三表与联动'!$B$6-1</f>
        <v>-0.127222972662343</v>
      </c>
      <c r="F156" s="133" t="n">
        <f aca="false">D156/'00-三表与联动'!$B$6-1</f>
        <v>-0.785982770248866</v>
      </c>
      <c r="G156" s="93"/>
      <c r="H156" s="93"/>
      <c r="I156" s="93"/>
      <c r="J156" s="93"/>
      <c r="K156" s="93"/>
      <c r="L156" s="93"/>
      <c r="M156" s="93"/>
      <c r="N156" s="93"/>
    </row>
    <row r="157" customFormat="false" ht="18.75" hidden="false" customHeight="true" outlineLevel="0" collapsed="false">
      <c r="A157" s="131" t="n">
        <v>12</v>
      </c>
      <c r="B157" s="132" t="n">
        <f aca="false">B100*$A$157+B101</f>
        <v>1730.6039556551</v>
      </c>
      <c r="C157" s="132" t="n">
        <f aca="false">(C100*$A$157+C101)/(1+$B$209)^2</f>
        <v>505.918159542851</v>
      </c>
      <c r="D157" s="132" t="n">
        <f aca="false">(G100*$A$157+G101)/(1+$B$209)^6</f>
        <v>420.454195381441</v>
      </c>
      <c r="E157" s="133" t="n">
        <f aca="false">B157/'00-三表与联动'!$B$6-1</f>
        <v>0.153605228510836</v>
      </c>
      <c r="F157" s="133" t="n">
        <f aca="false">D157/'00-三表与联动'!$B$6-1</f>
        <v>-0.719728967129431</v>
      </c>
      <c r="G157" s="93"/>
      <c r="H157" s="93"/>
      <c r="I157" s="93"/>
      <c r="J157" s="93"/>
      <c r="K157" s="93"/>
      <c r="L157" s="93"/>
      <c r="M157" s="93"/>
      <c r="N157" s="93"/>
    </row>
    <row r="158" customFormat="false" ht="18.75" hidden="false" customHeight="true" outlineLevel="0" collapsed="false">
      <c r="A158" s="131" t="n">
        <v>15</v>
      </c>
      <c r="B158" s="132" t="n">
        <f aca="false">B100*$A$158+B101</f>
        <v>2151.89399820907</v>
      </c>
      <c r="C158" s="132" t="n">
        <f aca="false">(C100*$A$158+C101)/(1+$B$209)^2</f>
        <v>623.375383495134</v>
      </c>
      <c r="D158" s="132" t="n">
        <f aca="false">(G100*$A$158+G101)/(1+$B$209)^6</f>
        <v>519.846163207124</v>
      </c>
      <c r="E158" s="133" t="n">
        <f aca="false">B158/'00-三表与联动'!$B$6-1</f>
        <v>0.434433429684016</v>
      </c>
      <c r="F158" s="133" t="n">
        <f aca="false">D158/'00-三表与联动'!$B$6-1</f>
        <v>-0.653475164009996</v>
      </c>
      <c r="G158" s="93"/>
      <c r="H158" s="93"/>
      <c r="I158" s="93"/>
      <c r="J158" s="93"/>
      <c r="K158" s="93"/>
      <c r="L158" s="93"/>
      <c r="M158" s="93"/>
      <c r="N158" s="93"/>
    </row>
    <row r="159" customFormat="false" ht="18.75" hidden="false" customHeight="true" outlineLevel="0" collapsed="false">
      <c r="A159" s="131" t="n">
        <v>18</v>
      </c>
      <c r="B159" s="132" t="n">
        <f aca="false">B100*$A$159+B101</f>
        <v>2573.18404076304</v>
      </c>
      <c r="C159" s="132" t="n">
        <f aca="false">(C100*$A$159+C101)/(1+$B$209)^2</f>
        <v>740.832607447418</v>
      </c>
      <c r="D159" s="132" t="n">
        <f aca="false">(G100*$A$159+G101)/(1+$B$209)^6</f>
        <v>619.238131032808</v>
      </c>
      <c r="E159" s="133" t="n">
        <f aca="false">B159/'00-三表与联动'!$B$6-1</f>
        <v>0.715261630857195</v>
      </c>
      <c r="F159" s="133" t="n">
        <f aca="false">D159/'00-三表与联动'!$B$6-1</f>
        <v>-0.587221360890561</v>
      </c>
      <c r="G159" s="93"/>
      <c r="H159" s="93"/>
      <c r="I159" s="93"/>
      <c r="J159" s="93"/>
      <c r="K159" s="93"/>
      <c r="L159" s="93"/>
      <c r="M159" s="93"/>
      <c r="N159" s="93"/>
    </row>
    <row r="160" customFormat="false" ht="18.75" hidden="false" customHeight="true" outlineLevel="0" collapsed="false">
      <c r="A160" s="131" t="n">
        <v>21</v>
      </c>
      <c r="B160" s="132" t="n">
        <f aca="false">B100*$A$160+B101</f>
        <v>2994.47408331701</v>
      </c>
      <c r="C160" s="132" t="n">
        <f aca="false">(C100*$A$160+C101)/(1+$B$209)^2</f>
        <v>858.289831399701</v>
      </c>
      <c r="D160" s="132" t="n">
        <f aca="false">(G100*$A$160+G101)/(1+$B$209)^6</f>
        <v>718.630098858491</v>
      </c>
      <c r="E160" s="133" t="n">
        <f aca="false">B160/'00-三表与联动'!$B$6-1</f>
        <v>0.996089832030375</v>
      </c>
      <c r="F160" s="133" t="n">
        <f aca="false">D160/'00-三表与联动'!$B$6-1</f>
        <v>-0.520967557771126</v>
      </c>
      <c r="G160" s="93"/>
      <c r="H160" s="93"/>
      <c r="I160" s="93"/>
      <c r="J160" s="93"/>
      <c r="K160" s="93"/>
      <c r="L160" s="93"/>
      <c r="M160" s="93"/>
      <c r="N160" s="93"/>
    </row>
    <row r="161" customFormat="false" ht="33" hidden="false" customHeight="true" outlineLevel="0" collapsed="false">
      <c r="A161" s="29" t="s">
        <v>492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</row>
    <row r="164" customFormat="false" ht="24" hidden="false" customHeight="true" outlineLevel="0" collapsed="false">
      <c r="A164" s="73" t="s">
        <v>493</v>
      </c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</row>
    <row r="165" customFormat="false" ht="33" hidden="false" customHeight="true" outlineLevel="0" collapsed="false">
      <c r="A165" s="44" t="s">
        <v>494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</row>
    <row r="166" customFormat="false" ht="18.75" hidden="false" customHeight="true" outlineLevel="0" collapsed="false">
      <c r="A166" s="45" t="s">
        <v>495</v>
      </c>
      <c r="B166" s="45"/>
      <c r="C166" s="45"/>
      <c r="D166" s="45"/>
      <c r="E166" s="45"/>
      <c r="F166" s="45"/>
      <c r="G166" s="45"/>
      <c r="H166" s="45" t="s">
        <v>496</v>
      </c>
      <c r="I166" s="45"/>
      <c r="J166" s="45"/>
      <c r="K166" s="45"/>
      <c r="L166" s="45"/>
      <c r="M166" s="45"/>
      <c r="N166" s="45"/>
    </row>
    <row r="167" customFormat="false" ht="27.75" hidden="false" customHeight="true" outlineLevel="0" collapsed="false">
      <c r="A167" s="127" t="s">
        <v>497</v>
      </c>
      <c r="B167" s="134" t="n">
        <f aca="false">$B$211+-0.01</f>
        <v>0.015</v>
      </c>
      <c r="C167" s="134" t="n">
        <f aca="false">$B$211+-0.005</f>
        <v>0.02</v>
      </c>
      <c r="D167" s="134" t="n">
        <f aca="false">$B$211+0</f>
        <v>0.025</v>
      </c>
      <c r="E167" s="134" t="n">
        <f aca="false">$B$211+0.005</f>
        <v>0.03</v>
      </c>
      <c r="F167" s="134" t="n">
        <f aca="false">$B$211+0.01</f>
        <v>0.035</v>
      </c>
      <c r="G167" s="34"/>
      <c r="H167" s="127" t="s">
        <v>498</v>
      </c>
      <c r="I167" s="134" t="n">
        <f aca="false">MAX(0.05,MIN(0.92,$B$195+-0.1))</f>
        <v>0.36</v>
      </c>
      <c r="J167" s="134" t="n">
        <f aca="false">MAX(0.05,MIN(0.92,$B$195+-0.05))</f>
        <v>0.41</v>
      </c>
      <c r="K167" s="134" t="n">
        <f aca="false">MAX(0.05,MIN(0.92,$B$195+0))</f>
        <v>0.46</v>
      </c>
      <c r="L167" s="134" t="n">
        <f aca="false">MAX(0.05,MIN(0.92,$B$195+0.05))</f>
        <v>0.51</v>
      </c>
      <c r="M167" s="134" t="n">
        <f aca="false">MAX(0.05,MIN(0.92,$B$195+0.1))</f>
        <v>0.56</v>
      </c>
      <c r="N167" s="34"/>
    </row>
    <row r="168" customFormat="false" ht="18.75" hidden="false" customHeight="true" outlineLevel="0" collapsed="false">
      <c r="A168" s="135" t="n">
        <f aca="false">$B$209+-0.02</f>
        <v>0.12</v>
      </c>
      <c r="B168" s="100" t="n">
        <f aca="false">IF($A$168&lt;=B$167,"n/a",($B$62*(1+$B$209)^3.5/(1+$A$168)^3.5+$G$45*(1+B$167)/($A$168-B$167)/(1+$A$168)^6)+('00-三表与联动'!$B$10+'00-三表与联动'!$B$11-'00-三表与联动'!$B$12))/'00-三表与联动'!$B$9</f>
        <v>548.403576403043</v>
      </c>
      <c r="C168" s="100" t="n">
        <f aca="false">IF($A$168&lt;=C$167,"n/a",($B$62*(1+$B$209)^3.5/(1+$A$168)^3.5+$G$45*(1+C$167)/($A$168-C$167)/(1+$A$168)^6)+('00-三表与联动'!$B$10+'00-三表与联动'!$B$11-'00-三表与联动'!$B$12))/'00-三表与联动'!$B$9</f>
        <v>561.723333614477</v>
      </c>
      <c r="D168" s="100" t="n">
        <f aca="false">IF($A$168&lt;=D$167,"n/a",($B$62*(1+$B$209)^3.5/(1+$A$168)^3.5+$G$45*(1+D$167)/($A$168-D$167)/(1+$A$168)^6)+('00-三表与联动'!$B$10+'00-三表与联动'!$B$11-'00-三表与联动'!$B$12))/'00-三表与联动'!$B$9</f>
        <v>576.445170532376</v>
      </c>
      <c r="E168" s="100" t="n">
        <f aca="false">IF($A$168&lt;=E$167,"n/a",($B$62*(1+$B$209)^3.5/(1+$A$168)^3.5+$G$45*(1+E$167)/($A$168-E$167)/(1+$A$168)^6)+('00-三表与联动'!$B$10+'00-三表与联动'!$B$11-'00-三表与联动'!$B$12))/'00-三表与联动'!$B$9</f>
        <v>592.802767107821</v>
      </c>
      <c r="F168" s="100" t="n">
        <f aca="false">IF($A$168&lt;=F$167,"n/a",($B$62*(1+$B$209)^3.5/(1+$A$168)^3.5+$G$45*(1+F$167)/($A$168-F$167)/(1+$A$168)^6)+('00-三表与联动'!$B$10+'00-三表与联动'!$B$11-'00-三表与联动'!$B$12))/'00-三表与联动'!$B$9</f>
        <v>611.084786809788</v>
      </c>
      <c r="G168" s="34"/>
      <c r="H168" s="135" t="n">
        <f aca="false">$B$209+-0.02</f>
        <v>0.12</v>
      </c>
      <c r="I168" s="100" t="n">
        <f aca="false">IF($H$168&lt;=$B$211,"n/a",($B$62*(1+$B$209)^3.5/(1+$H$168)^3.5+(($G$32*I$167-$G$32*$B$199)*(1-$B$201)+$G$40+($G$41+$G$42)+$G$44)*(1+$B$211)/($H$168-$B$211)/(1+$H$168)^6)+('00-三表与联动'!$B$10+'00-三表与联动'!$B$11-'00-三表与联动'!$B$12))/'00-三表与联动'!$B$9</f>
        <v>490.847657409567</v>
      </c>
      <c r="J168" s="100" t="n">
        <f aca="false">IF($H$168&lt;=$B$211,"n/a",($B$62*(1+$B$209)^3.5/(1+$H$168)^3.5+(($G$32*J$167-$G$32*$B$199)*(1-$B$201)+$G$40+($G$41+$G$42)+$G$44)*(1+$B$211)/($H$168-$B$211)/(1+$H$168)^6)+('00-三表与联动'!$B$10+'00-三表与联动'!$B$11-'00-三表与联动'!$B$12))/'00-三表与联动'!$B$9</f>
        <v>533.646413970972</v>
      </c>
      <c r="K168" s="100" t="n">
        <f aca="false">IF($H$168&lt;=$B$211,"n/a",($B$62*(1+$B$209)^3.5/(1+$H$168)^3.5+(($G$32*K$167-$G$32*$B$199)*(1-$B$201)+$G$40+($G$41+$G$42)+$G$44)*(1+$B$211)/($H$168-$B$211)/(1+$H$168)^6)+('00-三表与联动'!$B$10+'00-三表与联动'!$B$11-'00-三表与联动'!$B$12))/'00-三表与联动'!$B$9</f>
        <v>576.445170532376</v>
      </c>
      <c r="L168" s="100" t="n">
        <f aca="false">IF($H$168&lt;=$B$211,"n/a",($B$62*(1+$B$209)^3.5/(1+$H$168)^3.5+(($G$32*L$167-$G$32*$B$199)*(1-$B$201)+$G$40+($G$41+$G$42)+$G$44)*(1+$B$211)/($H$168-$B$211)/(1+$H$168)^6)+('00-三表与联动'!$B$10+'00-三表与联动'!$B$11-'00-三表与联动'!$B$12))/'00-三表与联动'!$B$9</f>
        <v>619.243927093781</v>
      </c>
      <c r="M168" s="100" t="n">
        <f aca="false">IF($H$168&lt;=$B$211,"n/a",($B$62*(1+$B$209)^3.5/(1+$H$168)^3.5+(($G$32*M$167-$G$32*$B$199)*(1-$B$201)+$G$40+($G$41+$G$42)+$G$44)*(1+$B$211)/($H$168-$B$211)/(1+$H$168)^6)+('00-三表与联动'!$B$10+'00-三表与联动'!$B$11-'00-三表与联动'!$B$12))/'00-三表与联动'!$B$9</f>
        <v>662.042683655185</v>
      </c>
      <c r="N168" s="34"/>
    </row>
    <row r="169" customFormat="false" ht="18.75" hidden="false" customHeight="true" outlineLevel="0" collapsed="false">
      <c r="A169" s="135" t="n">
        <f aca="false">$B$209+-0.01</f>
        <v>0.13</v>
      </c>
      <c r="B169" s="100" t="n">
        <f aca="false">IF($A$169&lt;=B$167,"n/a",($B$62*(1+$B$209)^3.5/(1+$A$169)^3.5+$G$45*(1+B$167)/($A$169-B$167)/(1+$A$169)^6)+('00-三表与联动'!$B$10+'00-三表与联动'!$B$11-'00-三表与联动'!$B$12))/'00-三表与联动'!$B$9</f>
        <v>507.850953839861</v>
      </c>
      <c r="C169" s="100" t="n">
        <f aca="false">IF($A$169&lt;=C$167,"n/a",($B$62*(1+$B$209)^3.5/(1+$A$169)^3.5+$G$45*(1+C$167)/($A$169-C$167)/(1+$A$169)^6)+('00-三表与联动'!$B$10+'00-三表与联动'!$B$11-'00-三表与联动'!$B$12))/'00-三表与联动'!$B$9</f>
        <v>518.426260704879</v>
      </c>
      <c r="D169" s="100" t="n">
        <f aca="false">IF($A$169&lt;=D$167,"n/a",($B$62*(1+$B$209)^3.5/(1+$A$169)^3.5+$G$45*(1+D$167)/($A$169-D$167)/(1+$A$169)^6)+('00-三表与联动'!$B$10+'00-三表与联动'!$B$11-'00-三表与联动'!$B$12))/'00-三表与联动'!$B$9</f>
        <v>530.00873965228</v>
      </c>
      <c r="E169" s="100" t="n">
        <f aca="false">IF($A$169&lt;=E$167,"n/a",($B$62*(1+$B$209)^3.5/(1+$A$169)^3.5+$G$45*(1+E$167)/($A$169-E$167)/(1+$A$169)^6)+('00-三表与联动'!$B$10+'00-三表与联动'!$B$11-'00-三表与联动'!$B$12))/'00-三表与联动'!$B$9</f>
        <v>542.749466494421</v>
      </c>
      <c r="F169" s="100" t="n">
        <f aca="false">IF($A$169&lt;=F$167,"n/a",($B$62*(1+$B$209)^3.5/(1+$A$169)^3.5+$G$45*(1+F$167)/($A$169-F$167)/(1+$A$169)^6)+('00-三表与联动'!$B$10+'00-三表与联动'!$B$11-'00-三表与联动'!$B$12))/'00-三表与联动'!$B$9</f>
        <v>556.83132247784</v>
      </c>
      <c r="G169" s="34"/>
      <c r="H169" s="135" t="n">
        <f aca="false">$B$209+-0.01</f>
        <v>0.13</v>
      </c>
      <c r="I169" s="100" t="n">
        <f aca="false">IF($H$169&lt;=$B$211,"n/a",($B$62*(1+$B$209)^3.5/(1+$H$169)^3.5+(($G$32*I$167-$G$32*$B$199)*(1-$B$201)+$G$40+($G$41+$G$42)+$G$44)*(1+$B$211)/($H$169-$B$211)/(1+$H$169)^6)+('00-三表与联动'!$B$10+'00-三表与联动'!$B$11-'00-三表与联动'!$B$12))/'00-三表与联动'!$B$9</f>
        <v>456.585603869033</v>
      </c>
      <c r="J169" s="100" t="n">
        <f aca="false">IF($H$169&lt;=$B$211,"n/a",($B$62*(1+$B$209)^3.5/(1+$H$169)^3.5+(($G$32*J$167-$G$32*$B$199)*(1-$B$201)+$G$40+($G$41+$G$42)+$G$44)*(1+$B$211)/($H$169-$B$211)/(1+$H$169)^6)+('00-三表与联动'!$B$10+'00-三表与联动'!$B$11-'00-三表与联动'!$B$12))/'00-三表与联动'!$B$9</f>
        <v>493.297171760656</v>
      </c>
      <c r="K169" s="100" t="n">
        <f aca="false">IF($H$169&lt;=$B$211,"n/a",($B$62*(1+$B$209)^3.5/(1+$H$169)^3.5+(($G$32*K$167-$G$32*$B$199)*(1-$B$201)+$G$40+($G$41+$G$42)+$G$44)*(1+$B$211)/($H$169-$B$211)/(1+$H$169)^6)+('00-三表与联动'!$B$10+'00-三表与联动'!$B$11-'00-三表与联动'!$B$12))/'00-三表与联动'!$B$9</f>
        <v>530.00873965228</v>
      </c>
      <c r="L169" s="100" t="n">
        <f aca="false">IF($H$169&lt;=$B$211,"n/a",($B$62*(1+$B$209)^3.5/(1+$H$169)^3.5+(($G$32*L$167-$G$32*$B$199)*(1-$B$201)+$G$40+($G$41+$G$42)+$G$44)*(1+$B$211)/($H$169-$B$211)/(1+$H$169)^6)+('00-三表与联动'!$B$10+'00-三表与联动'!$B$11-'00-三表与联动'!$B$12))/'00-三表与联动'!$B$9</f>
        <v>566.720307543904</v>
      </c>
      <c r="M169" s="100" t="n">
        <f aca="false">IF($H$169&lt;=$B$211,"n/a",($B$62*(1+$B$209)^3.5/(1+$H$169)^3.5+(($G$32*M$167-$G$32*$B$199)*(1-$B$201)+$G$40+($G$41+$G$42)+$G$44)*(1+$B$211)/($H$169-$B$211)/(1+$H$169)^6)+('00-三表与联动'!$B$10+'00-三表与联动'!$B$11-'00-三表与联动'!$B$12))/'00-三表与联动'!$B$9</f>
        <v>603.431875435527</v>
      </c>
      <c r="N169" s="34"/>
    </row>
    <row r="170" customFormat="false" ht="18.75" hidden="false" customHeight="true" outlineLevel="0" collapsed="false">
      <c r="A170" s="135" t="n">
        <f aca="false">$B$209+0</f>
        <v>0.14</v>
      </c>
      <c r="B170" s="100" t="n">
        <f aca="false">IF($A$170&lt;=B$167,"n/a",($B$62*(1+$B$209)^3.5/(1+$A$170)^3.5+$G$45*(1+B$167)/($A$170-B$167)/(1+$A$170)^6)+('00-三表与联动'!$B$10+'00-三表与联动'!$B$11-'00-三表与联动'!$B$12))/'00-三表与联动'!$B$9</f>
        <v>473.438308186313</v>
      </c>
      <c r="C170" s="100" t="n">
        <f aca="false">IF($A$170&lt;=C$167,"n/a",($B$62*(1+$B$209)^3.5/(1+$A$170)^3.5+$G$45*(1+C$167)/($A$170-C$167)/(1+$A$170)^6)+('00-三表与联动'!$B$10+'00-三表与联动'!$B$11-'00-三表与联动'!$B$12))/'00-三表与联动'!$B$9</f>
        <v>481.972456878688</v>
      </c>
      <c r="D170" s="136" t="n">
        <f aca="false">IF($A$170&lt;=D$167,"n/a",($B$62*(1+$B$209)^3.5/(1+$A$170)^3.5+$G$45*(1+D$167)/($A$170-D$167)/(1+$A$170)^6)+('00-三表与联动'!$B$10+'00-三表与联动'!$B$11-'00-三表与联动'!$B$12))/'00-三表与联动'!$B$9</f>
        <v>491.248705457356</v>
      </c>
      <c r="E170" s="100" t="n">
        <f aca="false">IF($A$170&lt;=E$167,"n/a",($B$62*(1+$B$209)^3.5/(1+$A$170)^3.5+$G$45*(1+E$167)/($A$170-E$167)/(1+$A$170)^6)+('00-三表与联动'!$B$10+'00-三表与联动'!$B$11-'00-三表与联动'!$B$12))/'00-三表与联动'!$B$9</f>
        <v>501.368249361358</v>
      </c>
      <c r="F170" s="100" t="n">
        <f aca="false">IF($A$170&lt;=F$167,"n/a",($B$62*(1+$B$209)^3.5/(1+$A$170)^3.5+$G$45*(1+F$167)/($A$170-F$167)/(1+$A$170)^6)+('00-三表与联动'!$B$10+'00-三表与联动'!$B$11-'00-三表与联动'!$B$12))/'00-三表与联动'!$B$9</f>
        <v>512.451559351456</v>
      </c>
      <c r="G170" s="34"/>
      <c r="H170" s="135" t="n">
        <f aca="false">$B$209+0</f>
        <v>0.14</v>
      </c>
      <c r="I170" s="100" t="n">
        <f aca="false">IF($H$170&lt;=$B$211,"n/a",($B$62*(1+$B$209)^3.5/(1+$H$170)^3.5+(($G$32*I$167-$G$32*$B$199)*(1-$B$201)+$G$40+($G$41+$G$42)+$G$44)*(1+$B$211)/($H$170-$B$211)/(1+$H$170)^6)+('00-三表与联动'!$B$10+'00-三表与联动'!$B$11-'00-三表与联动'!$B$12))/'00-三表与联动'!$B$9</f>
        <v>427.662056194294</v>
      </c>
      <c r="J170" s="100" t="n">
        <f aca="false">IF($H$170&lt;=$B$211,"n/a",($B$62*(1+$B$209)^3.5/(1+$H$170)^3.5+(($G$32*J$167-$G$32*$B$199)*(1-$B$201)+$G$40+($G$41+$G$42)+$G$44)*(1+$B$211)/($H$170-$B$211)/(1+$H$170)^6)+('00-三表与联动'!$B$10+'00-三表与联动'!$B$11-'00-三表与联动'!$B$12))/'00-三表与联动'!$B$9</f>
        <v>459.455380825825</v>
      </c>
      <c r="K170" s="136" t="n">
        <f aca="false">IF($H$170&lt;=$B$211,"n/a",($B$62*(1+$B$209)^3.5/(1+$H$170)^3.5+(($G$32*K$167-$G$32*$B$199)*(1-$B$201)+$G$40+($G$41+$G$42)+$G$44)*(1+$B$211)/($H$170-$B$211)/(1+$H$170)^6)+('00-三表与联动'!$B$10+'00-三表与联动'!$B$11-'00-三表与联动'!$B$12))/'00-三表与联动'!$B$9</f>
        <v>491.248705457356</v>
      </c>
      <c r="L170" s="100" t="n">
        <f aca="false">IF($H$170&lt;=$B$211,"n/a",($B$62*(1+$B$209)^3.5/(1+$H$170)^3.5+(($G$32*L$167-$G$32*$B$199)*(1-$B$201)+$G$40+($G$41+$G$42)+$G$44)*(1+$B$211)/($H$170-$B$211)/(1+$H$170)^6)+('00-三表与联动'!$B$10+'00-三表与联动'!$B$11-'00-三表与联动'!$B$12))/'00-三表与联动'!$B$9</f>
        <v>523.042030088888</v>
      </c>
      <c r="M170" s="100" t="n">
        <f aca="false">IF($H$170&lt;=$B$211,"n/a",($B$62*(1+$B$209)^3.5/(1+$H$170)^3.5+(($G$32*M$167-$G$32*$B$199)*(1-$B$201)+$G$40+($G$41+$G$42)+$G$44)*(1+$B$211)/($H$170-$B$211)/(1+$H$170)^6)+('00-三表与联动'!$B$10+'00-三表与联动'!$B$11-'00-三表与联动'!$B$12))/'00-三表与联动'!$B$9</f>
        <v>554.835354720419</v>
      </c>
      <c r="N170" s="34"/>
    </row>
    <row r="171" customFormat="false" ht="18.75" hidden="false" customHeight="true" outlineLevel="0" collapsed="false">
      <c r="A171" s="135" t="n">
        <f aca="false">$B$209+0.01</f>
        <v>0.15</v>
      </c>
      <c r="B171" s="100" t="n">
        <f aca="false">IF($A$171&lt;=B$167,"n/a",($B$62*(1+$B$209)^3.5/(1+$A$171)^3.5+$G$45*(1+B$167)/($A$171-B$167)/(1+$A$171)^6)+('00-三表与联动'!$B$10+'00-三表与联动'!$B$11-'00-三表与联动'!$B$12))/'00-三表与联动'!$B$9</f>
        <v>443.81671844635</v>
      </c>
      <c r="C171" s="100" t="n">
        <f aca="false">IF($A$171&lt;=C$167,"n/a",($B$62*(1+$B$209)^3.5/(1+$A$171)^3.5+$G$45*(1+C$167)/($A$171-C$167)/(1+$A$171)^6)+('00-三表与联动'!$B$10+'00-三表与联动'!$B$11-'00-三表与联动'!$B$12))/'00-三表与联动'!$B$9</f>
        <v>450.799193593232</v>
      </c>
      <c r="D171" s="100" t="n">
        <f aca="false">IF($A$171&lt;=D$167,"n/a",($B$62*(1+$B$209)^3.5/(1+$A$171)^3.5+$G$45*(1+D$167)/($A$171-D$167)/(1+$A$171)^6)+('00-三表与联动'!$B$10+'00-三表与联动'!$B$11-'00-三表与联动'!$B$12))/'00-三表与联动'!$B$9</f>
        <v>458.340266751865</v>
      </c>
      <c r="E171" s="100" t="n">
        <f aca="false">IF($A$171&lt;=E$167,"n/a",($B$62*(1+$B$209)^3.5/(1+$A$171)^3.5+$G$45*(1+E$167)/($A$171-E$167)/(1+$A$171)^6)+('00-三表与联动'!$B$10+'00-三表与联动'!$B$11-'00-三表与联动'!$B$12))/'00-三表与联动'!$B$9</f>
        <v>466.509762673717</v>
      </c>
      <c r="F171" s="100" t="n">
        <f aca="false">IF($A$171&lt;=F$167,"n/a",($B$62*(1+$B$209)^3.5/(1+$A$171)^3.5+$G$45*(1+F$167)/($A$171-F$167)/(1+$A$171)^6)+('00-三表与联动'!$B$10+'00-三表与联动'!$B$11-'00-三表与联动'!$B$12))/'00-三表与联动'!$B$9</f>
        <v>475.389649545295</v>
      </c>
      <c r="G171" s="34"/>
      <c r="H171" s="135" t="n">
        <f aca="false">$B$209+0.01</f>
        <v>0.15</v>
      </c>
      <c r="I171" s="100" t="n">
        <f aca="false">IF($H$171&lt;=$B$211,"n/a",($B$62*(1+$B$209)^3.5/(1+$H$171)^3.5+(($G$32*I$167-$G$32*$B$199)*(1-$B$201)+$G$40+($G$41+$G$42)+$G$44)*(1+$B$211)/($H$171-$B$211)/(1+$H$171)^6)+('00-三表与联动'!$B$10+'00-三表与联动'!$B$11-'00-三表与联动'!$B$12))/'00-三表与联动'!$B$9</f>
        <v>402.827121598876</v>
      </c>
      <c r="J171" s="100" t="n">
        <f aca="false">IF($H$171&lt;=$B$211,"n/a",($B$62*(1+$B$209)^3.5/(1+$H$171)^3.5+(($G$32*J$167-$G$32*$B$199)*(1-$B$201)+$G$40+($G$41+$G$42)+$G$44)*(1+$B$211)/($H$171-$B$211)/(1+$H$171)^6)+('00-三表与联动'!$B$10+'00-三表与联动'!$B$11-'00-三表与联动'!$B$12))/'00-三表与联动'!$B$9</f>
        <v>430.58369417537</v>
      </c>
      <c r="K171" s="100" t="n">
        <f aca="false">IF($H$171&lt;=$B$211,"n/a",($B$62*(1+$B$209)^3.5/(1+$H$171)^3.5+(($G$32*K$167-$G$32*$B$199)*(1-$B$201)+$G$40+($G$41+$G$42)+$G$44)*(1+$B$211)/($H$171-$B$211)/(1+$H$171)^6)+('00-三表与联动'!$B$10+'00-三表与联动'!$B$11-'00-三表与联动'!$B$12))/'00-三表与联动'!$B$9</f>
        <v>458.340266751865</v>
      </c>
      <c r="L171" s="100" t="n">
        <f aca="false">IF($H$171&lt;=$B$211,"n/a",($B$62*(1+$B$209)^3.5/(1+$H$171)^3.5+(($G$32*L$167-$G$32*$B$199)*(1-$B$201)+$G$40+($G$41+$G$42)+$G$44)*(1+$B$211)/($H$171-$B$211)/(1+$H$171)^6)+('00-三表与联动'!$B$10+'00-三表与联动'!$B$11-'00-三表与联动'!$B$12))/'00-三表与联动'!$B$9</f>
        <v>486.096839328359</v>
      </c>
      <c r="M171" s="100" t="n">
        <f aca="false">IF($H$171&lt;=$B$211,"n/a",($B$62*(1+$B$209)^3.5/(1+$H$171)^3.5+(($G$32*M$167-$G$32*$B$199)*(1-$B$201)+$G$40+($G$41+$G$42)+$G$44)*(1+$B$211)/($H$171-$B$211)/(1+$H$171)^6)+('00-三表与联动'!$B$10+'00-三表与联动'!$B$11-'00-三表与联动'!$B$12))/'00-三表与联动'!$B$9</f>
        <v>513.853411904853</v>
      </c>
      <c r="N171" s="34"/>
    </row>
    <row r="172" customFormat="false" ht="18.75" hidden="false" customHeight="true" outlineLevel="0" collapsed="false">
      <c r="A172" s="135" t="n">
        <f aca="false">$B$209+0.02</f>
        <v>0.16</v>
      </c>
      <c r="B172" s="100" t="n">
        <f aca="false">IF($A$172&lt;=B$167,"n/a",($B$62*(1+$B$209)^3.5/(1+$A$172)^3.5+$G$45*(1+B$167)/($A$172-B$167)/(1+$A$172)^6)+('00-三表与联动'!$B$10+'00-三表与联动'!$B$11-'00-三表与联动'!$B$12))/'00-三表与联动'!$B$9</f>
        <v>418.008896114155</v>
      </c>
      <c r="C172" s="100" t="n">
        <f aca="false">IF($A$172&lt;=C$167,"n/a",($B$62*(1+$B$209)^3.5/(1+$A$172)^3.5+$G$45*(1+C$167)/($A$172-C$167)/(1+$A$172)^6)+('00-三表与联动'!$B$10+'00-三表与联动'!$B$11-'00-三表与联动'!$B$12))/'00-三表与联动'!$B$9</f>
        <v>423.789719978644</v>
      </c>
      <c r="D172" s="100" t="n">
        <f aca="false">IF($A$172&lt;=D$167,"n/a",($B$62*(1+$B$209)^3.5/(1+$A$172)^3.5+$G$45*(1+D$167)/($A$172-D$167)/(1+$A$172)^6)+('00-三表与联动'!$B$10+'00-三表与联动'!$B$11-'00-三表与联动'!$B$12))/'00-三表与联动'!$B$9</f>
        <v>429.99875301828</v>
      </c>
      <c r="E172" s="100" t="n">
        <f aca="false">IF($A$172&lt;=E$167,"n/a",($B$62*(1+$B$209)^3.5/(1+$A$172)^3.5+$G$45*(1+E$167)/($A$172-E$167)/(1+$A$172)^6)+('00-三表与联动'!$B$10+'00-三表与联动'!$B$11-'00-三表与联动'!$B$12))/'00-三表与联动'!$B$9</f>
        <v>436.685403984042</v>
      </c>
      <c r="F172" s="100" t="n">
        <f aca="false">IF($A$172&lt;=F$167,"n/a",($B$62*(1+$B$209)^3.5/(1+$A$172)^3.5+$G$45*(1+F$167)/($A$172-F$167)/(1+$A$172)^6)+('00-三表与联动'!$B$10+'00-三表与联动'!$B$11-'00-三表与联动'!$B$12))/'00-三表与联动'!$B$9</f>
        <v>443.906987027065</v>
      </c>
      <c r="G172" s="34"/>
      <c r="H172" s="135" t="n">
        <f aca="false">$B$209+0.02</f>
        <v>0.16</v>
      </c>
      <c r="I172" s="100" t="n">
        <f aca="false">IF($H$172&lt;=$B$211,"n/a",($B$62*(1+$B$209)^3.5/(1+$H$172)^3.5+(($G$32*I$167-$G$32*$B$199)*(1-$B$201)+$G$40+($G$41+$G$42)+$G$44)*(1+$B$211)/($H$172-$B$211)/(1+$H$172)^6)+('00-三表与联动'!$B$10+'00-三表与联动'!$B$11-'00-三表与联动'!$B$12))/'00-三表与联动'!$B$9</f>
        <v>381.199723549987</v>
      </c>
      <c r="J172" s="100" t="n">
        <f aca="false">IF($H$172&lt;=$B$211,"n/a",($B$62*(1+$B$209)^3.5/(1+$H$172)^3.5+(($G$32*J$167-$G$32*$B$199)*(1-$B$201)+$G$40+($G$41+$G$42)+$G$44)*(1+$B$211)/($H$172-$B$211)/(1+$H$172)^6)+('00-三表与联动'!$B$10+'00-三表与联动'!$B$11-'00-三表与联动'!$B$12))/'00-三表与联动'!$B$9</f>
        <v>405.599238284134</v>
      </c>
      <c r="K172" s="100" t="n">
        <f aca="false">IF($H$172&lt;=$B$211,"n/a",($B$62*(1+$B$209)^3.5/(1+$H$172)^3.5+(($G$32*K$167-$G$32*$B$199)*(1-$B$201)+$G$40+($G$41+$G$42)+$G$44)*(1+$B$211)/($H$172-$B$211)/(1+$H$172)^6)+('00-三表与联动'!$B$10+'00-三表与联动'!$B$11-'00-三表与联动'!$B$12))/'00-三表与联动'!$B$9</f>
        <v>429.99875301828</v>
      </c>
      <c r="L172" s="100" t="n">
        <f aca="false">IF($H$172&lt;=$B$211,"n/a",($B$62*(1+$B$209)^3.5/(1+$H$172)^3.5+(($G$32*L$167-$G$32*$B$199)*(1-$B$201)+$G$40+($G$41+$G$42)+$G$44)*(1+$B$211)/($H$172-$B$211)/(1+$H$172)^6)+('00-三表与联动'!$B$10+'00-三表与联动'!$B$11-'00-三表与联动'!$B$12))/'00-三表与联动'!$B$9</f>
        <v>454.398267752427</v>
      </c>
      <c r="M172" s="100" t="n">
        <f aca="false">IF($H$172&lt;=$B$211,"n/a",($B$62*(1+$B$209)^3.5/(1+$H$172)^3.5+(($G$32*M$167-$G$32*$B$199)*(1-$B$201)+$G$40+($G$41+$G$42)+$G$44)*(1+$B$211)/($H$172-$B$211)/(1+$H$172)^6)+('00-三表与联动'!$B$10+'00-三表与联动'!$B$11-'00-三表与联动'!$B$12))/'00-三表与联动'!$B$9</f>
        <v>478.797782486574</v>
      </c>
      <c r="N172" s="34"/>
    </row>
    <row r="173" customFormat="false" ht="24" hidden="false" customHeight="true" outlineLevel="0" collapsed="false">
      <c r="A173" s="73" t="s">
        <v>499</v>
      </c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</row>
    <row r="174" customFormat="false" ht="33" hidden="false" customHeight="true" outlineLevel="0" collapsed="false">
      <c r="A174" s="137" t="s">
        <v>500</v>
      </c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</row>
    <row r="175" customFormat="false" ht="27" hidden="false" customHeight="true" outlineLevel="0" collapsed="false">
      <c r="A175" s="4" t="s">
        <v>501</v>
      </c>
      <c r="B175" s="4" t="s">
        <v>502</v>
      </c>
      <c r="C175" s="4" t="s">
        <v>503</v>
      </c>
      <c r="D175" s="4"/>
      <c r="E175" s="4" t="s">
        <v>504</v>
      </c>
      <c r="F175" s="4"/>
      <c r="G175" s="4"/>
      <c r="H175" s="4"/>
      <c r="I175" s="4"/>
      <c r="J175" s="4" t="s">
        <v>505</v>
      </c>
      <c r="K175" s="4"/>
      <c r="L175" s="4"/>
      <c r="M175" s="4"/>
      <c r="N175" s="4"/>
    </row>
    <row r="176" customFormat="false" ht="43.5" hidden="false" customHeight="true" outlineLevel="0" collapsed="false">
      <c r="A176" s="125" t="s">
        <v>506</v>
      </c>
      <c r="B176" s="138" t="s">
        <v>507</v>
      </c>
      <c r="C176" s="68" t="s">
        <v>508</v>
      </c>
      <c r="D176" s="68"/>
      <c r="E176" s="139" t="s">
        <v>509</v>
      </c>
      <c r="F176" s="139"/>
      <c r="G176" s="139"/>
      <c r="H176" s="139"/>
      <c r="I176" s="139"/>
      <c r="J176" s="140" t="s">
        <v>510</v>
      </c>
      <c r="K176" s="140"/>
      <c r="L176" s="140"/>
      <c r="M176" s="140"/>
      <c r="N176" s="140"/>
    </row>
    <row r="177" customFormat="false" ht="43.5" hidden="false" customHeight="true" outlineLevel="0" collapsed="false">
      <c r="A177" s="118" t="s">
        <v>511</v>
      </c>
      <c r="B177" s="138" t="s">
        <v>512</v>
      </c>
      <c r="C177" s="68" t="s">
        <v>513</v>
      </c>
      <c r="D177" s="68"/>
      <c r="E177" s="141" t="s">
        <v>514</v>
      </c>
      <c r="F177" s="141"/>
      <c r="G177" s="141"/>
      <c r="H177" s="141"/>
      <c r="I177" s="141"/>
      <c r="J177" s="142" t="s">
        <v>515</v>
      </c>
      <c r="K177" s="142"/>
      <c r="L177" s="142"/>
      <c r="M177" s="142"/>
      <c r="N177" s="142"/>
    </row>
    <row r="178" customFormat="false" ht="39.75" hidden="false" customHeight="true" outlineLevel="0" collapsed="false">
      <c r="A178" s="125" t="s">
        <v>516</v>
      </c>
      <c r="B178" s="143" t="s">
        <v>517</v>
      </c>
      <c r="C178" s="56" t="s">
        <v>518</v>
      </c>
      <c r="D178" s="56"/>
      <c r="E178" s="141" t="s">
        <v>519</v>
      </c>
      <c r="F178" s="141"/>
      <c r="G178" s="141"/>
      <c r="H178" s="141"/>
      <c r="I178" s="141"/>
      <c r="J178" s="142" t="s">
        <v>520</v>
      </c>
      <c r="K178" s="142"/>
      <c r="L178" s="142"/>
      <c r="M178" s="142"/>
      <c r="N178" s="142"/>
    </row>
    <row r="179" customFormat="false" ht="39.75" hidden="false" customHeight="true" outlineLevel="0" collapsed="false">
      <c r="A179" s="118" t="s">
        <v>521</v>
      </c>
      <c r="B179" s="143" t="s">
        <v>522</v>
      </c>
      <c r="C179" s="68" t="s">
        <v>523</v>
      </c>
      <c r="D179" s="68"/>
      <c r="E179" s="141" t="s">
        <v>524</v>
      </c>
      <c r="F179" s="141"/>
      <c r="G179" s="141"/>
      <c r="H179" s="141"/>
      <c r="I179" s="141"/>
      <c r="J179" s="142" t="s">
        <v>525</v>
      </c>
      <c r="K179" s="142"/>
      <c r="L179" s="142"/>
      <c r="M179" s="142"/>
      <c r="N179" s="142"/>
    </row>
    <row r="180" customFormat="false" ht="39.75" hidden="false" customHeight="true" outlineLevel="0" collapsed="false">
      <c r="A180" s="118" t="s">
        <v>526</v>
      </c>
      <c r="B180" s="143" t="s">
        <v>527</v>
      </c>
      <c r="C180" s="68" t="s">
        <v>528</v>
      </c>
      <c r="D180" s="68"/>
      <c r="E180" s="141" t="s">
        <v>529</v>
      </c>
      <c r="F180" s="141"/>
      <c r="G180" s="141"/>
      <c r="H180" s="141"/>
      <c r="I180" s="141"/>
      <c r="J180" s="142" t="s">
        <v>530</v>
      </c>
      <c r="K180" s="142"/>
      <c r="L180" s="142"/>
      <c r="M180" s="142"/>
      <c r="N180" s="142"/>
    </row>
    <row r="181" customFormat="false" ht="33" hidden="false" customHeight="true" outlineLevel="0" collapsed="false">
      <c r="A181" s="44" t="s">
        <v>531</v>
      </c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</row>
    <row r="183" customFormat="false" ht="33" hidden="false" customHeight="true" outlineLevel="0" collapsed="false">
      <c r="A183" s="44" t="s">
        <v>532</v>
      </c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</row>
    <row r="186" customFormat="false" ht="24" hidden="false" customHeight="true" outlineLevel="0" collapsed="false">
      <c r="A186" s="12" t="s">
        <v>533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33" hidden="false" customHeight="true" outlineLevel="0" collapsed="false">
      <c r="A187" s="74" t="s">
        <v>534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</row>
    <row r="188" customFormat="false" ht="27" hidden="false" customHeight="true" outlineLevel="0" collapsed="false">
      <c r="A188" s="4" t="s">
        <v>325</v>
      </c>
      <c r="B188" s="4" t="s">
        <v>464</v>
      </c>
      <c r="C188" s="4" t="s">
        <v>465</v>
      </c>
      <c r="D188" s="4"/>
      <c r="E188" s="4"/>
      <c r="F188" s="4"/>
      <c r="G188" s="4"/>
      <c r="H188" s="4" t="s">
        <v>466</v>
      </c>
      <c r="I188" s="4" t="s">
        <v>467</v>
      </c>
      <c r="J188" s="4" t="s">
        <v>373</v>
      </c>
      <c r="K188" s="4"/>
      <c r="L188" s="4"/>
      <c r="M188" s="4"/>
      <c r="N188" s="4"/>
    </row>
    <row r="189" customFormat="false" ht="30" hidden="false" customHeight="true" outlineLevel="0" collapsed="false">
      <c r="A189" s="125" t="s">
        <v>535</v>
      </c>
      <c r="B189" s="144" t="n">
        <f aca="false">H189*50</f>
        <v>10550</v>
      </c>
      <c r="C189" s="120"/>
      <c r="D189" s="120"/>
      <c r="E189" s="120"/>
      <c r="F189" s="120"/>
      <c r="G189" s="120"/>
      <c r="H189" s="121" t="n">
        <v>211</v>
      </c>
      <c r="I189" s="122" t="s">
        <v>536</v>
      </c>
      <c r="J189" s="123" t="s">
        <v>537</v>
      </c>
      <c r="K189" s="123"/>
      <c r="L189" s="123"/>
      <c r="M189" s="123"/>
      <c r="N189" s="123"/>
    </row>
    <row r="190" customFormat="false" ht="30" hidden="false" customHeight="true" outlineLevel="0" collapsed="false">
      <c r="A190" s="125"/>
      <c r="B190" s="144"/>
      <c r="C190" s="120"/>
      <c r="D190" s="120"/>
      <c r="E190" s="120"/>
      <c r="F190" s="120"/>
      <c r="G190" s="120"/>
      <c r="H190" s="121"/>
      <c r="I190" s="122"/>
      <c r="J190" s="122"/>
      <c r="K190" s="123"/>
      <c r="L190" s="123"/>
      <c r="M190" s="123"/>
      <c r="N190" s="123"/>
    </row>
    <row r="191" customFormat="false" ht="30" hidden="false" customHeight="true" outlineLevel="0" collapsed="false">
      <c r="A191" s="125" t="s">
        <v>538</v>
      </c>
      <c r="B191" s="145" t="n">
        <f aca="false">(H191-100)/1000</f>
        <v>0</v>
      </c>
      <c r="C191" s="120"/>
      <c r="D191" s="120"/>
      <c r="E191" s="120"/>
      <c r="F191" s="120"/>
      <c r="G191" s="120"/>
      <c r="H191" s="121" t="n">
        <v>100</v>
      </c>
      <c r="I191" s="122" t="s">
        <v>539</v>
      </c>
      <c r="J191" s="123" t="s">
        <v>540</v>
      </c>
      <c r="K191" s="123"/>
      <c r="L191" s="123"/>
      <c r="M191" s="123"/>
      <c r="N191" s="123"/>
    </row>
    <row r="192" customFormat="false" ht="30" hidden="false" customHeight="true" outlineLevel="0" collapsed="false">
      <c r="A192" s="125"/>
      <c r="B192" s="145"/>
      <c r="C192" s="120"/>
      <c r="D192" s="120"/>
      <c r="E192" s="120"/>
      <c r="F192" s="120"/>
      <c r="G192" s="120"/>
      <c r="H192" s="121"/>
      <c r="I192" s="122"/>
      <c r="J192" s="122"/>
      <c r="K192" s="123"/>
      <c r="L192" s="123"/>
      <c r="M192" s="123"/>
      <c r="N192" s="123"/>
    </row>
    <row r="193" customFormat="false" ht="30" hidden="false" customHeight="true" outlineLevel="0" collapsed="false">
      <c r="A193" s="118" t="s">
        <v>541</v>
      </c>
      <c r="B193" s="145" t="n">
        <f aca="false">(H193-150)/1000</f>
        <v>0</v>
      </c>
      <c r="C193" s="120"/>
      <c r="D193" s="120"/>
      <c r="E193" s="120"/>
      <c r="F193" s="120"/>
      <c r="G193" s="120"/>
      <c r="H193" s="121" t="n">
        <v>150</v>
      </c>
      <c r="I193" s="122" t="s">
        <v>542</v>
      </c>
      <c r="J193" s="123" t="s">
        <v>543</v>
      </c>
      <c r="K193" s="123"/>
      <c r="L193" s="123"/>
      <c r="M193" s="123"/>
      <c r="N193" s="123"/>
    </row>
    <row r="194" customFormat="false" ht="30" hidden="false" customHeight="true" outlineLevel="0" collapsed="false">
      <c r="A194" s="118"/>
      <c r="B194" s="145"/>
      <c r="C194" s="120"/>
      <c r="D194" s="120"/>
      <c r="E194" s="120"/>
      <c r="F194" s="120"/>
      <c r="G194" s="120"/>
      <c r="H194" s="121"/>
      <c r="I194" s="122"/>
      <c r="J194" s="122"/>
      <c r="K194" s="123"/>
      <c r="L194" s="123"/>
      <c r="M194" s="123"/>
      <c r="N194" s="123"/>
    </row>
    <row r="195" customFormat="false" ht="30" hidden="false" customHeight="true" outlineLevel="0" collapsed="false">
      <c r="A195" s="118" t="s">
        <v>544</v>
      </c>
      <c r="B195" s="119" t="n">
        <f aca="false">H195/1000</f>
        <v>0.46</v>
      </c>
      <c r="C195" s="120"/>
      <c r="D195" s="120"/>
      <c r="E195" s="120"/>
      <c r="F195" s="120"/>
      <c r="G195" s="120"/>
      <c r="H195" s="121" t="n">
        <v>460</v>
      </c>
      <c r="I195" s="122" t="s">
        <v>545</v>
      </c>
      <c r="J195" s="123" t="s">
        <v>546</v>
      </c>
      <c r="K195" s="123"/>
      <c r="L195" s="123"/>
      <c r="M195" s="123"/>
      <c r="N195" s="123"/>
    </row>
    <row r="196" customFormat="false" ht="30" hidden="false" customHeight="true" outlineLevel="0" collapsed="false">
      <c r="A196" s="118"/>
      <c r="B196" s="119"/>
      <c r="C196" s="120"/>
      <c r="D196" s="120"/>
      <c r="E196" s="120"/>
      <c r="F196" s="120"/>
      <c r="G196" s="120"/>
      <c r="H196" s="121"/>
      <c r="I196" s="122"/>
      <c r="J196" s="122"/>
      <c r="K196" s="123"/>
      <c r="L196" s="123"/>
      <c r="M196" s="123"/>
      <c r="N196" s="123"/>
    </row>
    <row r="197" customFormat="false" ht="30" hidden="false" customHeight="true" outlineLevel="0" collapsed="false">
      <c r="A197" s="125" t="s">
        <v>547</v>
      </c>
      <c r="B197" s="145" t="n">
        <f aca="false">(H197-100)/1000</f>
        <v>0</v>
      </c>
      <c r="C197" s="120"/>
      <c r="D197" s="120"/>
      <c r="E197" s="120"/>
      <c r="F197" s="120"/>
      <c r="G197" s="120"/>
      <c r="H197" s="121" t="n">
        <v>100</v>
      </c>
      <c r="I197" s="122" t="s">
        <v>548</v>
      </c>
      <c r="J197" s="123" t="s">
        <v>549</v>
      </c>
      <c r="K197" s="123"/>
      <c r="L197" s="123"/>
      <c r="M197" s="123"/>
      <c r="N197" s="123"/>
    </row>
    <row r="198" customFormat="false" ht="30" hidden="false" customHeight="true" outlineLevel="0" collapsed="false">
      <c r="A198" s="125"/>
      <c r="B198" s="145"/>
      <c r="C198" s="120"/>
      <c r="D198" s="120"/>
      <c r="E198" s="120"/>
      <c r="F198" s="120"/>
      <c r="G198" s="120"/>
      <c r="H198" s="121"/>
      <c r="I198" s="122"/>
      <c r="J198" s="122"/>
      <c r="K198" s="123"/>
      <c r="L198" s="123"/>
      <c r="M198" s="123"/>
      <c r="N198" s="123"/>
    </row>
    <row r="199" customFormat="false" ht="30" hidden="false" customHeight="true" outlineLevel="0" collapsed="false">
      <c r="A199" s="118" t="s">
        <v>550</v>
      </c>
      <c r="B199" s="119" t="n">
        <f aca="false">H199/1000</f>
        <v>0.07</v>
      </c>
      <c r="C199" s="120"/>
      <c r="D199" s="120"/>
      <c r="E199" s="120"/>
      <c r="F199" s="120"/>
      <c r="G199" s="120"/>
      <c r="H199" s="121" t="n">
        <v>70</v>
      </c>
      <c r="I199" s="122" t="s">
        <v>551</v>
      </c>
      <c r="J199" s="123" t="s">
        <v>552</v>
      </c>
      <c r="K199" s="123"/>
      <c r="L199" s="123"/>
      <c r="M199" s="123"/>
      <c r="N199" s="123"/>
    </row>
    <row r="200" customFormat="false" ht="30" hidden="false" customHeight="true" outlineLevel="0" collapsed="false">
      <c r="A200" s="118"/>
      <c r="B200" s="119"/>
      <c r="C200" s="120"/>
      <c r="D200" s="120"/>
      <c r="E200" s="120"/>
      <c r="F200" s="120"/>
      <c r="G200" s="120"/>
      <c r="H200" s="121"/>
      <c r="I200" s="122"/>
      <c r="J200" s="122"/>
      <c r="K200" s="123"/>
      <c r="L200" s="123"/>
      <c r="M200" s="123"/>
      <c r="N200" s="123"/>
    </row>
    <row r="201" customFormat="false" ht="30" hidden="false" customHeight="true" outlineLevel="0" collapsed="false">
      <c r="A201" s="118" t="s">
        <v>553</v>
      </c>
      <c r="B201" s="119" t="n">
        <f aca="false">H201/1000</f>
        <v>0.17</v>
      </c>
      <c r="C201" s="120"/>
      <c r="D201" s="120"/>
      <c r="E201" s="120"/>
      <c r="F201" s="120"/>
      <c r="G201" s="120"/>
      <c r="H201" s="121" t="n">
        <v>170</v>
      </c>
      <c r="I201" s="122" t="s">
        <v>554</v>
      </c>
      <c r="J201" s="146" t="s">
        <v>555</v>
      </c>
      <c r="K201" s="146"/>
      <c r="L201" s="146"/>
      <c r="M201" s="146"/>
      <c r="N201" s="146"/>
    </row>
    <row r="202" customFormat="false" ht="30" hidden="false" customHeight="true" outlineLevel="0" collapsed="false">
      <c r="A202" s="118"/>
      <c r="B202" s="119"/>
      <c r="C202" s="120"/>
      <c r="D202" s="120"/>
      <c r="E202" s="120"/>
      <c r="F202" s="120"/>
      <c r="G202" s="120"/>
      <c r="H202" s="121"/>
      <c r="I202" s="122"/>
      <c r="J202" s="122"/>
      <c r="K202" s="146"/>
      <c r="L202" s="146"/>
      <c r="M202" s="146"/>
      <c r="N202" s="146"/>
    </row>
    <row r="203" customFormat="false" ht="30" hidden="false" customHeight="true" outlineLevel="0" collapsed="false">
      <c r="A203" s="118" t="s">
        <v>556</v>
      </c>
      <c r="B203" s="119" t="n">
        <f aca="false">H203/1000</f>
        <v>0.018</v>
      </c>
      <c r="C203" s="120"/>
      <c r="D203" s="120"/>
      <c r="E203" s="120"/>
      <c r="F203" s="120"/>
      <c r="G203" s="120"/>
      <c r="H203" s="121" t="n">
        <v>18</v>
      </c>
      <c r="I203" s="122" t="s">
        <v>557</v>
      </c>
      <c r="J203" s="146" t="s">
        <v>558</v>
      </c>
      <c r="K203" s="146"/>
      <c r="L203" s="146"/>
      <c r="M203" s="146"/>
      <c r="N203" s="146"/>
    </row>
    <row r="204" customFormat="false" ht="30" hidden="false" customHeight="true" outlineLevel="0" collapsed="false">
      <c r="A204" s="118"/>
      <c r="B204" s="119"/>
      <c r="C204" s="120"/>
      <c r="D204" s="120"/>
      <c r="E204" s="120"/>
      <c r="F204" s="120"/>
      <c r="G204" s="120"/>
      <c r="H204" s="121"/>
      <c r="I204" s="122"/>
      <c r="J204" s="122"/>
      <c r="K204" s="146"/>
      <c r="L204" s="146"/>
      <c r="M204" s="146"/>
      <c r="N204" s="146"/>
    </row>
    <row r="205" customFormat="false" ht="30" hidden="false" customHeight="true" outlineLevel="0" collapsed="false">
      <c r="A205" s="125" t="s">
        <v>559</v>
      </c>
      <c r="B205" s="119" t="n">
        <f aca="false">H205/1000</f>
        <v>0.037</v>
      </c>
      <c r="C205" s="120"/>
      <c r="D205" s="120"/>
      <c r="E205" s="120"/>
      <c r="F205" s="120"/>
      <c r="G205" s="120"/>
      <c r="H205" s="121" t="n">
        <v>37</v>
      </c>
      <c r="I205" s="122" t="s">
        <v>560</v>
      </c>
      <c r="J205" s="146" t="s">
        <v>561</v>
      </c>
      <c r="K205" s="146"/>
      <c r="L205" s="146"/>
      <c r="M205" s="146"/>
      <c r="N205" s="146"/>
    </row>
    <row r="206" customFormat="false" ht="30" hidden="false" customHeight="true" outlineLevel="0" collapsed="false">
      <c r="A206" s="125"/>
      <c r="B206" s="119"/>
      <c r="C206" s="120"/>
      <c r="D206" s="120"/>
      <c r="E206" s="120"/>
      <c r="F206" s="120"/>
      <c r="G206" s="120"/>
      <c r="H206" s="121"/>
      <c r="I206" s="122"/>
      <c r="J206" s="122"/>
      <c r="K206" s="146"/>
      <c r="L206" s="146"/>
      <c r="M206" s="146"/>
      <c r="N206" s="146"/>
    </row>
    <row r="207" customFormat="false" ht="30" hidden="false" customHeight="true" outlineLevel="0" collapsed="false">
      <c r="A207" s="118" t="s">
        <v>562</v>
      </c>
      <c r="B207" s="119" t="n">
        <f aca="false">H207/1000</f>
        <v>0.2</v>
      </c>
      <c r="C207" s="120"/>
      <c r="D207" s="120"/>
      <c r="E207" s="120"/>
      <c r="F207" s="120"/>
      <c r="G207" s="120"/>
      <c r="H207" s="121" t="n">
        <v>200</v>
      </c>
      <c r="I207" s="122" t="s">
        <v>563</v>
      </c>
      <c r="J207" s="123" t="s">
        <v>564</v>
      </c>
      <c r="K207" s="123"/>
      <c r="L207" s="123"/>
      <c r="M207" s="123"/>
      <c r="N207" s="123"/>
    </row>
    <row r="208" customFormat="false" ht="30" hidden="false" customHeight="true" outlineLevel="0" collapsed="false">
      <c r="A208" s="118"/>
      <c r="B208" s="119"/>
      <c r="C208" s="120"/>
      <c r="D208" s="120"/>
      <c r="E208" s="120"/>
      <c r="F208" s="120"/>
      <c r="G208" s="120"/>
      <c r="H208" s="121"/>
      <c r="I208" s="122"/>
      <c r="J208" s="122"/>
      <c r="K208" s="123"/>
      <c r="L208" s="123"/>
      <c r="M208" s="123"/>
      <c r="N208" s="123"/>
    </row>
    <row r="209" customFormat="false" ht="30" hidden="false" customHeight="true" outlineLevel="0" collapsed="false">
      <c r="A209" s="118" t="s">
        <v>565</v>
      </c>
      <c r="B209" s="119" t="n">
        <f aca="false">H209/1000</f>
        <v>0.14</v>
      </c>
      <c r="C209" s="120"/>
      <c r="D209" s="120"/>
      <c r="E209" s="120"/>
      <c r="F209" s="120"/>
      <c r="G209" s="120"/>
      <c r="H209" s="121" t="n">
        <v>140</v>
      </c>
      <c r="I209" s="122" t="s">
        <v>566</v>
      </c>
      <c r="J209" s="123" t="s">
        <v>567</v>
      </c>
      <c r="K209" s="123"/>
      <c r="L209" s="123"/>
      <c r="M209" s="123"/>
      <c r="N209" s="123"/>
    </row>
    <row r="210" customFormat="false" ht="30" hidden="false" customHeight="true" outlineLevel="0" collapsed="false">
      <c r="A210" s="118"/>
      <c r="B210" s="119"/>
      <c r="C210" s="120"/>
      <c r="D210" s="120"/>
      <c r="E210" s="120"/>
      <c r="F210" s="120"/>
      <c r="G210" s="120"/>
      <c r="H210" s="121"/>
      <c r="I210" s="122"/>
      <c r="J210" s="122"/>
      <c r="K210" s="123"/>
      <c r="L210" s="123"/>
      <c r="M210" s="123"/>
      <c r="N210" s="123"/>
    </row>
    <row r="211" customFormat="false" ht="30" hidden="false" customHeight="true" outlineLevel="0" collapsed="false">
      <c r="A211" s="118" t="s">
        <v>568</v>
      </c>
      <c r="B211" s="119" t="n">
        <f aca="false">H211/1000</f>
        <v>0.025</v>
      </c>
      <c r="C211" s="120"/>
      <c r="D211" s="120"/>
      <c r="E211" s="120"/>
      <c r="F211" s="120"/>
      <c r="G211" s="120"/>
      <c r="H211" s="121" t="n">
        <v>25</v>
      </c>
      <c r="I211" s="122" t="s">
        <v>569</v>
      </c>
      <c r="J211" s="123" t="s">
        <v>570</v>
      </c>
      <c r="K211" s="123"/>
      <c r="L211" s="123"/>
      <c r="M211" s="123"/>
      <c r="N211" s="123"/>
    </row>
    <row r="212" customFormat="false" ht="30" hidden="false" customHeight="true" outlineLevel="0" collapsed="false">
      <c r="A212" s="118"/>
      <c r="B212" s="119"/>
      <c r="C212" s="120"/>
      <c r="D212" s="120"/>
      <c r="E212" s="120"/>
      <c r="F212" s="120"/>
      <c r="G212" s="120"/>
      <c r="H212" s="121"/>
      <c r="I212" s="122"/>
      <c r="J212" s="122"/>
      <c r="K212" s="123"/>
      <c r="L212" s="123"/>
      <c r="M212" s="123"/>
      <c r="N212" s="123"/>
    </row>
    <row r="213" customFormat="false" ht="24" hidden="false" customHeight="true" outlineLevel="0" collapsed="false">
      <c r="A213" s="73" t="s">
        <v>571</v>
      </c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</row>
    <row r="214" customFormat="false" ht="27" hidden="false" customHeight="true" outlineLevel="0" collapsed="false">
      <c r="A214" s="4" t="s">
        <v>26</v>
      </c>
      <c r="B214" s="4" t="s">
        <v>27</v>
      </c>
      <c r="C214" s="4" t="s">
        <v>572</v>
      </c>
      <c r="D214" s="4" t="s">
        <v>573</v>
      </c>
      <c r="E214" s="13" t="s">
        <v>29</v>
      </c>
      <c r="F214" s="13" t="s">
        <v>30</v>
      </c>
      <c r="G214" s="13" t="s">
        <v>574</v>
      </c>
      <c r="H214" s="13" t="s">
        <v>575</v>
      </c>
      <c r="I214" s="13" t="s">
        <v>576</v>
      </c>
      <c r="J214" s="13" t="s">
        <v>31</v>
      </c>
      <c r="K214" s="13" t="s">
        <v>577</v>
      </c>
      <c r="L214" s="4" t="s">
        <v>578</v>
      </c>
      <c r="M214" s="4"/>
      <c r="N214" s="4"/>
    </row>
    <row r="215" customFormat="false" ht="30" hidden="false" customHeight="true" outlineLevel="0" collapsed="false">
      <c r="A215" s="147" t="n">
        <f aca="false">B72</f>
        <v>498.861303730054</v>
      </c>
      <c r="B215" s="148" t="n">
        <f aca="false">B74</f>
        <v>-0.667463484984999</v>
      </c>
      <c r="C215" s="149" t="n">
        <f aca="false">B65</f>
        <v>0.454994556213811</v>
      </c>
      <c r="D215" s="150" t="n">
        <f aca="false">B66</f>
        <v>70784.5020781583</v>
      </c>
      <c r="E215" s="150" t="n">
        <f aca="false">F13</f>
        <v>36999.9997092743</v>
      </c>
      <c r="F215" s="151" t="n">
        <f aca="false">F16/F13</f>
        <v>0.727986469925528</v>
      </c>
      <c r="G215" s="150" t="n">
        <f aca="false">F18</f>
        <v>24345.499195951</v>
      </c>
      <c r="H215" s="152" t="n">
        <f aca="false">F18*(1-$B$201)/'00-三表与联动'!$B$9</f>
        <v>130.366221500899</v>
      </c>
      <c r="I215" s="150" t="n">
        <f aca="false">G32</f>
        <v>29243.0474502242</v>
      </c>
      <c r="J215" s="151" t="n">
        <f aca="false">G34</f>
        <v>0.46</v>
      </c>
      <c r="K215" s="151" t="n">
        <f aca="false">G45/G32</f>
        <v>0.261285185185185</v>
      </c>
      <c r="L215" s="153" t="n">
        <f aca="false">B63/(G37+G40)</f>
        <v>6.0830725804687</v>
      </c>
      <c r="M215" s="34"/>
      <c r="N215" s="34"/>
    </row>
    <row r="217" customFormat="false" ht="24" hidden="false" customHeight="true" outlineLevel="0" collapsed="false">
      <c r="A217" s="154" t="s">
        <v>579</v>
      </c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</row>
    <row r="218" customFormat="false" ht="33" hidden="false" customHeight="true" outlineLevel="0" collapsed="false">
      <c r="A218" s="44" t="s">
        <v>580</v>
      </c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</row>
    <row r="219" customFormat="false" ht="27" hidden="false" customHeight="true" outlineLevel="0" collapsed="false">
      <c r="A219" s="4" t="s">
        <v>581</v>
      </c>
      <c r="B219" s="4" t="s">
        <v>582</v>
      </c>
      <c r="C219" s="4"/>
      <c r="D219" s="4" t="s">
        <v>27</v>
      </c>
      <c r="E219" s="4" t="s">
        <v>373</v>
      </c>
      <c r="F219" s="4"/>
      <c r="G219" s="4"/>
      <c r="H219" s="4"/>
      <c r="I219" s="4"/>
      <c r="J219" s="4"/>
      <c r="K219" s="4"/>
      <c r="L219" s="4"/>
      <c r="M219" s="4"/>
      <c r="N219" s="4"/>
    </row>
    <row r="220" customFormat="false" ht="21.75" hidden="false" customHeight="true" outlineLevel="0" collapsed="false">
      <c r="A220" s="155" t="s">
        <v>583</v>
      </c>
      <c r="B220" s="156" t="n">
        <f aca="false">B72</f>
        <v>498.861303730054</v>
      </c>
      <c r="C220" s="156"/>
      <c r="D220" s="157" t="n">
        <f aca="false">B220/'00-三表与联动'!$B$6-1</f>
        <v>-0.667463484984999</v>
      </c>
      <c r="E220" s="56" t="s">
        <v>584</v>
      </c>
      <c r="F220" s="56"/>
      <c r="G220" s="56"/>
      <c r="H220" s="56"/>
      <c r="I220" s="56"/>
      <c r="J220" s="56"/>
      <c r="K220" s="56"/>
      <c r="L220" s="56"/>
      <c r="M220" s="56"/>
      <c r="N220" s="56"/>
    </row>
    <row r="221" customFormat="false" ht="21.75" hidden="false" customHeight="true" outlineLevel="0" collapsed="false">
      <c r="A221" s="155" t="s">
        <v>585</v>
      </c>
      <c r="B221" s="156" t="n">
        <f aca="false">G105</f>
        <v>321.062227555758</v>
      </c>
      <c r="C221" s="156"/>
      <c r="D221" s="157" t="n">
        <f aca="false">B221/'00-三表与联动'!$B$6-1</f>
        <v>-0.785982770248866</v>
      </c>
      <c r="E221" s="56" t="s">
        <v>586</v>
      </c>
      <c r="F221" s="56"/>
      <c r="G221" s="56"/>
      <c r="H221" s="56"/>
      <c r="I221" s="56"/>
      <c r="J221" s="56"/>
      <c r="K221" s="56"/>
      <c r="L221" s="56"/>
      <c r="M221" s="56"/>
      <c r="N221" s="56"/>
    </row>
    <row r="222" customFormat="false" ht="21.75" hidden="false" customHeight="true" outlineLevel="0" collapsed="false">
      <c r="A222" s="155" t="s">
        <v>587</v>
      </c>
      <c r="B222" s="156" t="n">
        <f aca="false">B103</f>
        <v>747.593856362507</v>
      </c>
      <c r="C222" s="156"/>
      <c r="D222" s="157" t="n">
        <f aca="false">B222/'00-三表与联动'!$B$6-1</f>
        <v>-0.501660574226583</v>
      </c>
      <c r="E222" s="68" t="s">
        <v>588</v>
      </c>
      <c r="F222" s="68"/>
      <c r="G222" s="68"/>
      <c r="H222" s="68"/>
      <c r="I222" s="68"/>
      <c r="J222" s="68"/>
      <c r="K222" s="68"/>
      <c r="L222" s="68"/>
      <c r="M222" s="68"/>
      <c r="N222" s="68"/>
    </row>
    <row r="223" customFormat="false" ht="21.75" hidden="false" customHeight="true" outlineLevel="0" collapsed="false">
      <c r="A223" s="5" t="s">
        <v>589</v>
      </c>
      <c r="B223" s="156" t="n">
        <f aca="false">'00-三表与联动'!$B$6</f>
        <v>1500.17</v>
      </c>
      <c r="C223" s="156"/>
      <c r="D223" s="157" t="n">
        <f aca="false">B223/'00-三表与联动'!$B$6-1</f>
        <v>0</v>
      </c>
      <c r="E223" s="68" t="s">
        <v>590</v>
      </c>
      <c r="F223" s="68"/>
      <c r="G223" s="68"/>
      <c r="H223" s="68"/>
      <c r="I223" s="68"/>
      <c r="J223" s="68"/>
      <c r="K223" s="68"/>
      <c r="L223" s="68"/>
      <c r="M223" s="68"/>
      <c r="N223" s="68"/>
    </row>
    <row r="224" customFormat="false" ht="21.75" hidden="false" customHeight="true" outlineLevel="0" collapsed="false">
      <c r="A224" s="5" t="s">
        <v>43</v>
      </c>
      <c r="B224" s="156" t="n">
        <f aca="false">2126</f>
        <v>2126</v>
      </c>
      <c r="C224" s="156"/>
      <c r="D224" s="157" t="n">
        <f aca="false">B224/'00-三表与联动'!$B$6-1</f>
        <v>0.417172720425018</v>
      </c>
      <c r="E224" s="68" t="s">
        <v>591</v>
      </c>
      <c r="F224" s="68"/>
      <c r="G224" s="68"/>
      <c r="H224" s="68"/>
      <c r="I224" s="68"/>
      <c r="J224" s="68"/>
      <c r="K224" s="68"/>
      <c r="L224" s="68"/>
      <c r="M224" s="68"/>
      <c r="N224" s="68"/>
    </row>
    <row r="226" customFormat="false" ht="24" hidden="false" customHeight="true" outlineLevel="0" collapsed="false">
      <c r="A226" s="158" t="s">
        <v>592</v>
      </c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</row>
    <row r="227" customFormat="false" ht="27" hidden="false" customHeight="true" outlineLevel="0" collapsed="false">
      <c r="A227" s="4" t="s">
        <v>216</v>
      </c>
      <c r="B227" s="13" t="s">
        <v>593</v>
      </c>
      <c r="C227" s="13" t="s">
        <v>294</v>
      </c>
      <c r="D227" s="13" t="s">
        <v>295</v>
      </c>
      <c r="E227" s="13" t="s">
        <v>296</v>
      </c>
      <c r="F227" s="13" t="s">
        <v>297</v>
      </c>
      <c r="G227" s="13" t="s">
        <v>298</v>
      </c>
      <c r="H227" s="13" t="s">
        <v>299</v>
      </c>
      <c r="I227" s="4"/>
      <c r="J227" s="4"/>
      <c r="K227" s="4"/>
      <c r="L227" s="4"/>
      <c r="M227" s="4"/>
      <c r="N227" s="4"/>
    </row>
    <row r="228" customFormat="false" ht="16.5" hidden="false" customHeight="true" outlineLevel="0" collapsed="false">
      <c r="A228" s="5" t="s">
        <v>262</v>
      </c>
      <c r="B228" s="159" t="n">
        <f aca="false">'00-三表与联动'!F28</f>
        <v>20248</v>
      </c>
      <c r="C228" s="32" t="n">
        <f aca="false">B32</f>
        <v>36999.9997092743</v>
      </c>
      <c r="D228" s="32" t="n">
        <f aca="false">C32</f>
        <v>24419.999808121</v>
      </c>
      <c r="E228" s="32" t="n">
        <f aca="false">D32</f>
        <v>21977.9998273089</v>
      </c>
      <c r="F228" s="32" t="n">
        <f aca="false">E32</f>
        <v>24615.359806586</v>
      </c>
      <c r="G228" s="32" t="n">
        <f aca="false">F32</f>
        <v>27076.8957872446</v>
      </c>
      <c r="H228" s="32" t="n">
        <f aca="false">G32</f>
        <v>29243.0474502242</v>
      </c>
      <c r="I228" s="34"/>
      <c r="J228" s="34"/>
      <c r="K228" s="34"/>
      <c r="L228" s="34"/>
      <c r="M228" s="34"/>
      <c r="N228" s="34"/>
    </row>
    <row r="229" customFormat="false" ht="16.5" hidden="false" customHeight="true" outlineLevel="0" collapsed="false">
      <c r="A229" s="5" t="s">
        <v>268</v>
      </c>
      <c r="B229" s="159" t="n">
        <f aca="false">'00-三表与联动'!F30</f>
        <v>14472</v>
      </c>
      <c r="C229" s="32" t="n">
        <f aca="false">B35</f>
        <v>26935.4991756002</v>
      </c>
      <c r="D229" s="32" t="n">
        <f aca="false">C35</f>
        <v>10256.3999194108</v>
      </c>
      <c r="E229" s="32" t="n">
        <f aca="false">D35</f>
        <v>7912.07993783122</v>
      </c>
      <c r="F229" s="32" t="n">
        <f aca="false">E35</f>
        <v>10584.604716832</v>
      </c>
      <c r="G229" s="32" t="n">
        <f aca="false">F35</f>
        <v>12455.3720621325</v>
      </c>
      <c r="H229" s="32" t="n">
        <f aca="false">G35</f>
        <v>13451.8018271031</v>
      </c>
      <c r="I229" s="34"/>
      <c r="J229" s="34"/>
      <c r="K229" s="34"/>
      <c r="L229" s="34"/>
      <c r="M229" s="34"/>
      <c r="N229" s="34"/>
    </row>
    <row r="230" customFormat="false" ht="16.5" hidden="false" customHeight="true" outlineLevel="0" collapsed="false">
      <c r="A230" s="5" t="s">
        <v>594</v>
      </c>
      <c r="B230" s="159" t="n">
        <f aca="false">'00-三表与联动'!F39</f>
        <v>12389</v>
      </c>
      <c r="C230" s="32" t="n">
        <f aca="false">B37</f>
        <v>24345.499195951</v>
      </c>
      <c r="D230" s="32" t="n">
        <f aca="false">C37</f>
        <v>8546.99993284237</v>
      </c>
      <c r="E230" s="32" t="n">
        <f aca="false">D37</f>
        <v>6373.61994991959</v>
      </c>
      <c r="F230" s="32" t="n">
        <f aca="false">E37</f>
        <v>8861.52953037097</v>
      </c>
      <c r="G230" s="32" t="n">
        <f aca="false">F37</f>
        <v>10559.9893570254</v>
      </c>
      <c r="H230" s="32" t="n">
        <f aca="false">G37</f>
        <v>11404.7885055874</v>
      </c>
      <c r="I230" s="34"/>
      <c r="J230" s="34"/>
      <c r="K230" s="34"/>
      <c r="L230" s="34"/>
      <c r="M230" s="34"/>
      <c r="N230" s="34"/>
    </row>
    <row r="231" customFormat="false" ht="16.5" hidden="false" customHeight="true" outlineLevel="0" collapsed="false">
      <c r="A231" s="5" t="s">
        <v>595</v>
      </c>
      <c r="B231" s="159" t="n">
        <f aca="false">'00-三表与联动'!F47</f>
        <v>11433</v>
      </c>
      <c r="C231" s="32" t="n">
        <f aca="false">B39</f>
        <v>20206.7643326393</v>
      </c>
      <c r="D231" s="32" t="n">
        <f aca="false">C39</f>
        <v>7094.00994425916</v>
      </c>
      <c r="E231" s="32" t="n">
        <f aca="false">D39</f>
        <v>5290.10455843326</v>
      </c>
      <c r="F231" s="32" t="n">
        <f aca="false">E39</f>
        <v>7355.0695102079</v>
      </c>
      <c r="G231" s="32" t="n">
        <f aca="false">F39</f>
        <v>8764.79116633108</v>
      </c>
      <c r="H231" s="32" t="n">
        <f aca="false">G39</f>
        <v>9465.97445963757</v>
      </c>
      <c r="I231" s="34"/>
      <c r="J231" s="34"/>
      <c r="K231" s="34"/>
      <c r="L231" s="34"/>
      <c r="M231" s="34"/>
      <c r="N231" s="34"/>
    </row>
    <row r="232" customFormat="false" ht="16.5" hidden="false" customHeight="true" outlineLevel="0" collapsed="false">
      <c r="A232" s="5" t="s">
        <v>596</v>
      </c>
      <c r="B232" s="159" t="n">
        <f aca="false">'00-三表与联动'!F149</f>
        <v>11219</v>
      </c>
      <c r="C232" s="32" t="n">
        <f aca="false">B45</f>
        <v>18217.564404623</v>
      </c>
      <c r="D232" s="32" t="n">
        <f aca="false">C45</f>
        <v>8447.61793362326</v>
      </c>
      <c r="E232" s="32" t="n">
        <f aca="false">D45</f>
        <v>4732.35176281578</v>
      </c>
      <c r="F232" s="32" t="n">
        <f aca="false">E45</f>
        <v>5655.90638755899</v>
      </c>
      <c r="G232" s="32" t="n">
        <f aca="false">F45</f>
        <v>6983.62373072652</v>
      </c>
      <c r="H232" s="32" t="n">
        <f aca="false">G45</f>
        <v>7640.77506841099</v>
      </c>
      <c r="I232" s="34"/>
      <c r="J232" s="34"/>
      <c r="K232" s="34"/>
      <c r="L232" s="34"/>
      <c r="M232" s="34"/>
      <c r="N232" s="34"/>
    </row>
    <row r="233" customFormat="false" ht="16.5" hidden="false" customHeight="true" outlineLevel="0" collapsed="false">
      <c r="A233" s="5" t="s">
        <v>266</v>
      </c>
      <c r="B233" s="160" t="n">
        <f aca="false">'00-三表与联动'!F30/'00-三表与联动'!F28</f>
        <v>0.71473725800079</v>
      </c>
      <c r="C233" s="43" t="n">
        <f aca="false">B34</f>
        <v>0.727986469925528</v>
      </c>
      <c r="D233" s="43" t="n">
        <f aca="false">C34</f>
        <v>0.42</v>
      </c>
      <c r="E233" s="43" t="n">
        <f aca="false">D34</f>
        <v>0.36</v>
      </c>
      <c r="F233" s="43" t="n">
        <f aca="false">E34</f>
        <v>0.43</v>
      </c>
      <c r="G233" s="43" t="n">
        <f aca="false">F34</f>
        <v>0.46</v>
      </c>
      <c r="H233" s="43" t="n">
        <f aca="false">G34</f>
        <v>0.46</v>
      </c>
      <c r="I233" s="34"/>
      <c r="J233" s="34"/>
      <c r="K233" s="34"/>
      <c r="L233" s="34"/>
      <c r="M233" s="34"/>
      <c r="N233" s="34"/>
    </row>
    <row r="234" customFormat="false" ht="16.5" hidden="false" customHeight="true" outlineLevel="0" collapsed="false">
      <c r="A234" s="5" t="s">
        <v>597</v>
      </c>
      <c r="B234" s="160" t="n">
        <f aca="false">'00-三表与联动'!F39/'00-三表与联动'!F28</f>
        <v>0.61186290003951</v>
      </c>
      <c r="C234" s="43" t="n">
        <f aca="false">B38</f>
        <v>0.657986469925528</v>
      </c>
      <c r="D234" s="43" t="n">
        <f aca="false">C38</f>
        <v>0.35</v>
      </c>
      <c r="E234" s="43" t="n">
        <f aca="false">D38</f>
        <v>0.29</v>
      </c>
      <c r="F234" s="43" t="n">
        <f aca="false">E38</f>
        <v>0.36</v>
      </c>
      <c r="G234" s="43" t="n">
        <f aca="false">F38</f>
        <v>0.39</v>
      </c>
      <c r="H234" s="43" t="n">
        <f aca="false">G38</f>
        <v>0.39</v>
      </c>
      <c r="I234" s="34"/>
      <c r="J234" s="34"/>
      <c r="K234" s="34"/>
      <c r="L234" s="34"/>
      <c r="M234" s="34"/>
      <c r="N234" s="34"/>
    </row>
    <row r="235" customFormat="false" ht="16.5" hidden="false" customHeight="true" outlineLevel="0" collapsed="false">
      <c r="A235" s="155" t="s">
        <v>598</v>
      </c>
      <c r="B235" s="160" t="n">
        <f aca="false">'00-三表与联动'!F149/'00-三表与联动'!F28</f>
        <v>0.554079415250889</v>
      </c>
      <c r="C235" s="43" t="n">
        <f aca="false">B46</f>
        <v>0.492366609399097</v>
      </c>
      <c r="D235" s="43" t="n">
        <f aca="false">C46</f>
        <v>0.345930303030303</v>
      </c>
      <c r="E235" s="43" t="n">
        <f aca="false">D46</f>
        <v>0.215322222222222</v>
      </c>
      <c r="F235" s="43" t="n">
        <f aca="false">E46</f>
        <v>0.229771428571429</v>
      </c>
      <c r="G235" s="43" t="n">
        <f aca="false">F46</f>
        <v>0.257918181818182</v>
      </c>
      <c r="H235" s="43" t="n">
        <f aca="false">G46</f>
        <v>0.261285185185185</v>
      </c>
      <c r="I235" s="34"/>
      <c r="J235" s="34"/>
      <c r="K235" s="34"/>
      <c r="L235" s="34"/>
      <c r="M235" s="34"/>
      <c r="N235" s="34"/>
    </row>
    <row r="236" customFormat="false" ht="16.5" hidden="false" customHeight="true" outlineLevel="0" collapsed="false">
      <c r="A236" s="5" t="s">
        <v>599</v>
      </c>
      <c r="B236" s="161" t="n">
        <f aca="false">'00-三表与联动'!F52</f>
        <v>73.76</v>
      </c>
      <c r="C236" s="100" t="n">
        <f aca="false">B37*(1-$B$201)/'00-三表与联动'!$B$9</f>
        <v>130.366221500899</v>
      </c>
      <c r="D236" s="100" t="n">
        <f aca="false">C37*(1-$B$201)/'00-三表与联动'!$B$9</f>
        <v>45.7678060919946</v>
      </c>
      <c r="E236" s="100" t="n">
        <f aca="false">D37*(1-$B$201)/'00-三表与联动'!$B$9</f>
        <v>34.1297068286017</v>
      </c>
      <c r="F236" s="100" t="n">
        <f aca="false">E37*(1-$B$201)/'00-三表与联动'!$B$9</f>
        <v>47.45206135618</v>
      </c>
      <c r="G236" s="100" t="n">
        <f aca="false">F37*(1-$B$201)/'00-三表与联动'!$B$9</f>
        <v>56.5470397827812</v>
      </c>
      <c r="H236" s="100" t="n">
        <f aca="false">G37*(1-$B$201)/'00-三表与联动'!$B$9</f>
        <v>61.0708029654037</v>
      </c>
      <c r="I236" s="34"/>
      <c r="J236" s="34"/>
      <c r="K236" s="34"/>
      <c r="L236" s="34"/>
      <c r="M236" s="34"/>
      <c r="N236" s="34"/>
    </row>
    <row r="237" customFormat="false" ht="16.5" hidden="false" customHeight="true" outlineLevel="0" collapsed="false">
      <c r="A237" s="5" t="s">
        <v>600</v>
      </c>
      <c r="B237" s="160" t="n">
        <f aca="false">'00-三表与联动'!F28/7355-1</f>
        <v>1.75295717199184</v>
      </c>
      <c r="C237" s="43" t="n">
        <f aca="false">B33</f>
        <v>0.827340957589605</v>
      </c>
      <c r="D237" s="43" t="n">
        <f aca="false">C33</f>
        <v>-0.34</v>
      </c>
      <c r="E237" s="43" t="n">
        <f aca="false">D33</f>
        <v>-0.1</v>
      </c>
      <c r="F237" s="43" t="n">
        <f aca="false">E33</f>
        <v>0.12</v>
      </c>
      <c r="G237" s="43" t="n">
        <f aca="false">F33</f>
        <v>0.1</v>
      </c>
      <c r="H237" s="43" t="n">
        <f aca="false">G33</f>
        <v>0.0800000000000001</v>
      </c>
      <c r="I237" s="34"/>
      <c r="J237" s="34"/>
      <c r="K237" s="34"/>
      <c r="L237" s="34"/>
      <c r="M237" s="34"/>
      <c r="N237" s="34"/>
    </row>
    <row r="238" customFormat="false" ht="16.5" hidden="false" customHeight="true" outlineLevel="0" collapsed="false">
      <c r="A238" s="5" t="s">
        <v>403</v>
      </c>
      <c r="B238" s="162" t="n">
        <f aca="false">'00-三表与联动'!$B$9</f>
        <v>155</v>
      </c>
      <c r="C238" s="97" t="n">
        <f aca="false">B97</f>
        <v>143.892062177454</v>
      </c>
      <c r="D238" s="97" t="n">
        <f aca="false">C97</f>
        <v>139.419529469819</v>
      </c>
      <c r="E238" s="97" t="n">
        <f aca="false">D97</f>
        <v>137.267555106319</v>
      </c>
      <c r="F238" s="97" t="n">
        <f aca="false">E97</f>
        <v>135.003455009921</v>
      </c>
      <c r="G238" s="97" t="n">
        <f aca="false">F97</f>
        <v>132.537078843513</v>
      </c>
      <c r="H238" s="97" t="n">
        <f aca="false">G97</f>
        <v>130.168585617356</v>
      </c>
      <c r="I238" s="34"/>
      <c r="J238" s="34"/>
      <c r="K238" s="34"/>
      <c r="L238" s="34"/>
      <c r="M238" s="34"/>
      <c r="N238" s="34"/>
    </row>
    <row r="239" customFormat="false" ht="16.5" hidden="false" customHeight="true" outlineLevel="0" collapsed="false">
      <c r="A239" s="5" t="s">
        <v>601</v>
      </c>
      <c r="B239" s="161" t="n">
        <f aca="false">'00-三表与联动'!F52</f>
        <v>73.76</v>
      </c>
      <c r="C239" s="100" t="n">
        <f aca="false">B100</f>
        <v>140.430014184656</v>
      </c>
      <c r="D239" s="100" t="n">
        <f aca="false">C100</f>
        <v>50.8824694161291</v>
      </c>
      <c r="E239" s="100" t="n">
        <f aca="false">D100</f>
        <v>38.5386375850861</v>
      </c>
      <c r="F239" s="100" t="n">
        <f aca="false">E100</f>
        <v>54.4806020680536</v>
      </c>
      <c r="G239" s="100" t="n">
        <f aca="false">F100</f>
        <v>66.130861211146</v>
      </c>
      <c r="H239" s="100" t="n">
        <f aca="false">G100</f>
        <v>72.7208828055008</v>
      </c>
      <c r="I239" s="34"/>
      <c r="J239" s="34"/>
      <c r="K239" s="34"/>
      <c r="L239" s="34"/>
      <c r="M239" s="34"/>
      <c r="N239" s="34"/>
    </row>
    <row r="240" customFormat="false" ht="20.25" hidden="false" customHeight="true" outlineLevel="0" collapsed="false">
      <c r="A240" s="163" t="s">
        <v>602</v>
      </c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</row>
    <row r="483" customFormat="false" ht="58.5" hidden="false" customHeight="true" outlineLevel="0" collapsed="false">
      <c r="A483" s="44" t="s">
        <v>603</v>
      </c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</row>
  </sheetData>
  <mergeCells count="314">
    <mergeCell ref="A1:N1"/>
    <mergeCell ref="A2:N2"/>
    <mergeCell ref="A4:N4"/>
    <mergeCell ref="A5:N5"/>
    <mergeCell ref="A6:N6"/>
    <mergeCell ref="A7:N7"/>
    <mergeCell ref="A8:N8"/>
    <mergeCell ref="A9:N9"/>
    <mergeCell ref="A11:N11"/>
    <mergeCell ref="G13:N13"/>
    <mergeCell ref="G14:N14"/>
    <mergeCell ref="G15:N15"/>
    <mergeCell ref="G16:N16"/>
    <mergeCell ref="G17:N17"/>
    <mergeCell ref="G18:N18"/>
    <mergeCell ref="G19:N19"/>
    <mergeCell ref="G20:N20"/>
    <mergeCell ref="G21:N21"/>
    <mergeCell ref="G22:N22"/>
    <mergeCell ref="G23:N23"/>
    <mergeCell ref="G24:N24"/>
    <mergeCell ref="G25:N25"/>
    <mergeCell ref="G26:N26"/>
    <mergeCell ref="G27:N27"/>
    <mergeCell ref="A28:N28"/>
    <mergeCell ref="A30:N30"/>
    <mergeCell ref="I32:N32"/>
    <mergeCell ref="I33:N33"/>
    <mergeCell ref="I34:N34"/>
    <mergeCell ref="I35:N35"/>
    <mergeCell ref="I36:N36"/>
    <mergeCell ref="I37:N37"/>
    <mergeCell ref="I38:N38"/>
    <mergeCell ref="I39:N39"/>
    <mergeCell ref="I40:N40"/>
    <mergeCell ref="I41:N41"/>
    <mergeCell ref="I42:N42"/>
    <mergeCell ref="I43:N43"/>
    <mergeCell ref="I44:N44"/>
    <mergeCell ref="I45:N45"/>
    <mergeCell ref="I46:N46"/>
    <mergeCell ref="I47:N47"/>
    <mergeCell ref="I48:N48"/>
    <mergeCell ref="I49:N49"/>
    <mergeCell ref="A51:N51"/>
    <mergeCell ref="B53:C53"/>
    <mergeCell ref="D53:N53"/>
    <mergeCell ref="B54:C54"/>
    <mergeCell ref="D54:N54"/>
    <mergeCell ref="B55:C55"/>
    <mergeCell ref="D55:N55"/>
    <mergeCell ref="B56:C56"/>
    <mergeCell ref="D56:N56"/>
    <mergeCell ref="B57:C57"/>
    <mergeCell ref="D57:N57"/>
    <mergeCell ref="B58:C58"/>
    <mergeCell ref="D58:N58"/>
    <mergeCell ref="A60:N60"/>
    <mergeCell ref="B62:C62"/>
    <mergeCell ref="D62:N62"/>
    <mergeCell ref="B63:C63"/>
    <mergeCell ref="D63:N63"/>
    <mergeCell ref="B64:C64"/>
    <mergeCell ref="D64:N64"/>
    <mergeCell ref="B65:C65"/>
    <mergeCell ref="D65:N65"/>
    <mergeCell ref="B66:C66"/>
    <mergeCell ref="D66:N66"/>
    <mergeCell ref="B67:C67"/>
    <mergeCell ref="D67:N67"/>
    <mergeCell ref="B68:C68"/>
    <mergeCell ref="D68:N68"/>
    <mergeCell ref="B69:C69"/>
    <mergeCell ref="D69:N69"/>
    <mergeCell ref="B70:C70"/>
    <mergeCell ref="D70:N70"/>
    <mergeCell ref="B71:C71"/>
    <mergeCell ref="D71:N71"/>
    <mergeCell ref="B72:C72"/>
    <mergeCell ref="D72:N72"/>
    <mergeCell ref="B73:C73"/>
    <mergeCell ref="D73:N73"/>
    <mergeCell ref="B74:C74"/>
    <mergeCell ref="D74:N74"/>
    <mergeCell ref="A75:N75"/>
    <mergeCell ref="A77:N77"/>
    <mergeCell ref="B79:C79"/>
    <mergeCell ref="D79:E79"/>
    <mergeCell ref="F79:N79"/>
    <mergeCell ref="B80:C80"/>
    <mergeCell ref="D80:E80"/>
    <mergeCell ref="F80:N80"/>
    <mergeCell ref="B81:C81"/>
    <mergeCell ref="D81:E81"/>
    <mergeCell ref="F81:N81"/>
    <mergeCell ref="B82:C82"/>
    <mergeCell ref="D82:E82"/>
    <mergeCell ref="F82:N82"/>
    <mergeCell ref="B83:C83"/>
    <mergeCell ref="D83:E83"/>
    <mergeCell ref="F83:N83"/>
    <mergeCell ref="A85:N85"/>
    <mergeCell ref="A86:N86"/>
    <mergeCell ref="A87:N87"/>
    <mergeCell ref="A88:N88"/>
    <mergeCell ref="H90:N90"/>
    <mergeCell ref="H91:N91"/>
    <mergeCell ref="H92:N92"/>
    <mergeCell ref="H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H102:N102"/>
    <mergeCell ref="H103:N103"/>
    <mergeCell ref="H104:N104"/>
    <mergeCell ref="H105:N105"/>
    <mergeCell ref="A107:N107"/>
    <mergeCell ref="I109:N109"/>
    <mergeCell ref="I110:N110"/>
    <mergeCell ref="I111:N111"/>
    <mergeCell ref="A112:N112"/>
    <mergeCell ref="A114:N114"/>
    <mergeCell ref="B116:C116"/>
    <mergeCell ref="D116:N116"/>
    <mergeCell ref="B117:C117"/>
    <mergeCell ref="D117:N117"/>
    <mergeCell ref="B118:C118"/>
    <mergeCell ref="D118:N118"/>
    <mergeCell ref="B119:C119"/>
    <mergeCell ref="D119:N119"/>
    <mergeCell ref="B120:C120"/>
    <mergeCell ref="D120:N120"/>
    <mergeCell ref="B121:C121"/>
    <mergeCell ref="D121:N121"/>
    <mergeCell ref="B122:C122"/>
    <mergeCell ref="D122:N122"/>
    <mergeCell ref="B123:C123"/>
    <mergeCell ref="D123:N123"/>
    <mergeCell ref="B124:C124"/>
    <mergeCell ref="D124:N124"/>
    <mergeCell ref="B125:C125"/>
    <mergeCell ref="D125:N125"/>
    <mergeCell ref="B126:C126"/>
    <mergeCell ref="D126:N126"/>
    <mergeCell ref="B127:C127"/>
    <mergeCell ref="D127:N127"/>
    <mergeCell ref="A128:N128"/>
    <mergeCell ref="A130:N130"/>
    <mergeCell ref="A131:N131"/>
    <mergeCell ref="C132:G132"/>
    <mergeCell ref="A133:A134"/>
    <mergeCell ref="B133:B134"/>
    <mergeCell ref="C133:G134"/>
    <mergeCell ref="H133:H134"/>
    <mergeCell ref="I133:I134"/>
    <mergeCell ref="J133:N134"/>
    <mergeCell ref="A135:A136"/>
    <mergeCell ref="B135:B136"/>
    <mergeCell ref="C135:G136"/>
    <mergeCell ref="H135:H136"/>
    <mergeCell ref="I135:I136"/>
    <mergeCell ref="J135:N136"/>
    <mergeCell ref="A137:A138"/>
    <mergeCell ref="B137:B138"/>
    <mergeCell ref="C137:G138"/>
    <mergeCell ref="H137:H138"/>
    <mergeCell ref="I137:I138"/>
    <mergeCell ref="J137:N138"/>
    <mergeCell ref="A139:A140"/>
    <mergeCell ref="B139:B140"/>
    <mergeCell ref="C139:G140"/>
    <mergeCell ref="H139:H140"/>
    <mergeCell ref="I139:I140"/>
    <mergeCell ref="J139:N140"/>
    <mergeCell ref="A141:A142"/>
    <mergeCell ref="B141:B142"/>
    <mergeCell ref="C141:G142"/>
    <mergeCell ref="H141:H142"/>
    <mergeCell ref="I141:I142"/>
    <mergeCell ref="J141:N142"/>
    <mergeCell ref="A144:N144"/>
    <mergeCell ref="G146:N146"/>
    <mergeCell ref="G147:N147"/>
    <mergeCell ref="G148:N148"/>
    <mergeCell ref="G149:N149"/>
    <mergeCell ref="G150:N150"/>
    <mergeCell ref="A151:N151"/>
    <mergeCell ref="A153:N153"/>
    <mergeCell ref="G155:N155"/>
    <mergeCell ref="G156:N156"/>
    <mergeCell ref="G157:N157"/>
    <mergeCell ref="G158:N158"/>
    <mergeCell ref="G159:N159"/>
    <mergeCell ref="G160:N160"/>
    <mergeCell ref="A161:N161"/>
    <mergeCell ref="A164:N164"/>
    <mergeCell ref="A165:N165"/>
    <mergeCell ref="A166:G166"/>
    <mergeCell ref="H166:N166"/>
    <mergeCell ref="A173:N173"/>
    <mergeCell ref="A174:N174"/>
    <mergeCell ref="C176:D176"/>
    <mergeCell ref="E176:I176"/>
    <mergeCell ref="J176:N176"/>
    <mergeCell ref="C177:D177"/>
    <mergeCell ref="E177:I177"/>
    <mergeCell ref="J177:N177"/>
    <mergeCell ref="C178:D178"/>
    <mergeCell ref="E178:I178"/>
    <mergeCell ref="J178:N178"/>
    <mergeCell ref="C179:D179"/>
    <mergeCell ref="E179:I179"/>
    <mergeCell ref="J179:N179"/>
    <mergeCell ref="C180:D180"/>
    <mergeCell ref="E180:I180"/>
    <mergeCell ref="J180:N180"/>
    <mergeCell ref="A181:N181"/>
    <mergeCell ref="A183:N183"/>
    <mergeCell ref="A186:N186"/>
    <mergeCell ref="A187:N187"/>
    <mergeCell ref="C188:G188"/>
    <mergeCell ref="A189:A190"/>
    <mergeCell ref="B189:B190"/>
    <mergeCell ref="C189:G190"/>
    <mergeCell ref="H189:H190"/>
    <mergeCell ref="I189:I190"/>
    <mergeCell ref="J189:N190"/>
    <mergeCell ref="A191:A192"/>
    <mergeCell ref="B191:B192"/>
    <mergeCell ref="C191:G192"/>
    <mergeCell ref="H191:H192"/>
    <mergeCell ref="I191:I192"/>
    <mergeCell ref="J191:N192"/>
    <mergeCell ref="A193:A194"/>
    <mergeCell ref="B193:B194"/>
    <mergeCell ref="C193:G194"/>
    <mergeCell ref="H193:H194"/>
    <mergeCell ref="I193:I194"/>
    <mergeCell ref="J193:N194"/>
    <mergeCell ref="A195:A196"/>
    <mergeCell ref="B195:B196"/>
    <mergeCell ref="C195:G196"/>
    <mergeCell ref="H195:H196"/>
    <mergeCell ref="I195:I196"/>
    <mergeCell ref="J195:N196"/>
    <mergeCell ref="A197:A198"/>
    <mergeCell ref="B197:B198"/>
    <mergeCell ref="C197:G198"/>
    <mergeCell ref="H197:H198"/>
    <mergeCell ref="I197:I198"/>
    <mergeCell ref="J197:N198"/>
    <mergeCell ref="A199:A200"/>
    <mergeCell ref="B199:B200"/>
    <mergeCell ref="C199:G200"/>
    <mergeCell ref="H199:H200"/>
    <mergeCell ref="I199:I200"/>
    <mergeCell ref="J199:N200"/>
    <mergeCell ref="A201:A202"/>
    <mergeCell ref="B201:B202"/>
    <mergeCell ref="C201:G202"/>
    <mergeCell ref="H201:H202"/>
    <mergeCell ref="I201:I202"/>
    <mergeCell ref="J201:N202"/>
    <mergeCell ref="A203:A204"/>
    <mergeCell ref="B203:B204"/>
    <mergeCell ref="C203:G204"/>
    <mergeCell ref="H203:H204"/>
    <mergeCell ref="I203:I204"/>
    <mergeCell ref="J203:N204"/>
    <mergeCell ref="A205:A206"/>
    <mergeCell ref="B205:B206"/>
    <mergeCell ref="C205:G206"/>
    <mergeCell ref="H205:H206"/>
    <mergeCell ref="I205:I206"/>
    <mergeCell ref="J205:N206"/>
    <mergeCell ref="A207:A208"/>
    <mergeCell ref="B207:B208"/>
    <mergeCell ref="C207:G208"/>
    <mergeCell ref="H207:H208"/>
    <mergeCell ref="I207:I208"/>
    <mergeCell ref="J207:N208"/>
    <mergeCell ref="A209:A210"/>
    <mergeCell ref="B209:B210"/>
    <mergeCell ref="C209:G210"/>
    <mergeCell ref="H209:H210"/>
    <mergeCell ref="I209:I210"/>
    <mergeCell ref="J209:N210"/>
    <mergeCell ref="A211:A212"/>
    <mergeCell ref="B211:B212"/>
    <mergeCell ref="C211:G212"/>
    <mergeCell ref="H211:H212"/>
    <mergeCell ref="I211:I212"/>
    <mergeCell ref="J211:N212"/>
    <mergeCell ref="A213:N213"/>
    <mergeCell ref="A217:N217"/>
    <mergeCell ref="A218:N218"/>
    <mergeCell ref="B220:C220"/>
    <mergeCell ref="E220:N220"/>
    <mergeCell ref="B221:C221"/>
    <mergeCell ref="E221:N221"/>
    <mergeCell ref="B222:C222"/>
    <mergeCell ref="E222:N222"/>
    <mergeCell ref="B223:C223"/>
    <mergeCell ref="E223:N223"/>
    <mergeCell ref="B224:C224"/>
    <mergeCell ref="E224:N224"/>
    <mergeCell ref="A226:N226"/>
    <mergeCell ref="A240:N240"/>
    <mergeCell ref="A483:N483"/>
  </mergeCells>
  <conditionalFormatting sqref="B74">
    <cfRule type="expression" priority="2" aboveAverage="0" equalAverage="0" bottom="0" percent="0" rank="0" text="" dxfId="2">
      <formula>$B$74&gt;0</formula>
    </cfRule>
    <cfRule type="expression" priority="3" aboveAverage="0" equalAverage="0" bottom="0" percent="0" rank="0" text="" dxfId="3">
      <formula>$B$74&lt;=0</formula>
    </cfRule>
  </conditionalFormatting>
  <conditionalFormatting sqref="I109">
    <cfRule type="expression" priority="4" aboveAverage="0" equalAverage="0" bottom="0" percent="0" rank="0" text="" dxfId="0">
      <formula>$I$109&gt;0</formula>
    </cfRule>
    <cfRule type="expression" priority="5" aboveAverage="0" equalAverage="0" bottom="0" percent="0" rank="0" text="" dxfId="1">
      <formula>$I$109&lt;=0</formula>
    </cfRule>
  </conditionalFormatting>
  <conditionalFormatting sqref="I110">
    <cfRule type="expression" priority="6" aboveAverage="0" equalAverage="0" bottom="0" percent="0" rank="0" text="" dxfId="0">
      <formula>$I$110&gt;0</formula>
    </cfRule>
    <cfRule type="expression" priority="7" aboveAverage="0" equalAverage="0" bottom="0" percent="0" rank="0" text="" dxfId="1">
      <formula>$I$110&lt;=0</formula>
    </cfRule>
  </conditionalFormatting>
  <conditionalFormatting sqref="I111">
    <cfRule type="expression" priority="8" aboveAverage="0" equalAverage="0" bottom="0" percent="0" rank="0" text="" dxfId="0">
      <formula>$I$111&gt;0</formula>
    </cfRule>
    <cfRule type="expression" priority="9" aboveAverage="0" equalAverage="0" bottom="0" percent="0" rank="0" text="" dxfId="1">
      <formula>$I$111&lt;=0</formula>
    </cfRule>
  </conditionalFormatting>
  <conditionalFormatting sqref="B125">
    <cfRule type="expression" priority="10" aboveAverage="0" equalAverage="0" bottom="0" percent="0" rank="0" text="" dxfId="2">
      <formula>$B$125&gt;0</formula>
    </cfRule>
    <cfRule type="expression" priority="11" aboveAverage="0" equalAverage="0" bottom="0" percent="0" rank="0" text="" dxfId="3">
      <formula>$B$125&lt;=0</formula>
    </cfRule>
  </conditionalFormatting>
  <conditionalFormatting sqref="B146:F150">
    <cfRule type="expression" priority="12" aboveAverage="0" equalAverage="0" bottom="0" percent="0" rank="0" text="" dxfId="4">
      <formula>AND(ISNUMBER(B146),B146&gt;'00-三表与联动'!$B$6)</formula>
    </cfRule>
    <cfRule type="expression" priority="13" aboveAverage="0" equalAverage="0" bottom="0" percent="0" rank="0" text="" dxfId="5">
      <formula>AND(ISNUMBER(B146),B146&lt;='00-三表与联动'!$B$6)</formula>
    </cfRule>
  </conditionalFormatting>
  <conditionalFormatting sqref="B155:D160">
    <cfRule type="expression" priority="14" aboveAverage="0" equalAverage="0" bottom="0" percent="0" rank="0" text="" dxfId="0">
      <formula>AND(ISNUMBER(B155),B155&gt;'00-三表与联动'!$B$6)</formula>
    </cfRule>
    <cfRule type="expression" priority="15" aboveAverage="0" equalAverage="0" bottom="0" percent="0" rank="0" text="" dxfId="1">
      <formula>AND(ISNUMBER(B155),B155&lt;='00-三表与联动'!$B$6)</formula>
    </cfRule>
  </conditionalFormatting>
  <conditionalFormatting sqref="B168:F172">
    <cfRule type="expression" priority="16" aboveAverage="0" equalAverage="0" bottom="0" percent="0" rank="0" text="" dxfId="4">
      <formula>AND(ISNUMBER(B168),B168&gt;'00-三表与联动'!$B$6)</formula>
    </cfRule>
    <cfRule type="expression" priority="17" aboveAverage="0" equalAverage="0" bottom="0" percent="0" rank="0" text="" dxfId="5">
      <formula>AND(ISNUMBER(B168),B168&lt;='00-三表与联动'!$B$6)</formula>
    </cfRule>
  </conditionalFormatting>
  <conditionalFormatting sqref="I168:M172">
    <cfRule type="expression" priority="18" aboveAverage="0" equalAverage="0" bottom="0" percent="0" rank="0" text="" dxfId="4">
      <formula>AND(ISNUMBER(B168),B168&gt;'00-三表与联动'!$B$6)</formula>
    </cfRule>
    <cfRule type="expression" priority="19" aboveAverage="0" equalAverage="0" bottom="0" percent="0" rank="0" text="" dxfId="5">
      <formula>AND(ISNUMBER(B168),B168&lt;='00-三表与联动'!$B$6)</formula>
    </cfRule>
  </conditionalFormatting>
  <conditionalFormatting sqref="B215">
    <cfRule type="expression" priority="20" aboveAverage="0" equalAverage="0" bottom="0" percent="0" rank="0" text="" dxfId="6">
      <formula>$B$215&gt;0</formula>
    </cfRule>
    <cfRule type="expression" priority="21" aboveAverage="0" equalAverage="0" bottom="0" percent="0" rank="0" text="" dxfId="7">
      <formula>$B$215&lt;=0</formula>
    </cfRule>
  </conditionalFormatting>
  <conditionalFormatting sqref="D220">
    <cfRule type="expression" priority="22" aboveAverage="0" equalAverage="0" bottom="0" percent="0" rank="0" text="" dxfId="0">
      <formula>$D$220&gt;0</formula>
    </cfRule>
    <cfRule type="expression" priority="23" aboveAverage="0" equalAverage="0" bottom="0" percent="0" rank="0" text="" dxfId="1">
      <formula>$D$220&lt;=0</formula>
    </cfRule>
  </conditionalFormatting>
  <conditionalFormatting sqref="D221">
    <cfRule type="expression" priority="24" aboveAverage="0" equalAverage="0" bottom="0" percent="0" rank="0" text="" dxfId="0">
      <formula>$D$221&gt;0</formula>
    </cfRule>
    <cfRule type="expression" priority="25" aboveAverage="0" equalAverage="0" bottom="0" percent="0" rank="0" text="" dxfId="1">
      <formula>$D$221&lt;=0</formula>
    </cfRule>
  </conditionalFormatting>
  <conditionalFormatting sqref="D222">
    <cfRule type="expression" priority="26" aboveAverage="0" equalAverage="0" bottom="0" percent="0" rank="0" text="" dxfId="0">
      <formula>$D$222&gt;0</formula>
    </cfRule>
    <cfRule type="expression" priority="27" aboveAverage="0" equalAverage="0" bottom="0" percent="0" rank="0" text="" dxfId="1">
      <formula>$D$222&lt;=0</formula>
    </cfRule>
  </conditionalFormatting>
  <conditionalFormatting sqref="D223">
    <cfRule type="expression" priority="28" aboveAverage="0" equalAverage="0" bottom="0" percent="0" rank="0" text="" dxfId="0">
      <formula>$D$223&gt;0</formula>
    </cfRule>
    <cfRule type="expression" priority="29" aboveAverage="0" equalAverage="0" bottom="0" percent="0" rank="0" text="" dxfId="1">
      <formula>$D$223&lt;=0</formula>
    </cfRule>
  </conditionalFormatting>
  <conditionalFormatting sqref="D224">
    <cfRule type="expression" priority="30" aboveAverage="0" equalAverage="0" bottom="0" percent="0" rank="0" text="" dxfId="0">
      <formula>$D$224&gt;0</formula>
    </cfRule>
    <cfRule type="expression" priority="31" aboveAverage="0" equalAverage="0" bottom="0" percent="0" rank="0" text="" dxfId="1">
      <formula>$D$224&lt;=0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xmlns:r="http://schemas.openxmlformats.org/officeDocument/2006/relationships" r:id="rId2"/>
  <mc:AlternateContent xmlns:mc="http://schemas.openxmlformats.org/markup-compatibility/2006">
    <mc:Choice xmlns:x14="http://schemas.microsoft.com/office/spreadsheetml/2009/9/main" xmlns:xdr="http://schemas.openxmlformats.org/drawingml/2006/spreadsheetDrawing" xmlns:r="http://schemas.openxmlformats.org/officeDocument/2006/relationships"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Line="0" autoPict="0" altText="" linkedCell="'01-DCF-悲观'!$H$133" print="0">
                <anchor moveWithCells="1" sizeWithCells="0">
                  <from>
                    <xdr:col>2</xdr:col>
                    <xdr:colOff>19050</xdr:colOff>
                    <xdr:row>132</xdr:row>
                    <xdr:rowOff>25400</xdr:rowOff>
                  </from>
                  <to>
                    <xdr:col>7</xdr:col>
                    <xdr:colOff>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croll Bar 2">
              <controlPr defaultSize="0" autoLine="0" autoPict="0" altText="" linkedCell="'01-DCF-悲观'!$H$135" print="0">
                <anchor moveWithCells="1" sizeWithCells="0">
                  <from>
                    <xdr:col>2</xdr:col>
                    <xdr:colOff>19050</xdr:colOff>
                    <xdr:row>134</xdr:row>
                    <xdr:rowOff>25400</xdr:rowOff>
                  </from>
                  <to>
                    <xdr:col>7</xdr:col>
                    <xdr:colOff>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croll Bar 3">
              <controlPr defaultSize="0" autoLine="0" autoPict="0" altText="" linkedCell="'01-DCF-悲观'!$H$137" print="0">
                <anchor moveWithCells="1" sizeWithCells="0">
                  <from>
                    <xdr:col>2</xdr:col>
                    <xdr:colOff>19050</xdr:colOff>
                    <xdr:row>136</xdr:row>
                    <xdr:rowOff>25400</xdr:rowOff>
                  </from>
                  <to>
                    <xdr:col>7</xdr:col>
                    <xdr:colOff>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croll Bar 4">
              <controlPr defaultSize="0" autoLine="0" autoPict="0" altText="" linkedCell="'01-DCF-悲观'!$H$139" print="0">
                <anchor moveWithCells="1" sizeWithCells="0">
                  <from>
                    <xdr:col>2</xdr:col>
                    <xdr:colOff>19050</xdr:colOff>
                    <xdr:row>138</xdr:row>
                    <xdr:rowOff>25400</xdr:rowOff>
                  </from>
                  <to>
                    <xdr:col>7</xdr:col>
                    <xdr:colOff>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Scroll Bar 5">
              <controlPr defaultSize="0" autoLine="0" autoPict="0" altText="" linkedCell="'01-DCF-悲观'!$H$141" print="0">
                <anchor moveWithCells="1" sizeWithCells="0">
                  <from>
                    <xdr:col>2</xdr:col>
                    <xdr:colOff>19050</xdr:colOff>
                    <xdr:row>140</xdr:row>
                    <xdr:rowOff>25400</xdr:rowOff>
                  </from>
                  <to>
                    <xdr:col>7</xdr:col>
                    <xdr:colOff>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Scroll Bar 6">
              <controlPr defaultSize="0" autoLine="0" autoPict="0" altText="" linkedCell="'01-DCF-悲观'!$H$189" print="0">
                <anchor moveWithCells="1" sizeWithCells="0">
                  <from>
                    <xdr:col>2</xdr:col>
                    <xdr:colOff>19050</xdr:colOff>
                    <xdr:row>188</xdr:row>
                    <xdr:rowOff>25400</xdr:rowOff>
                  </from>
                  <to>
                    <xdr:col>7</xdr:col>
                    <xdr:colOff>0</xdr:colOff>
                    <xdr:row>190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Scroll Bar 7">
              <controlPr defaultSize="0" autoLine="0" autoPict="0" altText="" linkedCell="'01-DCF-悲观'!$H$191" print="0">
                <anchor moveWithCells="1" sizeWithCells="0">
                  <from>
                    <xdr:col>2</xdr:col>
                    <xdr:colOff>19050</xdr:colOff>
                    <xdr:row>190</xdr:row>
                    <xdr:rowOff>25400</xdr:rowOff>
                  </from>
                  <to>
                    <xdr:col>7</xdr:col>
                    <xdr:colOff>0</xdr:colOff>
                    <xdr:row>192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Scroll Bar 8">
              <controlPr defaultSize="0" autoLine="0" autoPict="0" altText="" linkedCell="'01-DCF-悲观'!$H$193" print="0">
                <anchor moveWithCells="1" sizeWithCells="0">
                  <from>
                    <xdr:col>2</xdr:col>
                    <xdr:colOff>19050</xdr:colOff>
                    <xdr:row>192</xdr:row>
                    <xdr:rowOff>25400</xdr:rowOff>
                  </from>
                  <to>
                    <xdr:col>7</xdr:col>
                    <xdr:colOff>0</xdr:colOff>
                    <xdr:row>194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Scroll Bar 9">
              <controlPr defaultSize="0" autoLine="0" autoPict="0" altText="" linkedCell="'01-DCF-悲观'!$H$195" print="0">
                <anchor moveWithCells="1" sizeWithCells="0">
                  <from>
                    <xdr:col>2</xdr:col>
                    <xdr:colOff>19050</xdr:colOff>
                    <xdr:row>194</xdr:row>
                    <xdr:rowOff>25400</xdr:rowOff>
                  </from>
                  <to>
                    <xdr:col>7</xdr:col>
                    <xdr:colOff>0</xdr:colOff>
                    <xdr:row>196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Scroll Bar 10">
              <controlPr defaultSize="0" autoLine="0" autoPict="0" altText="" linkedCell="'01-DCF-悲观'!$H$197" print="0">
                <anchor moveWithCells="1" sizeWithCells="0">
                  <from>
                    <xdr:col>2</xdr:col>
                    <xdr:colOff>19050</xdr:colOff>
                    <xdr:row>196</xdr:row>
                    <xdr:rowOff>25400</xdr:rowOff>
                  </from>
                  <to>
                    <xdr:col>7</xdr:col>
                    <xdr:colOff>0</xdr:colOff>
                    <xdr:row>198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Scroll Bar 11">
              <controlPr defaultSize="0" autoLine="0" autoPict="0" altText="" linkedCell="'01-DCF-悲观'!$H$199" print="0">
                <anchor moveWithCells="1" sizeWithCells="0">
                  <from>
                    <xdr:col>2</xdr:col>
                    <xdr:colOff>19050</xdr:colOff>
                    <xdr:row>198</xdr:row>
                    <xdr:rowOff>25400</xdr:rowOff>
                  </from>
                  <to>
                    <xdr:col>7</xdr:col>
                    <xdr:colOff>0</xdr:colOff>
                    <xdr:row>200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Scroll Bar 12">
              <controlPr defaultSize="0" autoLine="0" autoPict="0" altText="" linkedCell="'01-DCF-悲观'!$H$201" print="0">
                <anchor moveWithCells="1" sizeWithCells="0">
                  <from>
                    <xdr:col>2</xdr:col>
                    <xdr:colOff>19050</xdr:colOff>
                    <xdr:row>200</xdr:row>
                    <xdr:rowOff>25400</xdr:rowOff>
                  </from>
                  <to>
                    <xdr:col>7</xdr:col>
                    <xdr:colOff>0</xdr:colOff>
                    <xdr:row>202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Scroll Bar 13">
              <controlPr defaultSize="0" autoLine="0" autoPict="0" altText="" linkedCell="'01-DCF-悲观'!$H$203" print="0">
                <anchor moveWithCells="1" sizeWithCells="0">
                  <from>
                    <xdr:col>2</xdr:col>
                    <xdr:colOff>19050</xdr:colOff>
                    <xdr:row>202</xdr:row>
                    <xdr:rowOff>25400</xdr:rowOff>
                  </from>
                  <to>
                    <xdr:col>7</xdr:col>
                    <xdr:colOff>0</xdr:colOff>
                    <xdr:row>204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Scroll Bar 14">
              <controlPr defaultSize="0" autoLine="0" autoPict="0" altText="" linkedCell="'01-DCF-悲观'!$H$205" print="0">
                <anchor moveWithCells="1" sizeWithCells="0">
                  <from>
                    <xdr:col>2</xdr:col>
                    <xdr:colOff>19050</xdr:colOff>
                    <xdr:row>204</xdr:row>
                    <xdr:rowOff>25400</xdr:rowOff>
                  </from>
                  <to>
                    <xdr:col>7</xdr:col>
                    <xdr:colOff>0</xdr:colOff>
                    <xdr:row>206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Scroll Bar 15">
              <controlPr defaultSize="0" autoLine="0" autoPict="0" altText="" linkedCell="'01-DCF-悲观'!$H$207" print="0">
                <anchor moveWithCells="1" sizeWithCells="0">
                  <from>
                    <xdr:col>2</xdr:col>
                    <xdr:colOff>19050</xdr:colOff>
                    <xdr:row>206</xdr:row>
                    <xdr:rowOff>25400</xdr:rowOff>
                  </from>
                  <to>
                    <xdr:col>7</xdr:col>
                    <xdr:colOff>0</xdr:colOff>
                    <xdr:row>208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Scroll Bar 16">
              <controlPr defaultSize="0" autoLine="0" autoPict="0" altText="" linkedCell="'01-DCF-悲观'!$H$209" print="0">
                <anchor moveWithCells="1" sizeWithCells="0">
                  <from>
                    <xdr:col>2</xdr:col>
                    <xdr:colOff>19050</xdr:colOff>
                    <xdr:row>208</xdr:row>
                    <xdr:rowOff>25400</xdr:rowOff>
                  </from>
                  <to>
                    <xdr:col>7</xdr:col>
                    <xdr:colOff>0</xdr:colOff>
                    <xdr:row>210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Scroll Bar 17">
              <controlPr defaultSize="0" autoLine="0" autoPict="0" altText="" linkedCell="'01-DCF-悲观'!$H$211" print="0">
                <anchor moveWithCells="1" sizeWithCells="0">
                  <from>
                    <xdr:col>2</xdr:col>
                    <xdr:colOff>19050</xdr:colOff>
                    <xdr:row>210</xdr:row>
                    <xdr:rowOff>25400</xdr:rowOff>
                  </from>
                  <to>
                    <xdr:col>7</xdr:col>
                    <xdr:colOff>0</xdr:colOff>
                    <xdr:row>212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min="1" max="1" width="29.71" customWidth="1"/>
    <col min="2" max="2" width="11.71" customWidth="1"/>
    <col min="3" max="3" width="11.71" customWidth="1"/>
    <col min="4" max="4" width="11.71" customWidth="1"/>
    <col min="5" max="5" width="11.71" customWidth="1"/>
    <col min="6" max="6" width="12.71" customWidth="1"/>
    <col min="7" max="7" width="11.71" customWidth="1"/>
    <col min="8" max="8" width="13.71" customWidth="1"/>
    <col min="9" max="9" width="14.71" customWidth="1"/>
    <col min="10" max="10" width="12.71" customWidth="1"/>
    <col min="11" max="11" width="12.71" customWidth="1"/>
    <col min="12" max="12" width="12.71" customWidth="1"/>
    <col min="13" max="13" width="13.71" customWidth="1"/>
    <col min="14" max="14" width="14.71" customWidth="1"/>
  </cols>
  <sheetData>
    <row r="1" customFormat="false" ht="37.5" hidden="false" customHeight="true" outlineLevel="0" collapsed="false">
      <c r="A1" s="1" t="s">
        <v>604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72" t="s">
        <v>248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customFormat="false" ht="24" hidden="false" customHeight="true" outlineLevel="0" collapsed="false">
      <c r="A4" s="12" t="s">
        <v>249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20.25" hidden="false" customHeight="true" outlineLevel="0" collapsed="false">
      <c r="A5" s="74" t="s">
        <v>605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customFormat="false" ht="18.75" hidden="false" customHeight="true" outlineLevel="0" collapsed="false">
      <c r="A6" s="23" t="s">
        <v>606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customFormat="false" ht="18.75" hidden="false" customHeight="true" outlineLevel="0" collapsed="false">
      <c r="A7" s="23" t="s">
        <v>607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customFormat="false" ht="18.75" hidden="false" customHeight="true" outlineLevel="0" collapsed="false">
      <c r="A8" s="23" t="s">
        <v>608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customFormat="false" ht="18.75" hidden="false" customHeight="true" outlineLevel="0" collapsed="false">
      <c r="A9" s="23" t="s">
        <v>609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1" customFormat="false" ht="24" hidden="false" customHeight="true" outlineLevel="0" collapsed="false">
      <c r="A11" s="12" t="s">
        <v>255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27" hidden="false" customHeight="true" outlineLevel="0" collapsed="false">
      <c r="A12" s="4" t="s">
        <v>48</v>
      </c>
      <c r="B12" s="13" t="s">
        <v>256</v>
      </c>
      <c r="C12" s="13" t="s">
        <v>257</v>
      </c>
      <c r="D12" s="13" t="s">
        <v>258</v>
      </c>
      <c r="E12" s="13" t="s">
        <v>259</v>
      </c>
      <c r="F12" s="13" t="s">
        <v>260</v>
      </c>
      <c r="G12" s="4" t="s">
        <v>261</v>
      </c>
      <c r="H12" s="4"/>
      <c r="I12" s="4"/>
      <c r="J12" s="4"/>
      <c r="K12" s="4"/>
      <c r="L12" s="4"/>
      <c r="M12" s="4"/>
      <c r="N12" s="4"/>
    </row>
    <row r="13" customFormat="false" ht="16.5" hidden="false" customHeight="true" outlineLevel="0" collapsed="false">
      <c r="A13" s="35" t="s">
        <v>262</v>
      </c>
      <c r="B13" s="36" t="n">
        <f aca="false">$B$189</f>
        <v>10550</v>
      </c>
      <c r="C13" s="36" t="n">
        <f aca="false">B13*(1+0.061611+$B$191)</f>
        <v>11199.99605</v>
      </c>
      <c r="D13" s="36" t="n">
        <f aca="false">C13*(1+-0.053571+$B$191)</f>
        <v>10600.0010616055</v>
      </c>
      <c r="E13" s="36" t="n">
        <f aca="false">D13*(1+-0.103774+$B$191)</f>
        <v>9499.99655143841</v>
      </c>
      <c r="F13" s="164" t="n">
        <f aca="false">SUM(B13:E13)</f>
        <v>41849.9936630439</v>
      </c>
      <c r="G13" s="68" t="s">
        <v>263</v>
      </c>
      <c r="H13" s="68"/>
      <c r="I13" s="68"/>
      <c r="J13" s="68"/>
      <c r="K13" s="68"/>
      <c r="L13" s="68"/>
      <c r="M13" s="68"/>
      <c r="N13" s="68"/>
    </row>
    <row r="14" customFormat="false" ht="16.5" hidden="false" customHeight="true" outlineLevel="0" collapsed="false">
      <c r="A14" s="31" t="s">
        <v>264</v>
      </c>
      <c r="B14" s="76" t="n">
        <f aca="false">B13/'00-三表与联动'!E28-1</f>
        <v>0.176798661461238</v>
      </c>
      <c r="C14" s="76" t="n">
        <f aca="false">C13/B13-1</f>
        <v>0.0616110000000001</v>
      </c>
      <c r="D14" s="76" t="n">
        <f aca="false">D13/C13-1</f>
        <v>-0.053571</v>
      </c>
      <c r="E14" s="76" t="n">
        <f aca="false">E13/D13-1</f>
        <v>-0.103774</v>
      </c>
      <c r="F14" s="165" t="n">
        <f aca="false">F13/'00-三表与联动'!F28-1</f>
        <v>1.06687048908751</v>
      </c>
      <c r="G14" s="68" t="s">
        <v>265</v>
      </c>
      <c r="H14" s="68"/>
      <c r="I14" s="68"/>
      <c r="J14" s="68"/>
      <c r="K14" s="68"/>
      <c r="L14" s="68"/>
      <c r="M14" s="68"/>
      <c r="N14" s="68"/>
    </row>
    <row r="15" customFormat="false" ht="16.5" hidden="false" customHeight="true" outlineLevel="0" collapsed="false">
      <c r="A15" s="31" t="s">
        <v>266</v>
      </c>
      <c r="B15" s="76" t="n">
        <f aca="false">MAX(0.05,MIN(0.92,0.84+$B$193))</f>
        <v>0.84</v>
      </c>
      <c r="C15" s="76" t="n">
        <f aca="false">MAX(0.05,MIN(0.92,0.835+$B$193))</f>
        <v>0.835</v>
      </c>
      <c r="D15" s="76" t="n">
        <f aca="false">MAX(0.05,MIN(0.92,0.8+$B$193))</f>
        <v>0.8</v>
      </c>
      <c r="E15" s="76" t="n">
        <f aca="false">MAX(0.05,MIN(0.92,0.74+$B$193))</f>
        <v>0.74</v>
      </c>
      <c r="F15" s="165" t="n">
        <f aca="false">F16/F13</f>
        <v>0.805830348999053</v>
      </c>
      <c r="G15" s="56" t="s">
        <v>267</v>
      </c>
      <c r="H15" s="56"/>
      <c r="I15" s="56"/>
      <c r="J15" s="56"/>
      <c r="K15" s="56"/>
      <c r="L15" s="56"/>
      <c r="M15" s="56"/>
      <c r="N15" s="56"/>
    </row>
    <row r="16" customFormat="false" ht="16.5" hidden="false" customHeight="true" outlineLevel="0" collapsed="false">
      <c r="A16" s="31" t="s">
        <v>268</v>
      </c>
      <c r="B16" s="32" t="n">
        <f aca="false">B13*B15</f>
        <v>8862</v>
      </c>
      <c r="C16" s="32" t="n">
        <f aca="false">C13*C15</f>
        <v>9351.99670175</v>
      </c>
      <c r="D16" s="32" t="n">
        <f aca="false">D13*D15</f>
        <v>8480.00084928436</v>
      </c>
      <c r="E16" s="32" t="n">
        <f aca="false">E13*E15</f>
        <v>7029.99744806442</v>
      </c>
      <c r="F16" s="164" t="n">
        <f aca="false">SUM(B16:E16)</f>
        <v>33723.9949990988</v>
      </c>
      <c r="G16" s="56" t="s">
        <v>269</v>
      </c>
      <c r="H16" s="56"/>
      <c r="I16" s="56"/>
      <c r="J16" s="56"/>
      <c r="K16" s="56"/>
      <c r="L16" s="56"/>
      <c r="M16" s="56"/>
      <c r="N16" s="56"/>
    </row>
    <row r="17" customFormat="false" ht="16.5" hidden="false" customHeight="true" outlineLevel="0" collapsed="false">
      <c r="A17" s="31" t="s">
        <v>270</v>
      </c>
      <c r="B17" s="32" t="n">
        <f aca="false">B13*$B$199</f>
        <v>611.9</v>
      </c>
      <c r="C17" s="32" t="n">
        <f aca="false">C13*$B$199</f>
        <v>649.5997709</v>
      </c>
      <c r="D17" s="32" t="n">
        <f aca="false">D13*$B$199</f>
        <v>614.800061573116</v>
      </c>
      <c r="E17" s="32" t="n">
        <f aca="false">E13*$B$199</f>
        <v>550.999799983428</v>
      </c>
      <c r="F17" s="164" t="n">
        <f aca="false">SUM(B17:E17)</f>
        <v>2427.29963245654</v>
      </c>
      <c r="G17" s="56" t="s">
        <v>271</v>
      </c>
      <c r="H17" s="56"/>
      <c r="I17" s="56"/>
      <c r="J17" s="56"/>
      <c r="K17" s="56"/>
      <c r="L17" s="56"/>
      <c r="M17" s="56"/>
      <c r="N17" s="56"/>
    </row>
    <row r="18" customFormat="false" ht="16.5" hidden="false" customHeight="true" outlineLevel="0" collapsed="false">
      <c r="A18" s="35" t="s">
        <v>272</v>
      </c>
      <c r="B18" s="36" t="n">
        <f aca="false">B16-B17</f>
        <v>8250.1</v>
      </c>
      <c r="C18" s="36" t="n">
        <f aca="false">C16-C17</f>
        <v>8702.39693085</v>
      </c>
      <c r="D18" s="36" t="n">
        <f aca="false">D16-D17</f>
        <v>7865.20078771125</v>
      </c>
      <c r="E18" s="36" t="n">
        <f aca="false">E16-E17</f>
        <v>6478.99764808099</v>
      </c>
      <c r="F18" s="164" t="n">
        <f aca="false">SUM(B18:E18)</f>
        <v>31296.6953666422</v>
      </c>
      <c r="G18" s="56" t="s">
        <v>273</v>
      </c>
      <c r="H18" s="56"/>
      <c r="I18" s="56"/>
      <c r="J18" s="56"/>
      <c r="K18" s="56"/>
      <c r="L18" s="56"/>
      <c r="M18" s="56"/>
      <c r="N18" s="56"/>
    </row>
    <row r="19" customFormat="false" ht="16.5" hidden="false" customHeight="true" outlineLevel="0" collapsed="false">
      <c r="A19" s="31" t="s">
        <v>274</v>
      </c>
      <c r="B19" s="76" t="n">
        <f aca="false">B18/B13</f>
        <v>0.782</v>
      </c>
      <c r="C19" s="76" t="n">
        <f aca="false">C18/C13</f>
        <v>0.777</v>
      </c>
      <c r="D19" s="76" t="n">
        <f aca="false">D18/D13</f>
        <v>0.742</v>
      </c>
      <c r="E19" s="76" t="n">
        <f aca="false">E18/E13</f>
        <v>0.682</v>
      </c>
      <c r="F19" s="165" t="n">
        <f aca="false">F18/F13</f>
        <v>0.747830348999053</v>
      </c>
      <c r="G19" s="56" t="s">
        <v>275</v>
      </c>
      <c r="H19" s="56"/>
      <c r="I19" s="56"/>
      <c r="J19" s="56"/>
      <c r="K19" s="56"/>
      <c r="L19" s="56"/>
      <c r="M19" s="56"/>
      <c r="N19" s="56"/>
    </row>
    <row r="20" customFormat="false" ht="16.5" hidden="false" customHeight="true" outlineLevel="0" collapsed="false">
      <c r="A20" s="31" t="s">
        <v>276</v>
      </c>
      <c r="B20" s="32" t="n">
        <f aca="false">MAX(0,B18)*$B$201</f>
        <v>1320.016</v>
      </c>
      <c r="C20" s="32" t="n">
        <f aca="false">MAX(0,C18)*$B$201</f>
        <v>1392.383508936</v>
      </c>
      <c r="D20" s="32" t="n">
        <f aca="false">MAX(0,D18)*$B$201</f>
        <v>1258.4321260338</v>
      </c>
      <c r="E20" s="32" t="n">
        <f aca="false">MAX(0,E18)*$B$201</f>
        <v>1036.63962369296</v>
      </c>
      <c r="F20" s="164" t="n">
        <f aca="false">SUM(B20:E20)</f>
        <v>5007.47125866276</v>
      </c>
      <c r="G20" s="56" t="s">
        <v>277</v>
      </c>
      <c r="H20" s="56"/>
      <c r="I20" s="56"/>
      <c r="J20" s="56"/>
      <c r="K20" s="56"/>
      <c r="L20" s="56"/>
      <c r="M20" s="56"/>
      <c r="N20" s="56"/>
    </row>
    <row r="21" customFormat="false" ht="16.5" hidden="false" customHeight="true" outlineLevel="0" collapsed="false">
      <c r="A21" s="35" t="s">
        <v>278</v>
      </c>
      <c r="B21" s="36" t="n">
        <f aca="false">B18-B20</f>
        <v>6930.084</v>
      </c>
      <c r="C21" s="36" t="n">
        <f aca="false">C18-C20</f>
        <v>7310.013421914</v>
      </c>
      <c r="D21" s="36" t="n">
        <f aca="false">D18-D20</f>
        <v>6606.76866167745</v>
      </c>
      <c r="E21" s="36" t="n">
        <f aca="false">E18-E20</f>
        <v>5442.35802438804</v>
      </c>
      <c r="F21" s="164" t="n">
        <f aca="false">SUM(B21:E21)</f>
        <v>26289.2241079795</v>
      </c>
      <c r="G21" s="56" t="s">
        <v>279</v>
      </c>
      <c r="H21" s="56"/>
      <c r="I21" s="56"/>
      <c r="J21" s="56"/>
      <c r="K21" s="56"/>
      <c r="L21" s="56"/>
      <c r="M21" s="56"/>
      <c r="N21" s="56"/>
    </row>
    <row r="22" customFormat="false" ht="16.5" hidden="false" customHeight="true" outlineLevel="0" collapsed="false">
      <c r="A22" s="31" t="s">
        <v>280</v>
      </c>
      <c r="B22" s="32" t="n">
        <f aca="false">B13*0.0074</f>
        <v>78.07</v>
      </c>
      <c r="C22" s="32" t="n">
        <f aca="false">C13*0.0074</f>
        <v>82.87997077</v>
      </c>
      <c r="D22" s="32" t="n">
        <f aca="false">D13*0.0074</f>
        <v>78.4400078558803</v>
      </c>
      <c r="E22" s="32" t="n">
        <f aca="false">E13*0.0074</f>
        <v>70.2999744806442</v>
      </c>
      <c r="F22" s="164" t="n">
        <f aca="false">SUM(B22:E22)</f>
        <v>309.689953106525</v>
      </c>
      <c r="G22" s="56" t="s">
        <v>281</v>
      </c>
      <c r="H22" s="56"/>
      <c r="I22" s="56"/>
      <c r="J22" s="56"/>
      <c r="K22" s="56"/>
      <c r="L22" s="56"/>
      <c r="M22" s="56"/>
      <c r="N22" s="56"/>
    </row>
    <row r="23" customFormat="false" ht="16.5" hidden="false" customHeight="true" outlineLevel="0" collapsed="false">
      <c r="A23" s="31" t="s">
        <v>282</v>
      </c>
      <c r="B23" s="32" t="n">
        <f aca="false">-B13*$B$203</f>
        <v>-189.9</v>
      </c>
      <c r="C23" s="32" t="n">
        <f aca="false">-C13*$B$203</f>
        <v>-201.5999289</v>
      </c>
      <c r="D23" s="32" t="n">
        <f aca="false">-D13*$B$203</f>
        <v>-190.800019108898</v>
      </c>
      <c r="E23" s="32" t="n">
        <f aca="false">-E13*$B$203</f>
        <v>-170.999937925891</v>
      </c>
      <c r="F23" s="164" t="n">
        <f aca="false">SUM(B23:E23)</f>
        <v>-753.29988593479</v>
      </c>
      <c r="G23" s="56" t="s">
        <v>283</v>
      </c>
      <c r="H23" s="56"/>
      <c r="I23" s="56"/>
      <c r="J23" s="56"/>
      <c r="K23" s="56"/>
      <c r="L23" s="56"/>
      <c r="M23" s="56"/>
      <c r="N23" s="56"/>
    </row>
    <row r="24" customFormat="false" ht="16.5" hidden="false" customHeight="true" outlineLevel="0" collapsed="false">
      <c r="A24" s="48" t="s">
        <v>284</v>
      </c>
      <c r="B24" s="32" t="n">
        <f aca="false">-B13*$B$205</f>
        <v>-337.6</v>
      </c>
      <c r="C24" s="32" t="n">
        <f aca="false">-C13*$B$205</f>
        <v>-358.3998736</v>
      </c>
      <c r="D24" s="32" t="n">
        <f aca="false">-D13*$B$205</f>
        <v>-339.200033971374</v>
      </c>
      <c r="E24" s="32" t="n">
        <f aca="false">-E13*$B$205</f>
        <v>-303.999889646029</v>
      </c>
      <c r="F24" s="164" t="n">
        <f aca="false">SUM(B24:E24)</f>
        <v>-1339.1997972174</v>
      </c>
      <c r="G24" s="56" t="s">
        <v>285</v>
      </c>
      <c r="H24" s="56"/>
      <c r="I24" s="56"/>
      <c r="J24" s="56"/>
      <c r="K24" s="56"/>
      <c r="L24" s="56"/>
      <c r="M24" s="56"/>
      <c r="N24" s="56"/>
    </row>
    <row r="25" customFormat="false" ht="16.5" hidden="false" customHeight="true" outlineLevel="0" collapsed="false">
      <c r="A25" s="31" t="s">
        <v>286</v>
      </c>
      <c r="B25" s="32" t="n">
        <f aca="false">B13*4*$B$207</f>
        <v>7596</v>
      </c>
      <c r="C25" s="32" t="n">
        <f aca="false">C13*4*$B$207</f>
        <v>8063.997156</v>
      </c>
      <c r="D25" s="32" t="n">
        <f aca="false">D13*4*$B$207</f>
        <v>7632.00076435593</v>
      </c>
      <c r="E25" s="32" t="n">
        <f aca="false">E13*4*$B$207</f>
        <v>6839.99751703565</v>
      </c>
      <c r="F25" s="164" t="n">
        <f aca="false">E25</f>
        <v>6839.99751703565</v>
      </c>
      <c r="G25" s="56" t="s">
        <v>287</v>
      </c>
      <c r="H25" s="56"/>
      <c r="I25" s="56"/>
      <c r="J25" s="56"/>
      <c r="K25" s="56"/>
      <c r="L25" s="56"/>
      <c r="M25" s="56"/>
      <c r="N25" s="56"/>
    </row>
    <row r="26" customFormat="false" ht="16.5" hidden="false" customHeight="true" outlineLevel="0" collapsed="false">
      <c r="A26" s="31" t="s">
        <v>288</v>
      </c>
      <c r="B26" s="32" t="n">
        <f aca="false">-(B25-'00-三表与联动'!E28*4*$B$207)</f>
        <v>-1141.2</v>
      </c>
      <c r="C26" s="32" t="n">
        <f aca="false">-(C25-B25)</f>
        <v>-467.997156000001</v>
      </c>
      <c r="D26" s="32" t="n">
        <f aca="false">-(D25-C25)</f>
        <v>431.996391644077</v>
      </c>
      <c r="E26" s="32" t="n">
        <f aca="false">-(E25-D25)</f>
        <v>792.003247320272</v>
      </c>
      <c r="F26" s="164" t="n">
        <f aca="false">SUM(B26:E26)</f>
        <v>-385.197517035653</v>
      </c>
      <c r="G26" s="56" t="s">
        <v>289</v>
      </c>
      <c r="H26" s="56"/>
      <c r="I26" s="56"/>
      <c r="J26" s="56"/>
      <c r="K26" s="56"/>
      <c r="L26" s="56"/>
      <c r="M26" s="56"/>
      <c r="N26" s="56"/>
    </row>
    <row r="27" customFormat="false" ht="16.5" hidden="false" customHeight="true" outlineLevel="0" collapsed="false">
      <c r="A27" s="35" t="s">
        <v>290</v>
      </c>
      <c r="B27" s="166" t="n">
        <f aca="false">B21+B22+B23+B24+B26</f>
        <v>5339.454</v>
      </c>
      <c r="C27" s="166" t="n">
        <f aca="false">C21+C22+C23+C24+C26</f>
        <v>6364.896434184</v>
      </c>
      <c r="D27" s="166" t="n">
        <f aca="false">D21+D22+D23+D24+D26</f>
        <v>6587.20500809713</v>
      </c>
      <c r="E27" s="166" t="n">
        <f aca="false">E21+E22+E23+E24+E26</f>
        <v>5829.66141861703</v>
      </c>
      <c r="F27" s="164" t="n">
        <f aca="false">SUM(B27:E27)</f>
        <v>24121.2168608982</v>
      </c>
      <c r="G27" s="56" t="s">
        <v>291</v>
      </c>
      <c r="H27" s="56"/>
      <c r="I27" s="56"/>
      <c r="J27" s="56"/>
      <c r="K27" s="56"/>
      <c r="L27" s="56"/>
      <c r="M27" s="56"/>
      <c r="N27" s="56"/>
    </row>
    <row r="28" customFormat="false" ht="20.25" hidden="false" customHeight="true" outlineLevel="0" collapsed="false">
      <c r="A28" s="44" t="s">
        <v>292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30" customFormat="false" ht="24" hidden="false" customHeight="true" outlineLevel="0" collapsed="false">
      <c r="A30" s="12" t="s">
        <v>293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customFormat="false" ht="27" hidden="false" customHeight="true" outlineLevel="0" collapsed="false">
      <c r="A31" s="4" t="s">
        <v>48</v>
      </c>
      <c r="B31" s="13" t="s">
        <v>294</v>
      </c>
      <c r="C31" s="13" t="s">
        <v>295</v>
      </c>
      <c r="D31" s="13" t="s">
        <v>296</v>
      </c>
      <c r="E31" s="13" t="s">
        <v>297</v>
      </c>
      <c r="F31" s="13" t="s">
        <v>298</v>
      </c>
      <c r="G31" s="13" t="s">
        <v>299</v>
      </c>
      <c r="H31" s="4" t="s">
        <v>300</v>
      </c>
      <c r="I31" s="4" t="s">
        <v>261</v>
      </c>
      <c r="J31" s="4"/>
      <c r="K31" s="4"/>
      <c r="L31" s="4"/>
      <c r="M31" s="4"/>
      <c r="N31" s="4"/>
    </row>
    <row r="32" customFormat="false" ht="16.5" hidden="false" customHeight="true" outlineLevel="0" collapsed="false">
      <c r="A32" s="35" t="s">
        <v>262</v>
      </c>
      <c r="B32" s="36" t="n">
        <f aca="false">F13</f>
        <v>41849.9936630439</v>
      </c>
      <c r="C32" s="36" t="n">
        <f aca="false">B32*(1+-0.18)</f>
        <v>34316.994803696</v>
      </c>
      <c r="D32" s="36" t="n">
        <f aca="false">C32*(1+0.14+$B$197)</f>
        <v>39121.3740762134</v>
      </c>
      <c r="E32" s="36" t="n">
        <f aca="false">D32*(1+0.15+$B$197)</f>
        <v>44989.5801876454</v>
      </c>
      <c r="F32" s="36" t="n">
        <f aca="false">E32*(1+0.12+$B$197)</f>
        <v>50388.3298101629</v>
      </c>
      <c r="G32" s="36" t="n">
        <f aca="false">F32*(1+0.1+$B$197)</f>
        <v>55427.1627911792</v>
      </c>
      <c r="H32" s="79" t="n">
        <f aca="false">G32*(1+$B$211)</f>
        <v>57089.9776749145</v>
      </c>
      <c r="I32" s="68" t="s">
        <v>301</v>
      </c>
      <c r="J32" s="68"/>
      <c r="K32" s="68"/>
      <c r="L32" s="68"/>
      <c r="M32" s="68"/>
      <c r="N32" s="68"/>
    </row>
    <row r="33" customFormat="false" ht="16.5" hidden="false" customHeight="true" outlineLevel="0" collapsed="false">
      <c r="A33" s="31" t="s">
        <v>302</v>
      </c>
      <c r="B33" s="76" t="n">
        <f aca="false">B32/'00-三表与联动'!F28-1</f>
        <v>1.06687048908751</v>
      </c>
      <c r="C33" s="76" t="n">
        <f aca="false">C32/B32-1</f>
        <v>-0.18</v>
      </c>
      <c r="D33" s="76" t="n">
        <f aca="false">D32/C32-1</f>
        <v>0.14</v>
      </c>
      <c r="E33" s="76" t="n">
        <f aca="false">E32/D32-1</f>
        <v>0.15</v>
      </c>
      <c r="F33" s="76" t="n">
        <f aca="false">F32/E32-1</f>
        <v>0.12</v>
      </c>
      <c r="G33" s="76" t="n">
        <f aca="false">G32/F32-1</f>
        <v>0.1</v>
      </c>
      <c r="H33" s="80" t="n">
        <f aca="false">$B$211</f>
        <v>0.03</v>
      </c>
      <c r="I33" s="56" t="s">
        <v>303</v>
      </c>
      <c r="J33" s="56"/>
      <c r="K33" s="56"/>
      <c r="L33" s="56"/>
      <c r="M33" s="56"/>
      <c r="N33" s="56"/>
    </row>
    <row r="34" customFormat="false" ht="16.5" hidden="false" customHeight="true" outlineLevel="0" collapsed="false">
      <c r="A34" s="31" t="s">
        <v>266</v>
      </c>
      <c r="B34" s="76" t="n">
        <f aca="false">F16/F13</f>
        <v>0.805830348999053</v>
      </c>
      <c r="C34" s="76" t="n">
        <f aca="false">MAX(0.05,MIN(0.92,0.66+$B$193))</f>
        <v>0.66</v>
      </c>
      <c r="D34" s="76" t="n">
        <f aca="false">MAX(0.05,MIN(0.92,0.7+$B$193))</f>
        <v>0.7</v>
      </c>
      <c r="E34" s="76" t="n">
        <f aca="false">MAX(0.05,MIN(0.92,0.72+$B$193))</f>
        <v>0.72</v>
      </c>
      <c r="F34" s="76" t="n">
        <f aca="false">MAX(0.05,MIN(0.92,0.7+$B$193))</f>
        <v>0.7</v>
      </c>
      <c r="G34" s="76" t="n">
        <f aca="false">$B$195</f>
        <v>0.68</v>
      </c>
      <c r="H34" s="80" t="n">
        <f aca="false">G34</f>
        <v>0.68</v>
      </c>
      <c r="I34" s="56" t="s">
        <v>304</v>
      </c>
      <c r="J34" s="56"/>
      <c r="K34" s="56"/>
      <c r="L34" s="56"/>
      <c r="M34" s="56"/>
      <c r="N34" s="56"/>
    </row>
    <row r="35" customFormat="false" ht="16.5" hidden="false" customHeight="true" outlineLevel="0" collapsed="false">
      <c r="A35" s="31" t="s">
        <v>268</v>
      </c>
      <c r="B35" s="32" t="n">
        <f aca="false">B32*B34</f>
        <v>33723.9949990988</v>
      </c>
      <c r="C35" s="32" t="n">
        <f aca="false">C32*C34</f>
        <v>22649.2165704393</v>
      </c>
      <c r="D35" s="32" t="n">
        <f aca="false">D32*D34</f>
        <v>27384.9618533494</v>
      </c>
      <c r="E35" s="32" t="n">
        <f aca="false">E32*E34</f>
        <v>32392.4977351047</v>
      </c>
      <c r="F35" s="32" t="n">
        <f aca="false">F32*F34</f>
        <v>35271.830867114</v>
      </c>
      <c r="G35" s="32" t="n">
        <f aca="false">G32*G34</f>
        <v>37690.4706980018</v>
      </c>
      <c r="H35" s="81" t="n">
        <f aca="false">H32*H34</f>
        <v>38821.1848189419</v>
      </c>
      <c r="I35" s="56" t="s">
        <v>269</v>
      </c>
      <c r="J35" s="56"/>
      <c r="K35" s="56"/>
      <c r="L35" s="56"/>
      <c r="M35" s="56"/>
      <c r="N35" s="56"/>
    </row>
    <row r="36" customFormat="false" ht="16.5" hidden="false" customHeight="true" outlineLevel="0" collapsed="false">
      <c r="A36" s="31" t="s">
        <v>270</v>
      </c>
      <c r="B36" s="32" t="n">
        <f aca="false">B32*$B$199</f>
        <v>2427.29963245654</v>
      </c>
      <c r="C36" s="32" t="n">
        <f aca="false">C32*$B$199</f>
        <v>1990.38569861437</v>
      </c>
      <c r="D36" s="32" t="n">
        <f aca="false">D32*$B$199</f>
        <v>2269.03969642038</v>
      </c>
      <c r="E36" s="32" t="n">
        <f aca="false">E32*$B$199</f>
        <v>2609.39565088343</v>
      </c>
      <c r="F36" s="32" t="n">
        <f aca="false">F32*$B$199</f>
        <v>2922.52312898945</v>
      </c>
      <c r="G36" s="32" t="n">
        <f aca="false">G32*$B$199</f>
        <v>3214.77544188839</v>
      </c>
      <c r="H36" s="81" t="n">
        <f aca="false">H32*$B$199</f>
        <v>3311.21870514504</v>
      </c>
      <c r="I36" s="56" t="s">
        <v>305</v>
      </c>
      <c r="J36" s="56"/>
      <c r="K36" s="56"/>
      <c r="L36" s="56"/>
      <c r="M36" s="56"/>
      <c r="N36" s="56"/>
    </row>
    <row r="37" customFormat="false" ht="16.5" hidden="false" customHeight="true" outlineLevel="0" collapsed="false">
      <c r="A37" s="35" t="s">
        <v>272</v>
      </c>
      <c r="B37" s="36" t="n">
        <f aca="false">B35-B36</f>
        <v>31296.6953666422</v>
      </c>
      <c r="C37" s="36" t="n">
        <f aca="false">C35-C36</f>
        <v>20658.830871825</v>
      </c>
      <c r="D37" s="36" t="n">
        <f aca="false">D35-D36</f>
        <v>25115.922156929</v>
      </c>
      <c r="E37" s="36" t="n">
        <f aca="false">E35-E36</f>
        <v>29783.1020842213</v>
      </c>
      <c r="F37" s="36" t="n">
        <f aca="false">F35-F36</f>
        <v>32349.3077381246</v>
      </c>
      <c r="G37" s="36" t="n">
        <f aca="false">G35-G36</f>
        <v>34475.6952561134</v>
      </c>
      <c r="H37" s="79" t="n">
        <f aca="false">H35-H36</f>
        <v>35509.9661137968</v>
      </c>
      <c r="I37" s="56" t="s">
        <v>273</v>
      </c>
      <c r="J37" s="56"/>
      <c r="K37" s="56"/>
      <c r="L37" s="56"/>
      <c r="M37" s="56"/>
      <c r="N37" s="56"/>
    </row>
    <row r="38" customFormat="false" ht="16.5" hidden="false" customHeight="true" outlineLevel="0" collapsed="false">
      <c r="A38" s="31" t="s">
        <v>274</v>
      </c>
      <c r="B38" s="76" t="n">
        <f aca="false">B37/B32</f>
        <v>0.747830348999053</v>
      </c>
      <c r="C38" s="76" t="n">
        <f aca="false">C37/C32</f>
        <v>0.602</v>
      </c>
      <c r="D38" s="76" t="n">
        <f aca="false">D37/D32</f>
        <v>0.642</v>
      </c>
      <c r="E38" s="76" t="n">
        <f aca="false">E37/E32</f>
        <v>0.662</v>
      </c>
      <c r="F38" s="76" t="n">
        <f aca="false">F37/F32</f>
        <v>0.642</v>
      </c>
      <c r="G38" s="76" t="n">
        <f aca="false">G37/G32</f>
        <v>0.622</v>
      </c>
      <c r="H38" s="80" t="n">
        <f aca="false">H37/H32</f>
        <v>0.622</v>
      </c>
      <c r="I38" s="56" t="s">
        <v>306</v>
      </c>
      <c r="J38" s="56"/>
      <c r="K38" s="56"/>
      <c r="L38" s="56"/>
      <c r="M38" s="56"/>
      <c r="N38" s="56"/>
    </row>
    <row r="39" customFormat="false" ht="16.5" hidden="false" customHeight="true" outlineLevel="0" collapsed="false">
      <c r="A39" s="31" t="s">
        <v>307</v>
      </c>
      <c r="B39" s="32" t="n">
        <f aca="false">B37*(1-$B$201)</f>
        <v>26289.2241079795</v>
      </c>
      <c r="C39" s="32" t="n">
        <f aca="false">C37*(1-$B$201)</f>
        <v>17353.417932333</v>
      </c>
      <c r="D39" s="32" t="n">
        <f aca="false">D37*(1-$B$201)</f>
        <v>21097.3746118204</v>
      </c>
      <c r="E39" s="32" t="n">
        <f aca="false">E37*(1-$B$201)</f>
        <v>25017.8057507459</v>
      </c>
      <c r="F39" s="32" t="n">
        <f aca="false">F37*(1-$B$201)</f>
        <v>27173.4185000246</v>
      </c>
      <c r="G39" s="32" t="n">
        <f aca="false">G37*(1-$B$201)</f>
        <v>28959.5840151353</v>
      </c>
      <c r="H39" s="81" t="n">
        <f aca="false">H37*(1-$B$201)</f>
        <v>29828.3715355893</v>
      </c>
      <c r="I39" s="56" t="s">
        <v>308</v>
      </c>
      <c r="J39" s="56"/>
      <c r="K39" s="56"/>
      <c r="L39" s="56"/>
      <c r="M39" s="56"/>
      <c r="N39" s="56"/>
    </row>
    <row r="40" customFormat="false" ht="16.5" hidden="false" customHeight="true" outlineLevel="0" collapsed="false">
      <c r="A40" s="31" t="s">
        <v>280</v>
      </c>
      <c r="B40" s="32" t="n">
        <f aca="false">B32*0.0074</f>
        <v>309.689953106525</v>
      </c>
      <c r="C40" s="32" t="n">
        <f aca="false">C32*0.0074</f>
        <v>253.94576154735</v>
      </c>
      <c r="D40" s="32" t="n">
        <f aca="false">D32*0.0074</f>
        <v>289.498168163979</v>
      </c>
      <c r="E40" s="32" t="n">
        <f aca="false">E32*0.0074</f>
        <v>332.922893388576</v>
      </c>
      <c r="F40" s="32" t="n">
        <f aca="false">F32*0.0074</f>
        <v>372.873640595205</v>
      </c>
      <c r="G40" s="32" t="n">
        <f aca="false">G32*0.0074</f>
        <v>410.161004654726</v>
      </c>
      <c r="H40" s="81" t="n">
        <f aca="false">H32*0.0074</f>
        <v>422.465834794368</v>
      </c>
      <c r="I40" s="56" t="s">
        <v>309</v>
      </c>
      <c r="J40" s="56"/>
      <c r="K40" s="56"/>
      <c r="L40" s="56"/>
      <c r="M40" s="56"/>
      <c r="N40" s="56"/>
    </row>
    <row r="41" customFormat="false" ht="16.5" hidden="false" customHeight="true" outlineLevel="0" collapsed="false">
      <c r="A41" s="31" t="s">
        <v>282</v>
      </c>
      <c r="B41" s="32" t="n">
        <f aca="false">-B32*$B$203</f>
        <v>-753.29988593479</v>
      </c>
      <c r="C41" s="32" t="n">
        <f aca="false">-C32*$B$203</f>
        <v>-617.705906466527</v>
      </c>
      <c r="D41" s="32" t="n">
        <f aca="false">-D32*$B$203</f>
        <v>-704.184733371841</v>
      </c>
      <c r="E41" s="32" t="n">
        <f aca="false">-E32*$B$203</f>
        <v>-809.812443377618</v>
      </c>
      <c r="F41" s="32" t="n">
        <f aca="false">-F32*$B$203</f>
        <v>-906.989936582932</v>
      </c>
      <c r="G41" s="32" t="n">
        <f aca="false">-G32*$B$203</f>
        <v>-997.688930241225</v>
      </c>
      <c r="H41" s="81" t="n">
        <f aca="false">-H32*$B$203</f>
        <v>-1027.61959814846</v>
      </c>
      <c r="I41" s="56" t="s">
        <v>310</v>
      </c>
      <c r="J41" s="56"/>
      <c r="K41" s="56"/>
      <c r="L41" s="56"/>
      <c r="M41" s="56"/>
      <c r="N41" s="56"/>
    </row>
    <row r="42" customFormat="false" ht="16.5" hidden="false" customHeight="true" outlineLevel="0" collapsed="false">
      <c r="A42" s="48" t="s">
        <v>284</v>
      </c>
      <c r="B42" s="32" t="n">
        <f aca="false">-B32*$B$205</f>
        <v>-1339.1997972174</v>
      </c>
      <c r="C42" s="32" t="n">
        <f aca="false">-C32*$B$205</f>
        <v>-1098.14383371827</v>
      </c>
      <c r="D42" s="32" t="n">
        <f aca="false">-D32*$B$205</f>
        <v>-1251.88397043883</v>
      </c>
      <c r="E42" s="32" t="n">
        <f aca="false">-E32*$B$205</f>
        <v>-1439.66656600465</v>
      </c>
      <c r="F42" s="32" t="n">
        <f aca="false">-F32*$B$205</f>
        <v>-1612.42655392521</v>
      </c>
      <c r="G42" s="32" t="n">
        <f aca="false">-G32*$B$205</f>
        <v>-1773.66920931773</v>
      </c>
      <c r="H42" s="81" t="n">
        <f aca="false">-H32*$B$205</f>
        <v>-1826.87928559727</v>
      </c>
      <c r="I42" s="56" t="s">
        <v>311</v>
      </c>
      <c r="J42" s="56"/>
      <c r="K42" s="56"/>
      <c r="L42" s="56"/>
      <c r="M42" s="56"/>
      <c r="N42" s="56"/>
    </row>
    <row r="43" customFormat="false" ht="16.5" hidden="false" customHeight="true" outlineLevel="0" collapsed="false">
      <c r="A43" s="31" t="s">
        <v>286</v>
      </c>
      <c r="B43" s="32" t="n">
        <f aca="false">B32*$B$207</f>
        <v>7532.9988593479</v>
      </c>
      <c r="C43" s="32" t="n">
        <f aca="false">C32*$B$207</f>
        <v>6177.05906466527</v>
      </c>
      <c r="D43" s="32" t="n">
        <f aca="false">D32*$B$207</f>
        <v>7041.84733371841</v>
      </c>
      <c r="E43" s="32" t="n">
        <f aca="false">E32*$B$207</f>
        <v>8098.12443377618</v>
      </c>
      <c r="F43" s="32" t="n">
        <f aca="false">F32*$B$207</f>
        <v>9069.89936582932</v>
      </c>
      <c r="G43" s="32" t="n">
        <f aca="false">G32*$B$207</f>
        <v>9976.88930241225</v>
      </c>
      <c r="H43" s="81" t="n">
        <f aca="false">H32*$B$207</f>
        <v>10276.1959814846</v>
      </c>
      <c r="I43" s="56" t="s">
        <v>312</v>
      </c>
      <c r="J43" s="56"/>
      <c r="K43" s="56"/>
      <c r="L43" s="56"/>
      <c r="M43" s="56"/>
      <c r="N43" s="56"/>
    </row>
    <row r="44" customFormat="false" ht="16.5" hidden="false" customHeight="true" outlineLevel="0" collapsed="false">
      <c r="A44" s="31" t="s">
        <v>288</v>
      </c>
      <c r="B44" s="32" t="n">
        <f aca="false">-(B43-'00-三表与联动'!E28*4*$B$207)</f>
        <v>-1078.19885934789</v>
      </c>
      <c r="C44" s="32" t="n">
        <f aca="false">-(C43-B43)</f>
        <v>1355.93979468262</v>
      </c>
      <c r="D44" s="32" t="n">
        <f aca="false">-(D43-C43)</f>
        <v>-864.78826905314</v>
      </c>
      <c r="E44" s="32" t="n">
        <f aca="false">-(E43-D43)</f>
        <v>-1056.27710005776</v>
      </c>
      <c r="F44" s="32" t="n">
        <f aca="false">-(F43-E43)</f>
        <v>-971.774932053141</v>
      </c>
      <c r="G44" s="32" t="n">
        <f aca="false">-(G43-F43)</f>
        <v>-906.989936582933</v>
      </c>
      <c r="H44" s="81" t="n">
        <f aca="false">-(H43-G43)</f>
        <v>-299.306679072366</v>
      </c>
      <c r="I44" s="56" t="s">
        <v>313</v>
      </c>
      <c r="J44" s="56"/>
      <c r="K44" s="56"/>
      <c r="L44" s="56"/>
      <c r="M44" s="56"/>
      <c r="N44" s="56"/>
    </row>
    <row r="45" customFormat="false" ht="16.5" hidden="false" customHeight="true" outlineLevel="0" collapsed="false">
      <c r="A45" s="35" t="s">
        <v>290</v>
      </c>
      <c r="B45" s="166" t="n">
        <f aca="false">B39+B40+B41+B42+B44</f>
        <v>23428.2155185859</v>
      </c>
      <c r="C45" s="166" t="n">
        <f aca="false">C39+C40+C41+C42+C44</f>
        <v>17247.4537483782</v>
      </c>
      <c r="D45" s="166" t="n">
        <f aca="false">D39+D40+D41+D42+D44</f>
        <v>18566.0158071205</v>
      </c>
      <c r="E45" s="166" t="n">
        <f aca="false">E39+E40+E41+E42+E44</f>
        <v>22044.9725346944</v>
      </c>
      <c r="F45" s="166" t="n">
        <f aca="false">F39+F40+F41+F42+F44</f>
        <v>24055.1007180586</v>
      </c>
      <c r="G45" s="166" t="n">
        <f aca="false">G39+G40+G41+G42+G44</f>
        <v>25691.3969436481</v>
      </c>
      <c r="H45" s="167" t="n">
        <f aca="false">H39+H40+H41+H42+H44</f>
        <v>27097.0318075656</v>
      </c>
      <c r="I45" s="56" t="s">
        <v>314</v>
      </c>
      <c r="J45" s="56"/>
      <c r="K45" s="56"/>
      <c r="L45" s="56"/>
      <c r="M45" s="56"/>
      <c r="N45" s="56"/>
    </row>
    <row r="46" customFormat="false" ht="16.5" hidden="false" customHeight="true" outlineLevel="0" collapsed="false">
      <c r="A46" s="31" t="s">
        <v>315</v>
      </c>
      <c r="B46" s="76" t="n">
        <f aca="false">B45/B32</f>
        <v>0.5598140756536</v>
      </c>
      <c r="C46" s="76" t="n">
        <f aca="false">C45/C32</f>
        <v>0.502592195121951</v>
      </c>
      <c r="D46" s="76" t="n">
        <f aca="false">D45/D32</f>
        <v>0.474574736842105</v>
      </c>
      <c r="E46" s="76" t="n">
        <f aca="false">E45/E32</f>
        <v>0.490001739130435</v>
      </c>
      <c r="F46" s="76" t="n">
        <f aca="false">F45/F32</f>
        <v>0.477394285714286</v>
      </c>
      <c r="G46" s="76" t="n">
        <f aca="false">G45/G32</f>
        <v>0.463516363636364</v>
      </c>
      <c r="H46" s="80" t="n">
        <f aca="false">H45/H32</f>
        <v>0.474637281553398</v>
      </c>
      <c r="I46" s="56" t="s">
        <v>316</v>
      </c>
      <c r="J46" s="56"/>
      <c r="K46" s="56"/>
      <c r="L46" s="56"/>
      <c r="M46" s="56"/>
      <c r="N46" s="56"/>
    </row>
    <row r="47" customFormat="false" ht="16.5" hidden="false" customHeight="true" outlineLevel="0" collapsed="false">
      <c r="A47" s="31" t="s">
        <v>317</v>
      </c>
      <c r="B47" s="83" t="n">
        <f aca="false">0.5</f>
        <v>0.5</v>
      </c>
      <c r="C47" s="83" t="n">
        <f aca="false">1.5</f>
        <v>1.5</v>
      </c>
      <c r="D47" s="83" t="n">
        <f aca="false">2.5</f>
        <v>2.5</v>
      </c>
      <c r="E47" s="83" t="n">
        <f aca="false">3.5</f>
        <v>3.5</v>
      </c>
      <c r="F47" s="83" t="n">
        <f aca="false">4.5</f>
        <v>4.5</v>
      </c>
      <c r="G47" s="83" t="n">
        <f aca="false">5.5</f>
        <v>5.5</v>
      </c>
      <c r="H47" s="81" t="s">
        <v>318</v>
      </c>
      <c r="I47" s="56" t="s">
        <v>319</v>
      </c>
      <c r="J47" s="56"/>
      <c r="K47" s="56"/>
      <c r="L47" s="56"/>
      <c r="M47" s="56"/>
      <c r="N47" s="56"/>
    </row>
    <row r="48" customFormat="false" ht="16.5" hidden="false" customHeight="true" outlineLevel="0" collapsed="false">
      <c r="A48" s="31" t="s">
        <v>320</v>
      </c>
      <c r="B48" s="83" t="n">
        <f aca="false">1/(1+$B$209)^B47</f>
        <v>0.944911182523068</v>
      </c>
      <c r="C48" s="83" t="n">
        <f aca="false">1/(1+$B$209)^C47</f>
        <v>0.843670698681311</v>
      </c>
      <c r="D48" s="83" t="n">
        <f aca="false">1/(1+$B$209)^D47</f>
        <v>0.753277409536885</v>
      </c>
      <c r="E48" s="83" t="n">
        <f aca="false">1/(1+$B$209)^E47</f>
        <v>0.672569115657932</v>
      </c>
      <c r="F48" s="83" t="n">
        <f aca="false">1/(1+$B$209)^F47</f>
        <v>0.600508138980297</v>
      </c>
      <c r="G48" s="83" t="n">
        <f aca="false">1/(1+$B$209)^G47</f>
        <v>0.536167981232408</v>
      </c>
      <c r="H48" s="81" t="s">
        <v>318</v>
      </c>
      <c r="I48" s="56" t="s">
        <v>321</v>
      </c>
      <c r="J48" s="56"/>
      <c r="K48" s="56"/>
      <c r="L48" s="56"/>
      <c r="M48" s="56"/>
      <c r="N48" s="56"/>
    </row>
    <row r="49" customFormat="false" ht="16.5" hidden="false" customHeight="true" outlineLevel="0" collapsed="false">
      <c r="A49" s="35" t="s">
        <v>322</v>
      </c>
      <c r="B49" s="166" t="n">
        <f aca="false">B45*B48</f>
        <v>22137.5828300723</v>
      </c>
      <c r="C49" s="166" t="n">
        <f aca="false">C45*C48</f>
        <v>14551.1713543678</v>
      </c>
      <c r="D49" s="166" t="n">
        <f aca="false">D45*D48</f>
        <v>13985.3602926086</v>
      </c>
      <c r="E49" s="166" t="n">
        <f aca="false">E45*E48</f>
        <v>14826.7676823628</v>
      </c>
      <c r="F49" s="166" t="n">
        <f aca="false">F45*F48</f>
        <v>14445.2837651849</v>
      </c>
      <c r="G49" s="166" t="n">
        <f aca="false">G45*G48</f>
        <v>13774.9044343163</v>
      </c>
      <c r="H49" s="79" t="s">
        <v>318</v>
      </c>
      <c r="I49" s="56" t="s">
        <v>323</v>
      </c>
      <c r="J49" s="56"/>
      <c r="K49" s="56"/>
      <c r="L49" s="56"/>
      <c r="M49" s="56"/>
      <c r="N49" s="56"/>
    </row>
    <row r="51" customFormat="false" ht="24" hidden="false" customHeight="true" outlineLevel="0" collapsed="false">
      <c r="A51" s="12" t="s">
        <v>324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customFormat="false" ht="27" hidden="false" customHeight="true" outlineLevel="0" collapsed="false">
      <c r="A52" s="4" t="s">
        <v>325</v>
      </c>
      <c r="B52" s="4" t="s">
        <v>326</v>
      </c>
      <c r="C52" s="4"/>
      <c r="D52" s="4" t="s">
        <v>327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9.5" hidden="false" customHeight="true" outlineLevel="0" collapsed="false">
      <c r="A53" s="5" t="s">
        <v>20</v>
      </c>
      <c r="B53" s="84" t="n">
        <f aca="false">'00-三表与联动'!$B$13</f>
        <v>0.042</v>
      </c>
      <c r="C53" s="84"/>
      <c r="D53" s="68" t="s">
        <v>328</v>
      </c>
      <c r="E53" s="68"/>
      <c r="F53" s="68"/>
      <c r="G53" s="68"/>
      <c r="H53" s="68"/>
      <c r="I53" s="68"/>
      <c r="J53" s="68"/>
      <c r="K53" s="68"/>
      <c r="L53" s="68"/>
      <c r="M53" s="68"/>
      <c r="N53" s="68"/>
    </row>
    <row r="54" customFormat="false" ht="19.5" hidden="false" customHeight="true" outlineLevel="0" collapsed="false">
      <c r="A54" s="5" t="s">
        <v>22</v>
      </c>
      <c r="B54" s="84" t="n">
        <f aca="false">'00-三表与联动'!$B$14</f>
        <v>0.05</v>
      </c>
      <c r="C54" s="84"/>
      <c r="D54" s="56" t="s">
        <v>329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</row>
    <row r="55" customFormat="false" ht="28.5" hidden="false" customHeight="true" outlineLevel="0" collapsed="false">
      <c r="A55" s="5" t="s">
        <v>330</v>
      </c>
      <c r="B55" s="85" t="n">
        <f aca="false">(B56-B53)/B54</f>
        <v>1.56</v>
      </c>
      <c r="C55" s="85"/>
      <c r="D55" s="56" t="s">
        <v>331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customFormat="false" ht="19.5" hidden="false" customHeight="true" outlineLevel="0" collapsed="false">
      <c r="A56" s="5" t="s">
        <v>332</v>
      </c>
      <c r="B56" s="84" t="n">
        <f aca="false">$B$209</f>
        <v>0.12</v>
      </c>
      <c r="C56" s="84"/>
      <c r="D56" s="56" t="s">
        <v>333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</row>
    <row r="57" customFormat="false" ht="19.5" hidden="false" customHeight="true" outlineLevel="0" collapsed="false">
      <c r="A57" s="5" t="s">
        <v>334</v>
      </c>
      <c r="B57" s="86" t="n">
        <v>0</v>
      </c>
      <c r="C57" s="86"/>
      <c r="D57" s="68" t="s">
        <v>335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</row>
    <row r="58" customFormat="false" ht="19.5" hidden="false" customHeight="true" outlineLevel="0" collapsed="false">
      <c r="A58" s="5" t="s">
        <v>336</v>
      </c>
      <c r="B58" s="86" t="n">
        <v>0</v>
      </c>
      <c r="C58" s="86"/>
      <c r="D58" s="56" t="s">
        <v>337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60" customFormat="false" ht="24" hidden="false" customHeight="true" outlineLevel="0" collapsed="false">
      <c r="A60" s="12" t="s">
        <v>338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customFormat="false" ht="27" hidden="false" customHeight="true" outlineLevel="0" collapsed="false">
      <c r="A61" s="4" t="s">
        <v>339</v>
      </c>
      <c r="B61" s="4" t="s">
        <v>340</v>
      </c>
      <c r="C61" s="4"/>
      <c r="D61" s="4" t="s">
        <v>341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8.75" hidden="false" customHeight="true" outlineLevel="0" collapsed="false">
      <c r="A62" s="63" t="s">
        <v>342</v>
      </c>
      <c r="B62" s="87" t="n">
        <f aca="false">SUM(B49:G49)</f>
        <v>93721.0703589127</v>
      </c>
      <c r="C62" s="87"/>
      <c r="D62" s="68" t="s">
        <v>343</v>
      </c>
      <c r="E62" s="68"/>
      <c r="F62" s="68"/>
      <c r="G62" s="68"/>
      <c r="H62" s="68"/>
      <c r="I62" s="68"/>
      <c r="J62" s="68"/>
      <c r="K62" s="68"/>
      <c r="L62" s="68"/>
      <c r="M62" s="68"/>
      <c r="N62" s="68"/>
    </row>
    <row r="63" customFormat="false" ht="18.75" hidden="false" customHeight="true" outlineLevel="0" collapsed="false">
      <c r="A63" s="63" t="s">
        <v>344</v>
      </c>
      <c r="B63" s="87" t="n">
        <f aca="false">H45/($B$209-$B$211)</f>
        <v>301078.131195174</v>
      </c>
      <c r="C63" s="87"/>
      <c r="D63" s="56" t="s">
        <v>345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4" customFormat="false" ht="18.75" hidden="false" customHeight="true" outlineLevel="0" collapsed="false">
      <c r="A64" s="63" t="s">
        <v>346</v>
      </c>
      <c r="B64" s="87" t="n">
        <f aca="false">B63*G48/(1+$B$209)^0.5</f>
        <v>152535.551169383</v>
      </c>
      <c r="C64" s="87"/>
      <c r="D64" s="56" t="s">
        <v>347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</row>
    <row r="65" customFormat="false" ht="18.75" hidden="false" customHeight="true" outlineLevel="0" collapsed="false">
      <c r="A65" s="63" t="s">
        <v>348</v>
      </c>
      <c r="B65" s="86" t="n">
        <f aca="false">B64/B66</f>
        <v>0.619417054545501</v>
      </c>
      <c r="C65" s="86"/>
      <c r="D65" s="56" t="s">
        <v>349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</row>
    <row r="66" customFormat="false" ht="18.75" hidden="false" customHeight="true" outlineLevel="0" collapsed="false">
      <c r="A66" s="63" t="s">
        <v>350</v>
      </c>
      <c r="B66" s="87" t="n">
        <f aca="false">B62+B64</f>
        <v>246256.621528296</v>
      </c>
      <c r="C66" s="87"/>
      <c r="D66" s="56" t="s">
        <v>351</v>
      </c>
      <c r="E66" s="56"/>
      <c r="F66" s="56"/>
      <c r="G66" s="56"/>
      <c r="H66" s="56"/>
      <c r="I66" s="56"/>
      <c r="J66" s="56"/>
      <c r="K66" s="56"/>
      <c r="L66" s="56"/>
      <c r="M66" s="56"/>
      <c r="N66" s="56"/>
    </row>
    <row r="67" customFormat="false" ht="18.75" hidden="false" customHeight="true" outlineLevel="0" collapsed="false">
      <c r="A67" s="63" t="s">
        <v>352</v>
      </c>
      <c r="B67" s="87" t="n">
        <f aca="false">'00-三表与联动'!$B$10</f>
        <v>4762</v>
      </c>
      <c r="C67" s="87"/>
      <c r="D67" s="68" t="s">
        <v>353</v>
      </c>
      <c r="E67" s="68"/>
      <c r="F67" s="68"/>
      <c r="G67" s="68"/>
      <c r="H67" s="68"/>
      <c r="I67" s="68"/>
      <c r="J67" s="68"/>
      <c r="K67" s="68"/>
      <c r="L67" s="68"/>
      <c r="M67" s="68"/>
      <c r="N67" s="68"/>
    </row>
    <row r="68" customFormat="false" ht="18.75" hidden="false" customHeight="true" outlineLevel="0" collapsed="false">
      <c r="A68" s="63" t="s">
        <v>354</v>
      </c>
      <c r="B68" s="87" t="n">
        <f aca="false">'00-三表与联动'!$B$11</f>
        <v>1777</v>
      </c>
      <c r="C68" s="87"/>
      <c r="D68" s="68" t="s">
        <v>355</v>
      </c>
      <c r="E68" s="68"/>
      <c r="F68" s="68"/>
      <c r="G68" s="68"/>
      <c r="H68" s="68"/>
      <c r="I68" s="68"/>
      <c r="J68" s="68"/>
      <c r="K68" s="68"/>
      <c r="L68" s="68"/>
      <c r="M68" s="68"/>
      <c r="N68" s="68"/>
    </row>
    <row r="69" customFormat="false" ht="18.75" hidden="false" customHeight="true" outlineLevel="0" collapsed="false">
      <c r="A69" s="63" t="s">
        <v>356</v>
      </c>
      <c r="B69" s="87" t="n">
        <f aca="false">-'00-三表与联动'!$B$12</f>
        <v>-0</v>
      </c>
      <c r="C69" s="87"/>
      <c r="D69" s="56" t="s">
        <v>357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</row>
    <row r="70" customFormat="false" ht="18.75" hidden="false" customHeight="true" outlineLevel="0" collapsed="false">
      <c r="A70" s="63" t="s">
        <v>358</v>
      </c>
      <c r="B70" s="87" t="n">
        <f aca="false">B66+B67+B68+B69</f>
        <v>252795.621528296</v>
      </c>
      <c r="C70" s="87"/>
      <c r="D70" s="56" t="s">
        <v>359</v>
      </c>
      <c r="E70" s="56"/>
      <c r="F70" s="56"/>
      <c r="G70" s="56"/>
      <c r="H70" s="56"/>
      <c r="I70" s="56"/>
      <c r="J70" s="56"/>
      <c r="K70" s="56"/>
      <c r="L70" s="56"/>
      <c r="M70" s="56"/>
      <c r="N70" s="56"/>
    </row>
    <row r="71" customFormat="false" ht="18.75" hidden="false" customHeight="true" outlineLevel="0" collapsed="false">
      <c r="A71" s="63" t="s">
        <v>360</v>
      </c>
      <c r="B71" s="88" t="n">
        <f aca="false">'00-三表与联动'!$B$9</f>
        <v>155</v>
      </c>
      <c r="C71" s="88"/>
      <c r="D71" s="56" t="s">
        <v>361</v>
      </c>
      <c r="E71" s="56"/>
      <c r="F71" s="56"/>
      <c r="G71" s="56"/>
      <c r="H71" s="56"/>
      <c r="I71" s="56"/>
      <c r="J71" s="56"/>
      <c r="K71" s="56"/>
      <c r="L71" s="56"/>
      <c r="M71" s="56"/>
      <c r="N71" s="56"/>
    </row>
    <row r="72" customFormat="false" ht="24" hidden="false" customHeight="true" outlineLevel="0" collapsed="false">
      <c r="A72" s="168" t="s">
        <v>362</v>
      </c>
      <c r="B72" s="169" t="n">
        <f aca="false">B70/B71</f>
        <v>1630.93949373094</v>
      </c>
      <c r="C72" s="169"/>
      <c r="D72" s="56" t="s">
        <v>363</v>
      </c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 customFormat="false" ht="18.75" hidden="false" customHeight="true" outlineLevel="0" collapsed="false">
      <c r="A73" s="63" t="s">
        <v>364</v>
      </c>
      <c r="B73" s="91" t="n">
        <f aca="false">'00-三表与联动'!$B$6</f>
        <v>1500.17</v>
      </c>
      <c r="C73" s="91"/>
      <c r="D73" s="68" t="s">
        <v>365</v>
      </c>
      <c r="E73" s="68"/>
      <c r="F73" s="68"/>
      <c r="G73" s="68"/>
      <c r="H73" s="68"/>
      <c r="I73" s="68"/>
      <c r="J73" s="68"/>
      <c r="K73" s="68"/>
      <c r="L73" s="68"/>
      <c r="M73" s="68"/>
      <c r="N73" s="68"/>
    </row>
    <row r="74" customFormat="false" ht="24" hidden="false" customHeight="true" outlineLevel="0" collapsed="false">
      <c r="A74" s="168" t="s">
        <v>366</v>
      </c>
      <c r="B74" s="170" t="n">
        <f aca="false">B72/B73-1</f>
        <v>0.0871697832451932</v>
      </c>
      <c r="C74" s="170"/>
      <c r="D74" s="56" t="s">
        <v>367</v>
      </c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 customFormat="false" ht="20.25" hidden="false" customHeight="true" outlineLevel="0" collapsed="false">
      <c r="A75" s="30" t="s">
        <v>368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7" customFormat="false" ht="24" hidden="false" customHeight="true" outlineLevel="0" collapsed="false">
      <c r="A77" s="12" t="s">
        <v>369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customFormat="false" ht="27" hidden="false" customHeight="true" outlineLevel="0" collapsed="false">
      <c r="A78" s="4" t="s">
        <v>370</v>
      </c>
      <c r="B78" s="4" t="s">
        <v>371</v>
      </c>
      <c r="C78" s="4"/>
      <c r="D78" s="4" t="s">
        <v>372</v>
      </c>
      <c r="E78" s="4"/>
      <c r="F78" s="4" t="s">
        <v>373</v>
      </c>
      <c r="G78" s="4"/>
      <c r="H78" s="4"/>
      <c r="I78" s="4"/>
      <c r="J78" s="4"/>
      <c r="K78" s="4"/>
      <c r="L78" s="4"/>
      <c r="M78" s="4"/>
      <c r="N78" s="4"/>
    </row>
    <row r="79" customFormat="false" ht="19.5" hidden="false" customHeight="true" outlineLevel="0" collapsed="false">
      <c r="A79" s="5" t="s">
        <v>374</v>
      </c>
      <c r="B79" s="93"/>
      <c r="C79" s="93"/>
      <c r="D79" s="171" t="n">
        <f aca="false">B63/(G37+G40)</f>
        <v>8.63037813790912</v>
      </c>
      <c r="E79" s="171"/>
      <c r="F79" s="56" t="s">
        <v>375</v>
      </c>
      <c r="G79" s="56"/>
      <c r="H79" s="56"/>
      <c r="I79" s="56"/>
      <c r="J79" s="56"/>
      <c r="K79" s="56"/>
      <c r="L79" s="56"/>
      <c r="M79" s="56"/>
      <c r="N79" s="56"/>
    </row>
    <row r="80" customFormat="false" ht="19.5" hidden="false" customHeight="true" outlineLevel="0" collapsed="false">
      <c r="A80" s="5" t="s">
        <v>376</v>
      </c>
      <c r="B80" s="93"/>
      <c r="C80" s="93"/>
      <c r="D80" s="171" t="n">
        <f aca="false">B63/G32</f>
        <v>5.43196</v>
      </c>
      <c r="E80" s="171"/>
      <c r="F80" s="56" t="s">
        <v>377</v>
      </c>
      <c r="G80" s="56"/>
      <c r="H80" s="56"/>
      <c r="I80" s="56"/>
      <c r="J80" s="56"/>
      <c r="K80" s="56"/>
      <c r="L80" s="56"/>
      <c r="M80" s="56"/>
      <c r="N80" s="56"/>
    </row>
    <row r="81" customFormat="false" ht="19.5" hidden="false" customHeight="true" outlineLevel="0" collapsed="false">
      <c r="A81" s="5" t="s">
        <v>378</v>
      </c>
      <c r="B81" s="93"/>
      <c r="C81" s="93"/>
      <c r="D81" s="172" t="n">
        <f aca="false">B72/(F27/'00-三表与联动'!$B$9)</f>
        <v>10.4802184311892</v>
      </c>
      <c r="E81" s="172"/>
      <c r="F81" s="56" t="s">
        <v>379</v>
      </c>
      <c r="G81" s="56"/>
      <c r="H81" s="56"/>
      <c r="I81" s="56"/>
      <c r="J81" s="56"/>
      <c r="K81" s="56"/>
      <c r="L81" s="56"/>
      <c r="M81" s="56"/>
      <c r="N81" s="56"/>
    </row>
    <row r="82" customFormat="false" ht="19.5" hidden="false" customHeight="true" outlineLevel="0" collapsed="false">
      <c r="A82" s="5" t="s">
        <v>380</v>
      </c>
      <c r="B82" s="93"/>
      <c r="C82" s="93"/>
      <c r="D82" s="172" t="n">
        <f aca="false">'00-三表与联动'!$B$6/(F27/'00-三表与联动'!$B$9)</f>
        <v>9.63990960078545</v>
      </c>
      <c r="E82" s="172"/>
      <c r="F82" s="56" t="s">
        <v>381</v>
      </c>
      <c r="G82" s="56"/>
      <c r="H82" s="56"/>
      <c r="I82" s="56"/>
      <c r="J82" s="56"/>
      <c r="K82" s="56"/>
      <c r="L82" s="56"/>
      <c r="M82" s="56"/>
      <c r="N82" s="56"/>
    </row>
    <row r="83" customFormat="false" ht="19.5" hidden="false" customHeight="true" outlineLevel="0" collapsed="false">
      <c r="A83" s="5" t="s">
        <v>382</v>
      </c>
      <c r="B83" s="93"/>
      <c r="C83" s="93"/>
      <c r="D83" s="171" t="n">
        <f aca="false">'00-三表与联动'!$B$6*'00-三表与联动'!$B$9/B70</f>
        <v>0.919819530869418</v>
      </c>
      <c r="E83" s="171"/>
      <c r="F83" s="56" t="s">
        <v>383</v>
      </c>
      <c r="G83" s="56"/>
      <c r="H83" s="56"/>
      <c r="I83" s="56"/>
      <c r="J83" s="56"/>
      <c r="K83" s="56"/>
      <c r="L83" s="56"/>
      <c r="M83" s="56"/>
      <c r="N83" s="56"/>
    </row>
    <row r="85" customFormat="false" ht="24" hidden="false" customHeight="true" outlineLevel="0" collapsed="false">
      <c r="A85" s="12" t="s">
        <v>384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customFormat="false" ht="33" hidden="false" customHeight="true" outlineLevel="0" collapsed="false">
      <c r="A86" s="74" t="s">
        <v>385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customFormat="false" ht="33" hidden="false" customHeight="true" outlineLevel="0" collapsed="false">
      <c r="A87" s="30" t="s">
        <v>386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 customFormat="false" ht="33" hidden="false" customHeight="true" outlineLevel="0" collapsed="false">
      <c r="A88" s="30" t="s">
        <v>387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customFormat="false" ht="27" hidden="false" customHeight="true" outlineLevel="0" collapsed="false">
      <c r="A89" s="4" t="s">
        <v>388</v>
      </c>
      <c r="B89" s="13" t="s">
        <v>294</v>
      </c>
      <c r="C89" s="13" t="s">
        <v>295</v>
      </c>
      <c r="D89" s="13" t="s">
        <v>296</v>
      </c>
      <c r="E89" s="13" t="s">
        <v>297</v>
      </c>
      <c r="F89" s="13" t="s">
        <v>298</v>
      </c>
      <c r="G89" s="13" t="s">
        <v>299</v>
      </c>
      <c r="H89" s="4" t="s">
        <v>5</v>
      </c>
      <c r="I89" s="4"/>
      <c r="J89" s="4"/>
      <c r="K89" s="4"/>
      <c r="L89" s="4"/>
      <c r="M89" s="4"/>
      <c r="N89" s="4"/>
    </row>
    <row r="90" customFormat="false" ht="16.5" hidden="false" customHeight="true" outlineLevel="0" collapsed="false">
      <c r="A90" s="31" t="s">
        <v>389</v>
      </c>
      <c r="B90" s="32" t="n">
        <f aca="false">B45</f>
        <v>23428.2155185859</v>
      </c>
      <c r="C90" s="32" t="n">
        <f aca="false">C45</f>
        <v>17247.4537483782</v>
      </c>
      <c r="D90" s="32" t="n">
        <f aca="false">D45</f>
        <v>18566.0158071205</v>
      </c>
      <c r="E90" s="32" t="n">
        <f aca="false">E45</f>
        <v>22044.9725346944</v>
      </c>
      <c r="F90" s="32" t="n">
        <f aca="false">F45</f>
        <v>24055.1007180586</v>
      </c>
      <c r="G90" s="32" t="n">
        <f aca="false">G45</f>
        <v>25691.3969436481</v>
      </c>
      <c r="H90" s="56" t="s">
        <v>390</v>
      </c>
      <c r="I90" s="56"/>
      <c r="J90" s="56"/>
      <c r="K90" s="56"/>
      <c r="L90" s="56"/>
      <c r="M90" s="56"/>
      <c r="N90" s="56"/>
    </row>
    <row r="91" customFormat="false" ht="16.5" hidden="false" customHeight="true" outlineLevel="0" collapsed="false">
      <c r="A91" s="48" t="s">
        <v>391</v>
      </c>
      <c r="B91" s="43" t="n">
        <f aca="false">$B$133</f>
        <v>1</v>
      </c>
      <c r="C91" s="43" t="n">
        <f aca="false">$B$133</f>
        <v>1</v>
      </c>
      <c r="D91" s="43" t="n">
        <f aca="false">$B$133</f>
        <v>1</v>
      </c>
      <c r="E91" s="43" t="n">
        <f aca="false">$B$133</f>
        <v>1</v>
      </c>
      <c r="F91" s="43" t="n">
        <f aca="false">$B$133</f>
        <v>1</v>
      </c>
      <c r="G91" s="43" t="n">
        <f aca="false">$B$133</f>
        <v>1</v>
      </c>
      <c r="H91" s="56" t="s">
        <v>392</v>
      </c>
      <c r="I91" s="56"/>
      <c r="J91" s="56"/>
      <c r="K91" s="56"/>
      <c r="L91" s="56"/>
      <c r="M91" s="56"/>
      <c r="N91" s="56"/>
    </row>
    <row r="92" customFormat="false" ht="16.5" hidden="false" customHeight="true" outlineLevel="0" collapsed="false">
      <c r="A92" s="31" t="s">
        <v>393</v>
      </c>
      <c r="B92" s="32" t="n">
        <f aca="false">MAX(0,B90*B91)</f>
        <v>23428.2155185859</v>
      </c>
      <c r="C92" s="32" t="n">
        <f aca="false">MAX(0,C90*C91)</f>
        <v>17247.4537483782</v>
      </c>
      <c r="D92" s="32" t="n">
        <f aca="false">MAX(0,D90*D91)</f>
        <v>18566.0158071205</v>
      </c>
      <c r="E92" s="32" t="n">
        <f aca="false">MAX(0,E90*E91)</f>
        <v>22044.9725346944</v>
      </c>
      <c r="F92" s="32" t="n">
        <f aca="false">MAX(0,F90*F91)</f>
        <v>24055.1007180586</v>
      </c>
      <c r="G92" s="32" t="n">
        <f aca="false">MAX(0,G90*G91)</f>
        <v>25691.3969436481</v>
      </c>
      <c r="H92" s="56" t="s">
        <v>394</v>
      </c>
      <c r="I92" s="56"/>
      <c r="J92" s="56"/>
      <c r="K92" s="56"/>
      <c r="L92" s="56"/>
      <c r="M92" s="56"/>
      <c r="N92" s="56"/>
    </row>
    <row r="93" customFormat="false" ht="16.5" hidden="false" customHeight="true" outlineLevel="0" collapsed="false">
      <c r="A93" s="31" t="s">
        <v>395</v>
      </c>
      <c r="B93" s="96" t="n">
        <f aca="false">'00-三表与联动'!$B$6*$B$135*(1+$B$209)^0.5</f>
        <v>1587.63069772791</v>
      </c>
      <c r="C93" s="96" t="n">
        <f aca="false">'00-三表与联动'!$B$6*$B$135*(1+$B$209)^1.5</f>
        <v>1778.14638145526</v>
      </c>
      <c r="D93" s="96" t="n">
        <f aca="false">'00-三表与联动'!$B$6*$B$135*(1+$B$209)^2.5</f>
        <v>1991.52394722989</v>
      </c>
      <c r="E93" s="96" t="n">
        <f aca="false">'00-三表与联动'!$B$6*$B$135*(1+$B$209)^3.5</f>
        <v>2230.50682089747</v>
      </c>
      <c r="F93" s="96" t="n">
        <f aca="false">'00-三表与联动'!$B$6*$B$135*(1+$B$209)^4.5</f>
        <v>2498.16763940517</v>
      </c>
      <c r="G93" s="96" t="n">
        <f aca="false">'00-三表与联动'!$B$6*$B$135*(1+$B$209)^5.5</f>
        <v>2797.94775613379</v>
      </c>
      <c r="H93" s="56" t="s">
        <v>396</v>
      </c>
      <c r="I93" s="56"/>
      <c r="J93" s="56"/>
      <c r="K93" s="56"/>
      <c r="L93" s="56"/>
      <c r="M93" s="56"/>
      <c r="N93" s="56"/>
    </row>
    <row r="94" customFormat="false" ht="16.5" hidden="false" customHeight="true" outlineLevel="0" collapsed="false">
      <c r="A94" s="31" t="s">
        <v>397</v>
      </c>
      <c r="B94" s="97" t="n">
        <f aca="false">B92/B93</f>
        <v>14.756716125554</v>
      </c>
      <c r="C94" s="97" t="n">
        <f aca="false">C92/C93</f>
        <v>9.69968160566321</v>
      </c>
      <c r="D94" s="97" t="n">
        <f aca="false">D92/D93</f>
        <v>9.32251697648174</v>
      </c>
      <c r="E94" s="97" t="n">
        <f aca="false">E92/E93</f>
        <v>9.88339167051923</v>
      </c>
      <c r="F94" s="97" t="n">
        <f aca="false">F92/F93</f>
        <v>9.62909787903034</v>
      </c>
      <c r="G94" s="97" t="n">
        <f aca="false">G92/G93</f>
        <v>9.18222897026088</v>
      </c>
      <c r="H94" s="56" t="s">
        <v>398</v>
      </c>
      <c r="I94" s="56"/>
      <c r="J94" s="56"/>
      <c r="K94" s="56"/>
      <c r="L94" s="56"/>
      <c r="M94" s="56"/>
      <c r="N94" s="56"/>
    </row>
    <row r="95" customFormat="false" ht="16.5" hidden="false" customHeight="true" outlineLevel="0" collapsed="false">
      <c r="A95" s="31" t="s">
        <v>399</v>
      </c>
      <c r="B95" s="97" t="n">
        <f aca="false">B32*0.0115/B93</f>
        <v>0.303140351099136</v>
      </c>
      <c r="C95" s="97" t="n">
        <f aca="false">C32*0.0115/C93</f>
        <v>0.22194204276901</v>
      </c>
      <c r="D95" s="97" t="n">
        <f aca="false">D32*0.0115/D93</f>
        <v>0.225905293532743</v>
      </c>
      <c r="E95" s="97" t="n">
        <f aca="false">E32*0.0115/E93</f>
        <v>0.231956328180941</v>
      </c>
      <c r="F95" s="97" t="n">
        <f aca="false">F32*0.0115/F93</f>
        <v>0.231956328180941</v>
      </c>
      <c r="G95" s="97" t="n">
        <f aca="false">G32*0.0115/G93</f>
        <v>0.227814250891996</v>
      </c>
      <c r="H95" s="56" t="s">
        <v>400</v>
      </c>
      <c r="I95" s="56"/>
      <c r="J95" s="56"/>
      <c r="K95" s="56"/>
      <c r="L95" s="56"/>
      <c r="M95" s="56"/>
      <c r="N95" s="56"/>
    </row>
    <row r="96" customFormat="false" ht="16.5" hidden="false" customHeight="true" outlineLevel="0" collapsed="false">
      <c r="A96" s="31" t="s">
        <v>401</v>
      </c>
      <c r="B96" s="97" t="n">
        <f aca="false">'00-三表与联动'!$B$9</f>
        <v>155</v>
      </c>
      <c r="C96" s="97" t="n">
        <f aca="false">B97</f>
        <v>140.546424225545</v>
      </c>
      <c r="D96" s="97" t="n">
        <f aca="false">C97</f>
        <v>131.068684662651</v>
      </c>
      <c r="E96" s="97" t="n">
        <f aca="false">D97</f>
        <v>121.972072979702</v>
      </c>
      <c r="F96" s="97" t="n">
        <f aca="false">E97</f>
        <v>112.320637637364</v>
      </c>
      <c r="G96" s="97" t="n">
        <f aca="false">F97</f>
        <v>102.923496086514</v>
      </c>
      <c r="H96" s="68" t="s">
        <v>402</v>
      </c>
      <c r="I96" s="68"/>
      <c r="J96" s="68"/>
      <c r="K96" s="68"/>
      <c r="L96" s="68"/>
      <c r="M96" s="68"/>
      <c r="N96" s="68"/>
    </row>
    <row r="97" customFormat="false" ht="16.5" hidden="false" customHeight="true" outlineLevel="0" collapsed="false">
      <c r="A97" s="35" t="s">
        <v>403</v>
      </c>
      <c r="B97" s="98" t="n">
        <f aca="false">MAX(20,B96-B94+B95)</f>
        <v>140.546424225545</v>
      </c>
      <c r="C97" s="98" t="n">
        <f aca="false">MAX(20,C96-C94+C95)</f>
        <v>131.068684662651</v>
      </c>
      <c r="D97" s="98" t="n">
        <f aca="false">MAX(20,D96-D94+D95)</f>
        <v>121.972072979702</v>
      </c>
      <c r="E97" s="98" t="n">
        <f aca="false">MAX(20,E96-E94+E95)</f>
        <v>112.320637637364</v>
      </c>
      <c r="F97" s="98" t="n">
        <f aca="false">MAX(20,F96-F94+F95)</f>
        <v>102.923496086514</v>
      </c>
      <c r="G97" s="98" t="n">
        <f aca="false">MAX(20,G96-G94+G95)</f>
        <v>93.9690813671454</v>
      </c>
      <c r="H97" s="56" t="s">
        <v>404</v>
      </c>
      <c r="I97" s="56"/>
      <c r="J97" s="56"/>
      <c r="K97" s="56"/>
      <c r="L97" s="56"/>
      <c r="M97" s="56"/>
      <c r="N97" s="56"/>
    </row>
    <row r="98" customFormat="false" ht="16.5" hidden="false" customHeight="true" outlineLevel="0" collapsed="false">
      <c r="A98" s="31" t="s">
        <v>405</v>
      </c>
      <c r="B98" s="32" t="n">
        <f aca="false">('00-三表与联动'!$B$10+'00-三表与联动'!$B$11-'00-三表与联动'!$B$12)+B90-B92</f>
        <v>6539</v>
      </c>
      <c r="C98" s="32" t="n">
        <f aca="false">B98+C90-C92</f>
        <v>6539</v>
      </c>
      <c r="D98" s="32" t="n">
        <f aca="false">C98+D90-D92</f>
        <v>6539</v>
      </c>
      <c r="E98" s="32" t="n">
        <f aca="false">D98+E90-E92</f>
        <v>6539</v>
      </c>
      <c r="F98" s="32" t="n">
        <f aca="false">E98+F90-F92</f>
        <v>6539</v>
      </c>
      <c r="G98" s="32" t="n">
        <f aca="false">F98+G90-G92</f>
        <v>6539</v>
      </c>
      <c r="H98" s="56" t="s">
        <v>406</v>
      </c>
      <c r="I98" s="56"/>
      <c r="J98" s="56"/>
      <c r="K98" s="56"/>
      <c r="L98" s="56"/>
      <c r="M98" s="56"/>
      <c r="N98" s="56"/>
    </row>
    <row r="99" customFormat="false" ht="16.5" hidden="false" customHeight="true" outlineLevel="0" collapsed="false">
      <c r="A99" s="31" t="s">
        <v>307</v>
      </c>
      <c r="B99" s="32" t="n">
        <f aca="false">B39</f>
        <v>26289.2241079795</v>
      </c>
      <c r="C99" s="32" t="n">
        <f aca="false">C39</f>
        <v>17353.417932333</v>
      </c>
      <c r="D99" s="32" t="n">
        <f aca="false">D39</f>
        <v>21097.3746118204</v>
      </c>
      <c r="E99" s="32" t="n">
        <f aca="false">E39</f>
        <v>25017.8057507459</v>
      </c>
      <c r="F99" s="32" t="n">
        <f aca="false">F39</f>
        <v>27173.4185000246</v>
      </c>
      <c r="G99" s="32" t="n">
        <f aca="false">G39</f>
        <v>28959.5840151353</v>
      </c>
      <c r="H99" s="56" t="s">
        <v>407</v>
      </c>
      <c r="I99" s="56"/>
      <c r="J99" s="56"/>
      <c r="K99" s="56"/>
      <c r="L99" s="56"/>
      <c r="M99" s="56"/>
      <c r="N99" s="56"/>
    </row>
    <row r="100" customFormat="false" ht="16.5" hidden="false" customHeight="true" outlineLevel="0" collapsed="false">
      <c r="A100" s="35" t="s">
        <v>408</v>
      </c>
      <c r="B100" s="99" t="n">
        <f aca="false">B99/B97</f>
        <v>187.050109974988</v>
      </c>
      <c r="C100" s="99" t="n">
        <f aca="false">C99/C97</f>
        <v>132.399420784589</v>
      </c>
      <c r="D100" s="99" t="n">
        <f aca="false">D99/D97</f>
        <v>172.968894406929</v>
      </c>
      <c r="E100" s="99" t="n">
        <f aca="false">E99/E97</f>
        <v>222.735610097922</v>
      </c>
      <c r="F100" s="99" t="n">
        <f aca="false">F99/F97</f>
        <v>264.01569644684</v>
      </c>
      <c r="G100" s="99" t="n">
        <f aca="false">G99/G97</f>
        <v>308.182048752692</v>
      </c>
      <c r="H100" s="56" t="s">
        <v>409</v>
      </c>
      <c r="I100" s="56"/>
      <c r="J100" s="56"/>
      <c r="K100" s="56"/>
      <c r="L100" s="56"/>
      <c r="M100" s="56"/>
      <c r="N100" s="56"/>
    </row>
    <row r="101" customFormat="false" ht="16.5" hidden="false" customHeight="true" outlineLevel="0" collapsed="false">
      <c r="A101" s="31" t="s">
        <v>410</v>
      </c>
      <c r="B101" s="100" t="n">
        <f aca="false">B98/B97</f>
        <v>46.5255522225623</v>
      </c>
      <c r="C101" s="100" t="n">
        <f aca="false">C98/C97</f>
        <v>49.8898727551154</v>
      </c>
      <c r="D101" s="100" t="n">
        <f aca="false">D98/D97</f>
        <v>53.6106326657922</v>
      </c>
      <c r="E101" s="100" t="n">
        <f aca="false">E98/E97</f>
        <v>58.2172620948939</v>
      </c>
      <c r="F101" s="100" t="n">
        <f aca="false">F98/F97</f>
        <v>63.532626160537</v>
      </c>
      <c r="G101" s="100" t="n">
        <f aca="false">G98/G97</f>
        <v>69.5867183637941</v>
      </c>
      <c r="H101" s="56" t="s">
        <v>411</v>
      </c>
      <c r="I101" s="56"/>
      <c r="J101" s="56"/>
      <c r="K101" s="56"/>
      <c r="L101" s="56"/>
      <c r="M101" s="56"/>
      <c r="N101" s="56"/>
    </row>
    <row r="102" customFormat="false" ht="16.5" hidden="false" customHeight="true" outlineLevel="0" collapsed="false">
      <c r="A102" s="35" t="s">
        <v>412</v>
      </c>
      <c r="B102" s="129" t="n">
        <f aca="false">$B$137</f>
        <v>8</v>
      </c>
      <c r="C102" s="129" t="n">
        <f aca="false">$B$139</f>
        <v>11</v>
      </c>
      <c r="D102" s="129" t="n">
        <f aca="false">$B$139+($B$141-$B$139)*1/4</f>
        <v>11.5</v>
      </c>
      <c r="E102" s="129" t="n">
        <f aca="false">$B$139+($B$141-$B$139)*2/4</f>
        <v>12</v>
      </c>
      <c r="F102" s="129" t="n">
        <f aca="false">$B$139+($B$141-$B$139)*3/4</f>
        <v>12.5</v>
      </c>
      <c r="G102" s="129" t="n">
        <f aca="false">$B$141</f>
        <v>13</v>
      </c>
      <c r="H102" s="68" t="s">
        <v>413</v>
      </c>
      <c r="I102" s="68"/>
      <c r="J102" s="68"/>
      <c r="K102" s="68"/>
      <c r="L102" s="68"/>
      <c r="M102" s="68"/>
      <c r="N102" s="68"/>
    </row>
    <row r="103" customFormat="false" ht="16.5" hidden="false" customHeight="true" outlineLevel="0" collapsed="false">
      <c r="A103" s="35" t="s">
        <v>414</v>
      </c>
      <c r="B103" s="173" t="n">
        <f aca="false">B100*B102+B101</f>
        <v>1542.92643202246</v>
      </c>
      <c r="C103" s="173" t="n">
        <f aca="false">C100*C102+C101</f>
        <v>1506.2835013856</v>
      </c>
      <c r="D103" s="173" t="n">
        <f aca="false">D100*D102+D101</f>
        <v>2042.75291834548</v>
      </c>
      <c r="E103" s="173" t="n">
        <f aca="false">E100*E102+E101</f>
        <v>2731.04458326996</v>
      </c>
      <c r="F103" s="173" t="n">
        <f aca="false">F100*F102+F101</f>
        <v>3363.72883174603</v>
      </c>
      <c r="G103" s="173" t="n">
        <f aca="false">G100*G102+G101</f>
        <v>4075.95335214879</v>
      </c>
      <c r="H103" s="56" t="s">
        <v>415</v>
      </c>
      <c r="I103" s="56"/>
      <c r="J103" s="56"/>
      <c r="K103" s="56"/>
      <c r="L103" s="56"/>
      <c r="M103" s="56"/>
      <c r="N103" s="56"/>
    </row>
    <row r="104" customFormat="false" ht="16.5" hidden="false" customHeight="true" outlineLevel="0" collapsed="false">
      <c r="A104" s="31" t="s">
        <v>416</v>
      </c>
      <c r="B104" s="103" t="n">
        <f aca="false">1/(1+$B$209)^1</f>
        <v>0.892857142857143</v>
      </c>
      <c r="C104" s="103" t="n">
        <f aca="false">1/(1+$B$209)^2</f>
        <v>0.79719387755102</v>
      </c>
      <c r="D104" s="103" t="n">
        <f aca="false">1/(1+$B$209)^3</f>
        <v>0.711780247813411</v>
      </c>
      <c r="E104" s="103" t="n">
        <f aca="false">1/(1+$B$209)^4</f>
        <v>0.635518078404831</v>
      </c>
      <c r="F104" s="103" t="n">
        <f aca="false">1/(1+$B$209)^5</f>
        <v>0.567426855718599</v>
      </c>
      <c r="G104" s="103" t="n">
        <f aca="false">1/(1+$B$209)^6</f>
        <v>0.506631121177321</v>
      </c>
      <c r="H104" s="56" t="s">
        <v>417</v>
      </c>
      <c r="I104" s="56"/>
      <c r="J104" s="56"/>
      <c r="K104" s="56"/>
      <c r="L104" s="56"/>
      <c r="M104" s="56"/>
      <c r="N104" s="56"/>
    </row>
    <row r="105" customFormat="false" ht="16.5" hidden="false" customHeight="true" outlineLevel="0" collapsed="false">
      <c r="A105" s="35" t="s">
        <v>418</v>
      </c>
      <c r="B105" s="173" t="n">
        <f aca="false">B103*B104</f>
        <v>1377.61288573434</v>
      </c>
      <c r="C105" s="173" t="n">
        <f aca="false">C103*C104</f>
        <v>1200.79998516071</v>
      </c>
      <c r="D105" s="173" t="n">
        <f aca="false">D103*D104</f>
        <v>1453.99117844151</v>
      </c>
      <c r="E105" s="173" t="n">
        <f aca="false">E103*E104</f>
        <v>1735.62820559765</v>
      </c>
      <c r="F105" s="173" t="n">
        <f aca="false">F103*F104</f>
        <v>1908.67007448765</v>
      </c>
      <c r="G105" s="173" t="n">
        <f aca="false">G103*G104</f>
        <v>2065.0048166656</v>
      </c>
      <c r="H105" s="56" t="s">
        <v>419</v>
      </c>
      <c r="I105" s="56"/>
      <c r="J105" s="56"/>
      <c r="K105" s="56"/>
      <c r="L105" s="56"/>
      <c r="M105" s="56"/>
      <c r="N105" s="56"/>
    </row>
    <row r="107" customFormat="false" ht="19.5" hidden="false" customHeight="true" outlineLevel="0" collapsed="false">
      <c r="A107" s="104" t="s">
        <v>420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</row>
    <row r="108" customFormat="false" ht="27" hidden="false" customHeight="true" outlineLevel="0" collapsed="false">
      <c r="A108" s="4" t="s">
        <v>421</v>
      </c>
      <c r="B108" s="4" t="s">
        <v>422</v>
      </c>
      <c r="C108" s="4" t="s">
        <v>410</v>
      </c>
      <c r="D108" s="4" t="s">
        <v>423</v>
      </c>
      <c r="E108" s="4" t="s">
        <v>424</v>
      </c>
      <c r="F108" s="4" t="s">
        <v>425</v>
      </c>
      <c r="G108" s="4" t="s">
        <v>418</v>
      </c>
      <c r="H108" s="4" t="s">
        <v>426</v>
      </c>
      <c r="I108" s="4" t="s">
        <v>427</v>
      </c>
      <c r="J108" s="4"/>
      <c r="K108" s="4"/>
      <c r="L108" s="4"/>
      <c r="M108" s="4"/>
      <c r="N108" s="4"/>
    </row>
    <row r="109" customFormat="false" ht="30" hidden="false" customHeight="true" outlineLevel="0" collapsed="false">
      <c r="A109" s="174" t="s">
        <v>428</v>
      </c>
      <c r="B109" s="106" t="n">
        <f aca="false">B100</f>
        <v>187.050109974988</v>
      </c>
      <c r="C109" s="106" t="n">
        <f aca="false">B101</f>
        <v>46.5255522225623</v>
      </c>
      <c r="D109" s="107" t="n">
        <f aca="false">B102</f>
        <v>8</v>
      </c>
      <c r="E109" s="21" t="n">
        <f aca="false">B103</f>
        <v>1542.92643202246</v>
      </c>
      <c r="F109" s="108" t="n">
        <v>1</v>
      </c>
      <c r="G109" s="21" t="n">
        <f aca="false">B103/(1+$B$209)^1</f>
        <v>1377.61288573434</v>
      </c>
      <c r="H109" s="22" t="n">
        <f aca="false">B103/(1+$B$209)^1/'00-三表与联动'!$B$6-1</f>
        <v>-0.0816954840222497</v>
      </c>
      <c r="I109" s="56" t="s">
        <v>429</v>
      </c>
      <c r="J109" s="56"/>
      <c r="K109" s="56"/>
      <c r="L109" s="56"/>
      <c r="M109" s="56"/>
      <c r="N109" s="56"/>
    </row>
    <row r="110" customFormat="false" ht="25.5" hidden="false" customHeight="true" outlineLevel="0" collapsed="false">
      <c r="A110" s="174" t="s">
        <v>430</v>
      </c>
      <c r="B110" s="106" t="n">
        <f aca="false">C100</f>
        <v>132.399420784589</v>
      </c>
      <c r="C110" s="106" t="n">
        <f aca="false">C101</f>
        <v>49.8898727551154</v>
      </c>
      <c r="D110" s="107" t="n">
        <f aca="false">C102</f>
        <v>11</v>
      </c>
      <c r="E110" s="21" t="n">
        <f aca="false">C103</f>
        <v>1506.2835013856</v>
      </c>
      <c r="F110" s="108" t="n">
        <v>2</v>
      </c>
      <c r="G110" s="21" t="n">
        <f aca="false">C103/(1+$B$209)^2</f>
        <v>1200.79998516071</v>
      </c>
      <c r="H110" s="22" t="n">
        <f aca="false">C103/(1+$B$209)^2/'00-三表与联动'!$B$6-1</f>
        <v>-0.199557393388274</v>
      </c>
      <c r="I110" s="56" t="s">
        <v>431</v>
      </c>
      <c r="J110" s="56"/>
      <c r="K110" s="56"/>
      <c r="L110" s="56"/>
      <c r="M110" s="56"/>
      <c r="N110" s="56"/>
    </row>
    <row r="111" customFormat="false" ht="25.5" hidden="false" customHeight="true" outlineLevel="0" collapsed="false">
      <c r="A111" s="174" t="s">
        <v>432</v>
      </c>
      <c r="B111" s="106" t="n">
        <f aca="false">G100</f>
        <v>308.182048752692</v>
      </c>
      <c r="C111" s="106" t="n">
        <f aca="false">G101</f>
        <v>69.5867183637941</v>
      </c>
      <c r="D111" s="107" t="n">
        <f aca="false">G102</f>
        <v>13</v>
      </c>
      <c r="E111" s="21" t="n">
        <f aca="false">G103</f>
        <v>4075.95335214879</v>
      </c>
      <c r="F111" s="108" t="n">
        <v>6</v>
      </c>
      <c r="G111" s="21" t="n">
        <f aca="false">G103/(1+$B$209)^6</f>
        <v>2065.0048166656</v>
      </c>
      <c r="H111" s="22" t="n">
        <f aca="false">G103/(1+$B$209)^6/'00-三表与联动'!$B$6-1</f>
        <v>0.376513872871475</v>
      </c>
      <c r="I111" s="56" t="s">
        <v>433</v>
      </c>
      <c r="J111" s="56"/>
      <c r="K111" s="56"/>
      <c r="L111" s="56"/>
      <c r="M111" s="56"/>
      <c r="N111" s="56"/>
    </row>
    <row r="112" customFormat="false" ht="20.25" hidden="false" customHeight="true" outlineLevel="0" collapsed="false">
      <c r="A112" s="29" t="s">
        <v>434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4" customFormat="false" ht="19.5" hidden="false" customHeight="true" outlineLevel="0" collapsed="false">
      <c r="A114" s="104" t="s">
        <v>435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</row>
    <row r="115" customFormat="false" ht="27" hidden="false" customHeight="true" outlineLevel="0" collapsed="false">
      <c r="A115" s="4" t="s">
        <v>436</v>
      </c>
      <c r="B115" s="4" t="s">
        <v>4</v>
      </c>
      <c r="C115" s="4"/>
      <c r="D115" s="4" t="s">
        <v>196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8.75" hidden="false" customHeight="true" outlineLevel="0" collapsed="false">
      <c r="A116" s="70" t="s">
        <v>437</v>
      </c>
      <c r="B116" s="109" t="n">
        <f aca="false">B103</f>
        <v>1542.92643202246</v>
      </c>
      <c r="C116" s="109"/>
      <c r="D116" s="56" t="s">
        <v>438</v>
      </c>
      <c r="E116" s="56"/>
      <c r="F116" s="56"/>
      <c r="G116" s="56"/>
      <c r="H116" s="56"/>
      <c r="I116" s="56"/>
      <c r="J116" s="56"/>
      <c r="K116" s="56"/>
      <c r="L116" s="56"/>
      <c r="M116" s="56"/>
      <c r="N116" s="56"/>
    </row>
    <row r="117" customFormat="false" ht="25.5" hidden="false" customHeight="true" outlineLevel="0" collapsed="false">
      <c r="A117" s="175" t="s">
        <v>439</v>
      </c>
      <c r="B117" s="176" t="n">
        <f aca="false">G105</f>
        <v>2065.0048166656</v>
      </c>
      <c r="C117" s="176"/>
      <c r="D117" s="68" t="s">
        <v>440</v>
      </c>
      <c r="E117" s="68"/>
      <c r="F117" s="68"/>
      <c r="G117" s="68"/>
      <c r="H117" s="68"/>
      <c r="I117" s="68"/>
      <c r="J117" s="68"/>
      <c r="K117" s="68"/>
      <c r="L117" s="68"/>
      <c r="M117" s="68"/>
      <c r="N117" s="68"/>
    </row>
    <row r="118" customFormat="false" ht="18.75" hidden="false" customHeight="true" outlineLevel="0" collapsed="false">
      <c r="A118" s="70" t="s">
        <v>441</v>
      </c>
      <c r="B118" s="109" t="n">
        <f aca="false">B72</f>
        <v>1630.93949373094</v>
      </c>
      <c r="C118" s="109"/>
      <c r="D118" s="56" t="s">
        <v>442</v>
      </c>
      <c r="E118" s="56"/>
      <c r="F118" s="56"/>
      <c r="G118" s="56"/>
      <c r="H118" s="56"/>
      <c r="I118" s="56"/>
      <c r="J118" s="56"/>
      <c r="K118" s="56"/>
      <c r="L118" s="56"/>
      <c r="M118" s="56"/>
      <c r="N118" s="56"/>
    </row>
    <row r="119" customFormat="false" ht="18.75" hidden="false" customHeight="true" outlineLevel="0" collapsed="false">
      <c r="A119" s="63" t="s">
        <v>443</v>
      </c>
      <c r="B119" s="112" t="n">
        <f aca="false">B117/B118-1</f>
        <v>0.266144344779885</v>
      </c>
      <c r="C119" s="112"/>
      <c r="D119" s="56" t="s">
        <v>444</v>
      </c>
      <c r="E119" s="56"/>
      <c r="F119" s="56"/>
      <c r="G119" s="56"/>
      <c r="H119" s="56"/>
      <c r="I119" s="56"/>
      <c r="J119" s="56"/>
      <c r="K119" s="56"/>
      <c r="L119" s="56"/>
      <c r="M119" s="56"/>
      <c r="N119" s="56"/>
    </row>
    <row r="120" customFormat="false" ht="25.5" hidden="false" customHeight="true" outlineLevel="0" collapsed="false">
      <c r="A120" s="168" t="s">
        <v>445</v>
      </c>
      <c r="B120" s="177" t="n">
        <f aca="false">B63/G39</f>
        <v>10.3964936456898</v>
      </c>
      <c r="C120" s="177"/>
      <c r="D120" s="56" t="s">
        <v>446</v>
      </c>
      <c r="E120" s="56"/>
      <c r="F120" s="56"/>
      <c r="G120" s="56"/>
      <c r="H120" s="56"/>
      <c r="I120" s="56"/>
      <c r="J120" s="56"/>
      <c r="K120" s="56"/>
      <c r="L120" s="56"/>
      <c r="M120" s="56"/>
      <c r="N120" s="56"/>
    </row>
    <row r="121" customFormat="false" ht="18.75" hidden="false" customHeight="true" outlineLevel="0" collapsed="false">
      <c r="A121" s="63" t="s">
        <v>447</v>
      </c>
      <c r="B121" s="87" t="n">
        <f aca="false">SUM(B92:G92)</f>
        <v>131033.155270486</v>
      </c>
      <c r="C121" s="87"/>
      <c r="D121" s="56" t="s">
        <v>448</v>
      </c>
      <c r="E121" s="56"/>
      <c r="F121" s="56"/>
      <c r="G121" s="56"/>
      <c r="H121" s="56"/>
      <c r="I121" s="56"/>
      <c r="J121" s="56"/>
      <c r="K121" s="56"/>
      <c r="L121" s="56"/>
      <c r="M121" s="56"/>
      <c r="N121" s="56"/>
    </row>
    <row r="122" customFormat="false" ht="18.75" hidden="false" customHeight="true" outlineLevel="0" collapsed="false">
      <c r="A122" s="63" t="s">
        <v>449</v>
      </c>
      <c r="B122" s="88" t="n">
        <f aca="false">SUM(B94:G94)</f>
        <v>62.4736332275094</v>
      </c>
      <c r="C122" s="88"/>
      <c r="D122" s="56" t="s">
        <v>450</v>
      </c>
      <c r="E122" s="56"/>
      <c r="F122" s="56"/>
      <c r="G122" s="56"/>
      <c r="H122" s="56"/>
      <c r="I122" s="56"/>
      <c r="J122" s="56"/>
      <c r="K122" s="56"/>
      <c r="L122" s="56"/>
      <c r="M122" s="56"/>
      <c r="N122" s="56"/>
    </row>
    <row r="123" customFormat="false" ht="18.75" hidden="false" customHeight="true" outlineLevel="0" collapsed="false">
      <c r="A123" s="70" t="s">
        <v>451</v>
      </c>
      <c r="B123" s="86" t="n">
        <f aca="false">G97/'00-三表与联动'!$B$9</f>
        <v>0.606252137852551</v>
      </c>
      <c r="C123" s="86"/>
      <c r="D123" s="56" t="s">
        <v>452</v>
      </c>
      <c r="E123" s="56"/>
      <c r="F123" s="56"/>
      <c r="G123" s="56"/>
      <c r="H123" s="56"/>
      <c r="I123" s="56"/>
      <c r="J123" s="56"/>
      <c r="K123" s="56"/>
      <c r="L123" s="56"/>
      <c r="M123" s="56"/>
      <c r="N123" s="56"/>
    </row>
    <row r="124" customFormat="false" ht="18.75" hidden="false" customHeight="true" outlineLevel="0" collapsed="false">
      <c r="A124" s="63" t="s">
        <v>453</v>
      </c>
      <c r="B124" s="109" t="n">
        <f aca="false">((G39/('00-三表与联动'!$B$9+SUM(B95:G95)))*$B$141+(('00-三表与联动'!$B$10+'00-三表与联动'!$B$11-'00-三表与联动'!$B$12)+SUM(B90:G90))/('00-三表与联动'!$B$9+SUM(B95:G95)))/(1+$B$209)^6</f>
        <v>1664.71210041112</v>
      </c>
      <c r="C124" s="109"/>
      <c r="D124" s="56" t="s">
        <v>454</v>
      </c>
      <c r="E124" s="56"/>
      <c r="F124" s="56"/>
      <c r="G124" s="56"/>
      <c r="H124" s="56"/>
      <c r="I124" s="56"/>
      <c r="J124" s="56"/>
      <c r="K124" s="56"/>
      <c r="L124" s="56"/>
      <c r="M124" s="56"/>
      <c r="N124" s="56"/>
    </row>
    <row r="125" customFormat="false" ht="25.5" hidden="false" customHeight="true" outlineLevel="0" collapsed="false">
      <c r="A125" s="168" t="s">
        <v>455</v>
      </c>
      <c r="B125" s="178" t="n">
        <f aca="false">B117-B124</f>
        <v>400.29271625448</v>
      </c>
      <c r="C125" s="178"/>
      <c r="D125" s="56" t="s">
        <v>456</v>
      </c>
      <c r="E125" s="56"/>
      <c r="F125" s="56"/>
      <c r="G125" s="56"/>
      <c r="H125" s="56"/>
      <c r="I125" s="56"/>
      <c r="J125" s="56"/>
      <c r="K125" s="56"/>
      <c r="L125" s="56"/>
      <c r="M125" s="56"/>
      <c r="N125" s="56"/>
    </row>
    <row r="126" customFormat="false" ht="28.5" hidden="false" customHeight="true" outlineLevel="0" collapsed="false">
      <c r="A126" s="63" t="s">
        <v>457</v>
      </c>
      <c r="B126" s="115" t="n">
        <f aca="false">SUM(B92:G92)/('00-三表与联动'!$B$6*'00-三表与联动'!$B$8)</f>
        <v>0.596622525177956</v>
      </c>
      <c r="C126" s="115"/>
      <c r="D126" s="56" t="s">
        <v>458</v>
      </c>
      <c r="E126" s="56"/>
      <c r="F126" s="56"/>
      <c r="G126" s="56"/>
      <c r="H126" s="56"/>
      <c r="I126" s="56"/>
      <c r="J126" s="56"/>
      <c r="K126" s="56"/>
      <c r="L126" s="56"/>
      <c r="M126" s="56"/>
      <c r="N126" s="56"/>
    </row>
    <row r="127" customFormat="false" ht="18.75" hidden="false" customHeight="true" outlineLevel="0" collapsed="false">
      <c r="A127" s="63" t="s">
        <v>459</v>
      </c>
      <c r="B127" s="116" t="n">
        <f aca="false">B72/'00-三表与联动'!$B$6</f>
        <v>1.08716978324519</v>
      </c>
      <c r="C127" s="116"/>
      <c r="D127" s="56" t="s">
        <v>460</v>
      </c>
      <c r="E127" s="56"/>
      <c r="F127" s="56"/>
      <c r="G127" s="56"/>
      <c r="H127" s="56"/>
      <c r="I127" s="56"/>
      <c r="J127" s="56"/>
      <c r="K127" s="56"/>
      <c r="L127" s="56"/>
      <c r="M127" s="56"/>
      <c r="N127" s="56"/>
    </row>
    <row r="128" customFormat="false" ht="45.75" hidden="false" customHeight="true" outlineLevel="0" collapsed="false">
      <c r="A128" s="30" t="s">
        <v>461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30" customFormat="false" ht="24" hidden="false" customHeight="true" outlineLevel="0" collapsed="false">
      <c r="A130" s="117" t="s">
        <v>462</v>
      </c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</row>
    <row r="131" customFormat="false" ht="20.25" hidden="false" customHeight="true" outlineLevel="0" collapsed="false">
      <c r="A131" s="74" t="s">
        <v>463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</row>
    <row r="132" customFormat="false" ht="27" hidden="false" customHeight="true" outlineLevel="0" collapsed="false">
      <c r="A132" s="4" t="s">
        <v>325</v>
      </c>
      <c r="B132" s="4" t="s">
        <v>464</v>
      </c>
      <c r="C132" s="4" t="s">
        <v>465</v>
      </c>
      <c r="D132" s="4"/>
      <c r="E132" s="4"/>
      <c r="F132" s="4"/>
      <c r="G132" s="4"/>
      <c r="H132" s="4" t="s">
        <v>466</v>
      </c>
      <c r="I132" s="4" t="s">
        <v>467</v>
      </c>
      <c r="J132" s="4" t="s">
        <v>373</v>
      </c>
      <c r="K132" s="4"/>
      <c r="L132" s="4"/>
      <c r="M132" s="4"/>
      <c r="N132" s="4"/>
    </row>
    <row r="133" customFormat="false" ht="30" hidden="false" customHeight="true" outlineLevel="0" collapsed="false">
      <c r="A133" s="118" t="s">
        <v>468</v>
      </c>
      <c r="B133" s="179" t="n">
        <f aca="false">H133/1000</f>
        <v>1</v>
      </c>
      <c r="C133" s="120"/>
      <c r="D133" s="120"/>
      <c r="E133" s="120"/>
      <c r="F133" s="120"/>
      <c r="G133" s="120"/>
      <c r="H133" s="121" t="n">
        <v>1000</v>
      </c>
      <c r="I133" s="122" t="s">
        <v>469</v>
      </c>
      <c r="J133" s="123" t="s">
        <v>470</v>
      </c>
      <c r="K133" s="123"/>
      <c r="L133" s="123"/>
      <c r="M133" s="123"/>
      <c r="N133" s="123"/>
    </row>
    <row r="134" customFormat="false" ht="30" hidden="false" customHeight="true" outlineLevel="0" collapsed="false">
      <c r="A134" s="118"/>
      <c r="B134" s="179"/>
      <c r="C134" s="120"/>
      <c r="D134" s="120"/>
      <c r="E134" s="120"/>
      <c r="F134" s="120"/>
      <c r="G134" s="120"/>
      <c r="H134" s="121"/>
      <c r="I134" s="122"/>
      <c r="J134" s="122"/>
      <c r="K134" s="123"/>
      <c r="L134" s="123"/>
      <c r="M134" s="123"/>
      <c r="N134" s="123"/>
    </row>
    <row r="135" customFormat="false" ht="30" hidden="false" customHeight="true" outlineLevel="0" collapsed="false">
      <c r="A135" s="118" t="s">
        <v>471</v>
      </c>
      <c r="B135" s="180" t="n">
        <f aca="false">H135/100</f>
        <v>1</v>
      </c>
      <c r="C135" s="120"/>
      <c r="D135" s="120"/>
      <c r="E135" s="120"/>
      <c r="F135" s="120"/>
      <c r="G135" s="120"/>
      <c r="H135" s="121" t="n">
        <v>100</v>
      </c>
      <c r="I135" s="122" t="s">
        <v>472</v>
      </c>
      <c r="J135" s="123" t="s">
        <v>473</v>
      </c>
      <c r="K135" s="123"/>
      <c r="L135" s="123"/>
      <c r="M135" s="123"/>
      <c r="N135" s="123"/>
    </row>
    <row r="136" customFormat="false" ht="30" hidden="false" customHeight="true" outlineLevel="0" collapsed="false">
      <c r="A136" s="118"/>
      <c r="B136" s="180"/>
      <c r="C136" s="120"/>
      <c r="D136" s="120"/>
      <c r="E136" s="120"/>
      <c r="F136" s="120"/>
      <c r="G136" s="120"/>
      <c r="H136" s="121"/>
      <c r="I136" s="122"/>
      <c r="J136" s="122"/>
      <c r="K136" s="123"/>
      <c r="L136" s="123"/>
      <c r="M136" s="123"/>
      <c r="N136" s="123"/>
    </row>
    <row r="137" customFormat="false" ht="30" hidden="false" customHeight="true" outlineLevel="0" collapsed="false">
      <c r="A137" s="125" t="s">
        <v>474</v>
      </c>
      <c r="B137" s="181" t="n">
        <f aca="false">H137/10</f>
        <v>8</v>
      </c>
      <c r="C137" s="120"/>
      <c r="D137" s="120"/>
      <c r="E137" s="120"/>
      <c r="F137" s="120"/>
      <c r="G137" s="120"/>
      <c r="H137" s="121" t="n">
        <v>80</v>
      </c>
      <c r="I137" s="122" t="s">
        <v>475</v>
      </c>
      <c r="J137" s="123" t="s">
        <v>476</v>
      </c>
      <c r="K137" s="123"/>
      <c r="L137" s="123"/>
      <c r="M137" s="123"/>
      <c r="N137" s="123"/>
    </row>
    <row r="138" customFormat="false" ht="30" hidden="false" customHeight="true" outlineLevel="0" collapsed="false">
      <c r="A138" s="125"/>
      <c r="B138" s="181"/>
      <c r="C138" s="120"/>
      <c r="D138" s="120"/>
      <c r="E138" s="120"/>
      <c r="F138" s="120"/>
      <c r="G138" s="120"/>
      <c r="H138" s="121"/>
      <c r="I138" s="122"/>
      <c r="J138" s="122"/>
      <c r="K138" s="123"/>
      <c r="L138" s="123"/>
      <c r="M138" s="123"/>
      <c r="N138" s="123"/>
    </row>
    <row r="139" customFormat="false" ht="30" hidden="false" customHeight="true" outlineLevel="0" collapsed="false">
      <c r="A139" s="125" t="s">
        <v>477</v>
      </c>
      <c r="B139" s="181" t="n">
        <f aca="false">H139/10</f>
        <v>11</v>
      </c>
      <c r="C139" s="120"/>
      <c r="D139" s="120"/>
      <c r="E139" s="120"/>
      <c r="F139" s="120"/>
      <c r="G139" s="120"/>
      <c r="H139" s="121" t="n">
        <v>110</v>
      </c>
      <c r="I139" s="122" t="s">
        <v>475</v>
      </c>
      <c r="J139" s="123" t="s">
        <v>478</v>
      </c>
      <c r="K139" s="123"/>
      <c r="L139" s="123"/>
      <c r="M139" s="123"/>
      <c r="N139" s="123"/>
    </row>
    <row r="140" customFormat="false" ht="30" hidden="false" customHeight="true" outlineLevel="0" collapsed="false">
      <c r="A140" s="125"/>
      <c r="B140" s="181"/>
      <c r="C140" s="120"/>
      <c r="D140" s="120"/>
      <c r="E140" s="120"/>
      <c r="F140" s="120"/>
      <c r="G140" s="120"/>
      <c r="H140" s="121"/>
      <c r="I140" s="122"/>
      <c r="J140" s="122"/>
      <c r="K140" s="123"/>
      <c r="L140" s="123"/>
      <c r="M140" s="123"/>
      <c r="N140" s="123"/>
    </row>
    <row r="141" customFormat="false" ht="30" hidden="false" customHeight="true" outlineLevel="0" collapsed="false">
      <c r="A141" s="125" t="s">
        <v>479</v>
      </c>
      <c r="B141" s="181" t="n">
        <f aca="false">H141/10</f>
        <v>13</v>
      </c>
      <c r="C141" s="120"/>
      <c r="D141" s="120"/>
      <c r="E141" s="120"/>
      <c r="F141" s="120"/>
      <c r="G141" s="120"/>
      <c r="H141" s="121" t="n">
        <v>130</v>
      </c>
      <c r="I141" s="122" t="s">
        <v>475</v>
      </c>
      <c r="J141" s="123" t="s">
        <v>480</v>
      </c>
      <c r="K141" s="123"/>
      <c r="L141" s="123"/>
      <c r="M141" s="123"/>
      <c r="N141" s="123"/>
    </row>
    <row r="142" customFormat="false" ht="30" hidden="false" customHeight="true" outlineLevel="0" collapsed="false">
      <c r="A142" s="125"/>
      <c r="B142" s="181"/>
      <c r="C142" s="120"/>
      <c r="D142" s="120"/>
      <c r="E142" s="120"/>
      <c r="F142" s="120"/>
      <c r="G142" s="120"/>
      <c r="H142" s="121"/>
      <c r="I142" s="122"/>
      <c r="J142" s="122"/>
      <c r="K142" s="123"/>
      <c r="L142" s="123"/>
      <c r="M142" s="123"/>
      <c r="N142" s="123"/>
    </row>
    <row r="144" customFormat="false" ht="18.75" hidden="false" customHeight="true" outlineLevel="0" collapsed="false">
      <c r="A144" s="45" t="s">
        <v>481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</row>
    <row r="145" customFormat="false" ht="27.75" hidden="false" customHeight="true" outlineLevel="0" collapsed="false">
      <c r="A145" s="127" t="s">
        <v>482</v>
      </c>
      <c r="B145" s="128" t="n">
        <v>0</v>
      </c>
      <c r="C145" s="128" t="n">
        <v>0.25</v>
      </c>
      <c r="D145" s="128" t="n">
        <v>0.5</v>
      </c>
      <c r="E145" s="128" t="n">
        <v>0.75</v>
      </c>
      <c r="F145" s="128" t="n">
        <v>1</v>
      </c>
      <c r="G145" s="34"/>
      <c r="H145" s="34"/>
      <c r="I145" s="34"/>
      <c r="J145" s="34"/>
      <c r="K145" s="34"/>
      <c r="L145" s="34"/>
      <c r="M145" s="34"/>
      <c r="N145" s="34"/>
    </row>
    <row r="146" customFormat="false" ht="18.75" hidden="false" customHeight="true" outlineLevel="0" collapsed="false">
      <c r="A146" s="129" t="n">
        <f aca="false">MAX(1,$B$141+-4)</f>
        <v>9</v>
      </c>
      <c r="B146" s="96" t="n">
        <f aca="false">((G39/MAX(20,'00-三表与联动'!$B$9-B$145*SUMPRODUCT(B90:G90,1/B93:G93)+SUM(B95:G95)))*$A$146+(('00-三表与联动'!$B$10+'00-三表与联动'!$B$11-'00-三表与联动'!$B$12)+(1-B$145)*SUM(B90:G90))/MAX(20,'00-三表与联动'!$B$9-B$145*SUMPRODUCT(B90:G90,1/B93:G93)+SUM(B95:G95)))/(1+$B$209)^6</f>
        <v>1289.57602439936</v>
      </c>
      <c r="C146" s="96" t="n">
        <f aca="false">((G39/MAX(20,'00-三表与联动'!$B$9-C$145*SUMPRODUCT(B90:G90,1/B93:G93)+SUM(B95:G95)))*$A$146+(('00-三表与联动'!$B$10+'00-三表与联动'!$B$11-'00-三表与联动'!$B$12)+(1-C$145)*SUM(B90:G90))/MAX(20,'00-三表与联动'!$B$9-C$145*SUMPRODUCT(B90:G90,1/B93:G93)+SUM(B95:G95)))/(1+$B$209)^6</f>
        <v>1314.74750504605</v>
      </c>
      <c r="D146" s="96" t="n">
        <f aca="false">((G39/MAX(20,'00-三表与联动'!$B$9-D$145*SUMPRODUCT(B90:G90,1/B93:G93)+SUM(B95:G95)))*$A$146+(('00-三表与联动'!$B$10+'00-三表与联动'!$B$11-'00-三表与联动'!$B$12)+(1-D$145)*SUM(B90:G90))/MAX(20,'00-三表与联动'!$B$9-D$145*SUMPRODUCT(B90:G90,1/B93:G93)+SUM(B95:G95)))/(1+$B$209)^6</f>
        <v>1346.19885698904</v>
      </c>
      <c r="E146" s="96" t="n">
        <f aca="false">((G39/MAX(20,'00-三表与联动'!$B$9-E$145*SUMPRODUCT(B90:G90,1/B93:G93)+SUM(B95:G95)))*$A$146+(('00-三表与联动'!$B$10+'00-三表与联动'!$B$11-'00-三表与联动'!$B$12)+(1-E$145)*SUM(B90:G90))/MAX(20,'00-三表与联动'!$B$9-E$145*SUMPRODUCT(B90:G90,1/B93:G93)+SUM(B95:G95)))/(1+$B$209)^6</f>
        <v>1386.61510187574</v>
      </c>
      <c r="F146" s="96" t="n">
        <f aca="false">((G39/MAX(20,'00-三表与联动'!$B$9-F$145*SUMPRODUCT(B90:G90,1/B93:G93)+SUM(B95:G95)))*$A$146+(('00-三表与联动'!$B$10+'00-三表与联动'!$B$11-'00-三表与联动'!$B$12)+(1-F$145)*SUM(B90:G90))/MAX(20,'00-三表与联动'!$B$9-F$145*SUMPRODUCT(B90:G90,1/B93:G93)+SUM(B95:G95)))/(1+$B$209)^6</f>
        <v>1440.4663491204</v>
      </c>
      <c r="G146" s="93"/>
      <c r="H146" s="93"/>
      <c r="I146" s="93"/>
      <c r="J146" s="93"/>
      <c r="K146" s="93"/>
      <c r="L146" s="93"/>
      <c r="M146" s="93"/>
      <c r="N146" s="93"/>
    </row>
    <row r="147" customFormat="false" ht="18.75" hidden="false" customHeight="true" outlineLevel="0" collapsed="false">
      <c r="A147" s="129" t="n">
        <f aca="false">MAX(1,$B$141+-2)</f>
        <v>11</v>
      </c>
      <c r="B147" s="96" t="n">
        <f aca="false">((G39/MAX(20,'00-三表与联动'!$B$9-B$145*SUMPRODUCT(B90:G90,1/B93:G93)+SUM(B95:G95)))*$A$147+(('00-三表与联动'!$B$10+'00-三表与联动'!$B$11-'00-三表与联动'!$B$12)+(1-B$145)*SUM(B90:G90))/MAX(20,'00-三表与联动'!$B$9-B$145*SUMPRODUCT(B90:G90,1/B93:G93)+SUM(B95:G95)))/(1+$B$209)^6</f>
        <v>1477.14406240524</v>
      </c>
      <c r="C147" s="96" t="n">
        <f aca="false">((G39/MAX(20,'00-三表与联动'!$B$9-C$145*SUMPRODUCT(B90:G90,1/B93:G93)+SUM(B95:G95)))*$A$147+(('00-三表与联动'!$B$10+'00-三表与联动'!$B$11-'00-三表与联动'!$B$12)+(1-C$145)*SUM(B90:G90))/MAX(20,'00-三表与联动'!$B$9-C$145*SUMPRODUCT(B90:G90,1/B93:G93)+SUM(B95:G95)))/(1+$B$209)^6</f>
        <v>1523.11816072582</v>
      </c>
      <c r="D147" s="96" t="n">
        <f aca="false">((G39/MAX(20,'00-三表与联动'!$B$9-D$145*SUMPRODUCT(B90:G90,1/B93:G93)+SUM(B95:G95)))*$A$147+(('00-三表与联动'!$B$10+'00-三表与联动'!$B$11-'00-三表与联动'!$B$12)+(1-D$145)*SUM(B90:G90))/MAX(20,'00-三表与联动'!$B$9-D$145*SUMPRODUCT(B90:G90,1/B93:G93)+SUM(B95:G95)))/(1+$B$209)^6</f>
        <v>1580.56204203093</v>
      </c>
      <c r="E147" s="96" t="n">
        <f aca="false">((G39/MAX(20,'00-三表与联动'!$B$9-E$145*SUMPRODUCT(B90:G90,1/B93:G93)+SUM(B95:G95)))*$A$147+(('00-三表与联动'!$B$10+'00-三表与联动'!$B$11-'00-三表与联动'!$B$12)+(1-E$145)*SUM(B90:G90))/MAX(20,'00-三表与联动'!$B$9-E$145*SUMPRODUCT(B90:G90,1/B93:G93)+SUM(B95:G95)))/(1+$B$209)^6</f>
        <v>1654.37972650688</v>
      </c>
      <c r="F147" s="96" t="n">
        <f aca="false">((G39/MAX(20,'00-三表与联动'!$B$9-F$145*SUMPRODUCT(B90:G90,1/B93:G93)+SUM(B95:G95)))*$A$147+(('00-三表与联动'!$B$10+'00-三表与联动'!$B$11-'00-三表与联动'!$B$12)+(1-F$145)*SUM(B90:G90))/MAX(20,'00-三表与联动'!$B$9-F$145*SUMPRODUCT(B90:G90,1/B93:G93)+SUM(B95:G95)))/(1+$B$209)^6</f>
        <v>1752.735582893</v>
      </c>
      <c r="G147" s="93"/>
      <c r="H147" s="93"/>
      <c r="I147" s="93"/>
      <c r="J147" s="93"/>
      <c r="K147" s="93"/>
      <c r="L147" s="93"/>
      <c r="M147" s="93"/>
      <c r="N147" s="93"/>
    </row>
    <row r="148" customFormat="false" ht="18.75" hidden="false" customHeight="true" outlineLevel="0" collapsed="false">
      <c r="A148" s="129" t="n">
        <f aca="false">MAX(1,$B$141+0)</f>
        <v>13</v>
      </c>
      <c r="B148" s="96" t="n">
        <f aca="false">((G39/MAX(20,'00-三表与联动'!$B$9-B$145*SUMPRODUCT(B90:G90,1/B93:G93)+SUM(B95:G95)))*$A$148+(('00-三表与联动'!$B$10+'00-三表与联动'!$B$11-'00-三表与联动'!$B$12)+(1-B$145)*SUM(B90:G90))/MAX(20,'00-三表与联动'!$B$9-B$145*SUMPRODUCT(B90:G90,1/B93:G93)+SUM(B95:G95)))/(1+$B$209)^6</f>
        <v>1664.71210041112</v>
      </c>
      <c r="C148" s="96" t="n">
        <f aca="false">((G39/MAX(20,'00-三表与联动'!$B$9-C$145*SUMPRODUCT(B90:G90,1/B93:G93)+SUM(B95:G95)))*$A$148+(('00-三表与联动'!$B$10+'00-三表与联动'!$B$11-'00-三表与联动'!$B$12)+(1-C$145)*SUM(B90:G90))/MAX(20,'00-三表与联动'!$B$9-C$145*SUMPRODUCT(B90:G90,1/B93:G93)+SUM(B95:G95)))/(1+$B$209)^6</f>
        <v>1731.4888164056</v>
      </c>
      <c r="D148" s="96" t="n">
        <f aca="false">((G39/MAX(20,'00-三表与联动'!$B$9-D$145*SUMPRODUCT(B90:G90,1/B93:G93)+SUM(B95:G95)))*$A$148+(('00-三表与联动'!$B$10+'00-三表与联动'!$B$11-'00-三表与联动'!$B$12)+(1-D$145)*SUM(B90:G90))/MAX(20,'00-三表与联动'!$B$9-D$145*SUMPRODUCT(B90:G90,1/B93:G93)+SUM(B95:G95)))/(1+$B$209)^6</f>
        <v>1814.92522707282</v>
      </c>
      <c r="E148" s="96" t="n">
        <f aca="false">((G39/MAX(20,'00-三表与联动'!$B$9-E$145*SUMPRODUCT(B90:G90,1/B93:G93)+SUM(B95:G95)))*$A$148+(('00-三表与联动'!$B$10+'00-三表与联动'!$B$11-'00-三表与联动'!$B$12)+(1-E$145)*SUM(B90:G90))/MAX(20,'00-三表与联动'!$B$9-E$145*SUMPRODUCT(B90:G90,1/B93:G93)+SUM(B95:G95)))/(1+$B$209)^6</f>
        <v>1922.14435113802</v>
      </c>
      <c r="F148" s="130" t="n">
        <f aca="false">((G39/MAX(20,'00-三表与联动'!$B$9-F$145*SUMPRODUCT(B90:G90,1/B93:G93)+SUM(B95:G95)))*$A$148+(('00-三表与联动'!$B$10+'00-三表与联动'!$B$11-'00-三表与联动'!$B$12)+(1-F$145)*SUM(B90:G90))/MAX(20,'00-三表与联动'!$B$9-F$145*SUMPRODUCT(B90:G90,1/B93:G93)+SUM(B95:G95)))/(1+$B$209)^6</f>
        <v>2065.0048166656</v>
      </c>
      <c r="G148" s="93"/>
      <c r="H148" s="93"/>
      <c r="I148" s="93"/>
      <c r="J148" s="93"/>
      <c r="K148" s="93"/>
      <c r="L148" s="93"/>
      <c r="M148" s="93"/>
      <c r="N148" s="93"/>
    </row>
    <row r="149" customFormat="false" ht="18.75" hidden="false" customHeight="true" outlineLevel="0" collapsed="false">
      <c r="A149" s="129" t="n">
        <f aca="false">MAX(1,$B$141+2)</f>
        <v>15</v>
      </c>
      <c r="B149" s="96" t="n">
        <f aca="false">((G39/MAX(20,'00-三表与联动'!$B$9-B$145*SUMPRODUCT(B90:G90,1/B93:G93)+SUM(B95:G95)))*$A$149+(('00-三表与联动'!$B$10+'00-三表与联动'!$B$11-'00-三表与联动'!$B$12)+(1-B$145)*SUM(B90:G90))/MAX(20,'00-三表与联动'!$B$9-B$145*SUMPRODUCT(B90:G90,1/B93:G93)+SUM(B95:G95)))/(1+$B$209)^6</f>
        <v>1852.280138417</v>
      </c>
      <c r="C149" s="96" t="n">
        <f aca="false">((G39/MAX(20,'00-三表与联动'!$B$9-C$145*SUMPRODUCT(B90:G90,1/B93:G93)+SUM(B95:G95)))*$A$149+(('00-三表与联动'!$B$10+'00-三表与联动'!$B$11-'00-三表与联动'!$B$12)+(1-C$145)*SUM(B90:G90))/MAX(20,'00-三表与联动'!$B$9-C$145*SUMPRODUCT(B90:G90,1/B93:G93)+SUM(B95:G95)))/(1+$B$209)^6</f>
        <v>1939.85947208537</v>
      </c>
      <c r="D149" s="96" t="n">
        <f aca="false">((G39/MAX(20,'00-三表与联动'!$B$9-D$145*SUMPRODUCT(B90:G90,1/B93:G93)+SUM(B95:G95)))*$A$149+(('00-三表与联动'!$B$10+'00-三表与联动'!$B$11-'00-三表与联动'!$B$12)+(1-D$145)*SUM(B90:G90))/MAX(20,'00-三表与联动'!$B$9-D$145*SUMPRODUCT(B90:G90,1/B93:G93)+SUM(B95:G95)))/(1+$B$209)^6</f>
        <v>2049.28841211471</v>
      </c>
      <c r="E149" s="96" t="n">
        <f aca="false">((G39/MAX(20,'00-三表与联动'!$B$9-E$145*SUMPRODUCT(B90:G90,1/B93:G93)+SUM(B95:G95)))*$A$149+(('00-三表与联动'!$B$10+'00-三表与联动'!$B$11-'00-三表与联动'!$B$12)+(1-E$145)*SUM(B90:G90))/MAX(20,'00-三表与联动'!$B$9-E$145*SUMPRODUCT(B90:G90,1/B93:G93)+SUM(B95:G95)))/(1+$B$209)^6</f>
        <v>2189.90897576916</v>
      </c>
      <c r="F149" s="96" t="n">
        <f aca="false">((G39/MAX(20,'00-三表与联动'!$B$9-F$145*SUMPRODUCT(B90:G90,1/B93:G93)+SUM(B95:G95)))*$A$149+(('00-三表与联动'!$B$10+'00-三表与联动'!$B$11-'00-三表与联动'!$B$12)+(1-F$145)*SUM(B90:G90))/MAX(20,'00-三表与联动'!$B$9-F$145*SUMPRODUCT(B90:G90,1/B93:G93)+SUM(B95:G95)))/(1+$B$209)^6</f>
        <v>2377.2740504382</v>
      </c>
      <c r="G149" s="93"/>
      <c r="H149" s="93"/>
      <c r="I149" s="93"/>
      <c r="J149" s="93"/>
      <c r="K149" s="93"/>
      <c r="L149" s="93"/>
      <c r="M149" s="93"/>
      <c r="N149" s="93"/>
    </row>
    <row r="150" customFormat="false" ht="18.75" hidden="false" customHeight="true" outlineLevel="0" collapsed="false">
      <c r="A150" s="129" t="n">
        <f aca="false">MAX(1,$B$141+4)</f>
        <v>17</v>
      </c>
      <c r="B150" s="96" t="n">
        <f aca="false">((G39/MAX(20,'00-三表与联动'!$B$9-B$145*SUMPRODUCT(B90:G90,1/B93:G93)+SUM(B95:G95)))*$A$150+(('00-三表与联动'!$B$10+'00-三表与联动'!$B$11-'00-三表与联动'!$B$12)+(1-B$145)*SUM(B90:G90))/MAX(20,'00-三表与联动'!$B$9-B$145*SUMPRODUCT(B90:G90,1/B93:G93)+SUM(B95:G95)))/(1+$B$209)^6</f>
        <v>2039.84817642288</v>
      </c>
      <c r="C150" s="96" t="n">
        <f aca="false">((G39/MAX(20,'00-三表与联动'!$B$9-C$145*SUMPRODUCT(B90:G90,1/B93:G93)+SUM(B95:G95)))*$A$150+(('00-三表与联动'!$B$10+'00-三表与联动'!$B$11-'00-三表与联动'!$B$12)+(1-C$145)*SUM(B90:G90))/MAX(20,'00-三表与联动'!$B$9-C$145*SUMPRODUCT(B90:G90,1/B93:G93)+SUM(B95:G95)))/(1+$B$209)^6</f>
        <v>2148.23012776515</v>
      </c>
      <c r="D150" s="96" t="n">
        <f aca="false">((G39/MAX(20,'00-三表与联动'!$B$9-D$145*SUMPRODUCT(B90:G90,1/B93:G93)+SUM(B95:G95)))*$A$150+(('00-三表与联动'!$B$10+'00-三表与联动'!$B$11-'00-三表与联动'!$B$12)+(1-D$145)*SUM(B90:G90))/MAX(20,'00-三表与联动'!$B$9-D$145*SUMPRODUCT(B90:G90,1/B93:G93)+SUM(B95:G95)))/(1+$B$209)^6</f>
        <v>2283.6515971566</v>
      </c>
      <c r="E150" s="96" t="n">
        <f aca="false">((G39/MAX(20,'00-三表与联动'!$B$9-E$145*SUMPRODUCT(B90:G90,1/B93:G93)+SUM(B95:G95)))*$A$150+(('00-三表与联动'!$B$10+'00-三表与联动'!$B$11-'00-三表与联动'!$B$12)+(1-E$145)*SUM(B90:G90))/MAX(20,'00-三表与联动'!$B$9-E$145*SUMPRODUCT(B90:G90,1/B93:G93)+SUM(B95:G95)))/(1+$B$209)^6</f>
        <v>2457.6736004003</v>
      </c>
      <c r="F150" s="96" t="n">
        <f aca="false">((G39/MAX(20,'00-三表与联动'!$B$9-F$145*SUMPRODUCT(B90:G90,1/B93:G93)+SUM(B95:G95)))*$A$150+(('00-三表与联动'!$B$10+'00-三表与联动'!$B$11-'00-三表与联动'!$B$12)+(1-F$145)*SUM(B90:G90))/MAX(20,'00-三表与联动'!$B$9-F$145*SUMPRODUCT(B90:G90,1/B93:G93)+SUM(B95:G95)))/(1+$B$209)^6</f>
        <v>2689.5432842108</v>
      </c>
      <c r="G150" s="93"/>
      <c r="H150" s="93"/>
      <c r="I150" s="93"/>
      <c r="J150" s="93"/>
      <c r="K150" s="93"/>
      <c r="L150" s="93"/>
      <c r="M150" s="93"/>
      <c r="N150" s="93"/>
    </row>
    <row r="151" customFormat="false" ht="33" hidden="false" customHeight="true" outlineLevel="0" collapsed="false">
      <c r="A151" s="29" t="s">
        <v>483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</row>
    <row r="153" customFormat="false" ht="18.75" hidden="false" customHeight="true" outlineLevel="0" collapsed="false">
      <c r="A153" s="45" t="s">
        <v>484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</row>
    <row r="154" customFormat="false" ht="39.75" hidden="false" customHeight="true" outlineLevel="0" collapsed="false">
      <c r="A154" s="13" t="s">
        <v>485</v>
      </c>
      <c r="B154" s="13" t="s">
        <v>486</v>
      </c>
      <c r="C154" s="13" t="s">
        <v>487</v>
      </c>
      <c r="D154" s="13" t="s">
        <v>488</v>
      </c>
      <c r="E154" s="13" t="s">
        <v>489</v>
      </c>
      <c r="F154" s="13" t="s">
        <v>490</v>
      </c>
      <c r="G154" s="4" t="s">
        <v>491</v>
      </c>
      <c r="H154" s="4"/>
      <c r="I154" s="4"/>
      <c r="J154" s="4"/>
      <c r="K154" s="4"/>
      <c r="L154" s="4"/>
      <c r="M154" s="4"/>
      <c r="N154" s="4"/>
    </row>
    <row r="155" customFormat="false" ht="18.75" hidden="false" customHeight="true" outlineLevel="0" collapsed="false">
      <c r="A155" s="131" t="n">
        <v>6</v>
      </c>
      <c r="B155" s="132" t="n">
        <f aca="false">B100*$A$155+B101</f>
        <v>1168.82621207249</v>
      </c>
      <c r="C155" s="132" t="n">
        <f aca="false">(C100*$A$155+C101)/(1+$B$209)^2</f>
        <v>673.059946956833</v>
      </c>
      <c r="D155" s="132" t="n">
        <f aca="false">(G100*$A$155+G101)/(1+$B$209)^6</f>
        <v>972.0624984615</v>
      </c>
      <c r="E155" s="133" t="n">
        <f aca="false">B155/'00-三表与联动'!$B$6-1</f>
        <v>-0.220870826591328</v>
      </c>
      <c r="F155" s="133" t="n">
        <f aca="false">D155/'00-三表与联动'!$B$6-1</f>
        <v>-0.352031770758314</v>
      </c>
      <c r="G155" s="93"/>
      <c r="H155" s="93"/>
      <c r="I155" s="93"/>
      <c r="J155" s="93"/>
      <c r="K155" s="93"/>
      <c r="L155" s="93"/>
      <c r="M155" s="93"/>
      <c r="N155" s="93"/>
    </row>
    <row r="156" customFormat="false" ht="18.75" hidden="false" customHeight="true" outlineLevel="0" collapsed="false">
      <c r="A156" s="131" t="n">
        <v>9</v>
      </c>
      <c r="B156" s="132" t="n">
        <f aca="false">B100*$A$156+B101</f>
        <v>1729.97654199745</v>
      </c>
      <c r="C156" s="132" t="n">
        <f aca="false">(C100*$A$156+C101)/(1+$B$209)^2</f>
        <v>989.703969879161</v>
      </c>
      <c r="D156" s="132" t="n">
        <f aca="false">(G100*$A$156+G101)/(1+$B$209)^6</f>
        <v>1440.4663491204</v>
      </c>
      <c r="E156" s="133" t="n">
        <f aca="false">B156/'00-三表与联动'!$B$6-1</f>
        <v>0.153187000138285</v>
      </c>
      <c r="F156" s="133" t="n">
        <f aca="false">D156/'00-三表与联动'!$B$6-1</f>
        <v>-0.0397979234884046</v>
      </c>
      <c r="G156" s="93"/>
      <c r="H156" s="93"/>
      <c r="I156" s="93"/>
      <c r="J156" s="93"/>
      <c r="K156" s="93"/>
      <c r="L156" s="93"/>
      <c r="M156" s="93"/>
      <c r="N156" s="93"/>
    </row>
    <row r="157" customFormat="false" ht="18.75" hidden="false" customHeight="true" outlineLevel="0" collapsed="false">
      <c r="A157" s="131" t="n">
        <v>12</v>
      </c>
      <c r="B157" s="132" t="n">
        <f aca="false">B100*$A$157+B101</f>
        <v>2291.12687192241</v>
      </c>
      <c r="C157" s="132" t="n">
        <f aca="false">(C100*$A$157+C101)/(1+$B$209)^2</f>
        <v>1306.34799280149</v>
      </c>
      <c r="D157" s="132" t="n">
        <f aca="false">(G100*$A$157+G101)/(1+$B$209)^6</f>
        <v>1908.8701997793</v>
      </c>
      <c r="E157" s="133" t="n">
        <f aca="false">B157/'00-三表与联动'!$B$6-1</f>
        <v>0.527244826867897</v>
      </c>
      <c r="F157" s="133" t="n">
        <f aca="false">D157/'00-三表与联动'!$B$6-1</f>
        <v>0.272435923781505</v>
      </c>
      <c r="G157" s="93"/>
      <c r="H157" s="93"/>
      <c r="I157" s="93"/>
      <c r="J157" s="93"/>
      <c r="K157" s="93"/>
      <c r="L157" s="93"/>
      <c r="M157" s="93"/>
      <c r="N157" s="93"/>
    </row>
    <row r="158" customFormat="false" ht="18.75" hidden="false" customHeight="true" outlineLevel="0" collapsed="false">
      <c r="A158" s="131" t="n">
        <v>15</v>
      </c>
      <c r="B158" s="132" t="n">
        <f aca="false">B100*$A$158+B101</f>
        <v>2852.27720184738</v>
      </c>
      <c r="C158" s="132" t="n">
        <f aca="false">(C100*$A$158+C101)/(1+$B$209)^2</f>
        <v>1622.99201572382</v>
      </c>
      <c r="D158" s="132" t="n">
        <f aca="false">(G100*$A$158+G101)/(1+$B$209)^6</f>
        <v>2377.2740504382</v>
      </c>
      <c r="E158" s="133" t="n">
        <f aca="false">B158/'00-三表与联动'!$B$6-1</f>
        <v>0.90130265359751</v>
      </c>
      <c r="F158" s="133" t="n">
        <f aca="false">D158/'00-三表与联动'!$B$6-1</f>
        <v>0.584669771051414</v>
      </c>
      <c r="G158" s="93"/>
      <c r="H158" s="93"/>
      <c r="I158" s="93"/>
      <c r="J158" s="93"/>
      <c r="K158" s="93"/>
      <c r="L158" s="93"/>
      <c r="M158" s="93"/>
      <c r="N158" s="93"/>
    </row>
    <row r="159" customFormat="false" ht="18.75" hidden="false" customHeight="true" outlineLevel="0" collapsed="false">
      <c r="A159" s="131" t="n">
        <v>18</v>
      </c>
      <c r="B159" s="132" t="n">
        <f aca="false">B100*$A$159+B101</f>
        <v>3413.42753177234</v>
      </c>
      <c r="C159" s="132" t="n">
        <f aca="false">(C100*$A$159+C101)/(1+$B$209)^2</f>
        <v>1939.63603864614</v>
      </c>
      <c r="D159" s="132" t="n">
        <f aca="false">(G100*$A$159+G101)/(1+$B$209)^6</f>
        <v>2845.6779010971</v>
      </c>
      <c r="E159" s="133" t="n">
        <f aca="false">B159/'00-三表与联动'!$B$6-1</f>
        <v>1.27536048032712</v>
      </c>
      <c r="F159" s="133" t="n">
        <f aca="false">D159/'00-三表与联动'!$B$6-1</f>
        <v>0.896903618321324</v>
      </c>
      <c r="G159" s="93"/>
      <c r="H159" s="93"/>
      <c r="I159" s="93"/>
      <c r="J159" s="93"/>
      <c r="K159" s="93"/>
      <c r="L159" s="93"/>
      <c r="M159" s="93"/>
      <c r="N159" s="93"/>
    </row>
    <row r="160" customFormat="false" ht="18.75" hidden="false" customHeight="true" outlineLevel="0" collapsed="false">
      <c r="A160" s="131" t="n">
        <v>21</v>
      </c>
      <c r="B160" s="132" t="n">
        <f aca="false">B100*$A$160+B101</f>
        <v>3974.5778616973</v>
      </c>
      <c r="C160" s="132" t="n">
        <f aca="false">(C100*$A$160+C101)/(1+$B$209)^2</f>
        <v>2256.28006156847</v>
      </c>
      <c r="D160" s="132" t="n">
        <f aca="false">(G100*$A$160+G101)/(1+$B$209)^6</f>
        <v>3314.081751756</v>
      </c>
      <c r="E160" s="133" t="n">
        <f aca="false">B160/'00-三表与联动'!$B$6-1</f>
        <v>1.64941830705673</v>
      </c>
      <c r="F160" s="133" t="n">
        <f aca="false">D160/'00-三表与联动'!$B$6-1</f>
        <v>1.20913746559123</v>
      </c>
      <c r="G160" s="93"/>
      <c r="H160" s="93"/>
      <c r="I160" s="93"/>
      <c r="J160" s="93"/>
      <c r="K160" s="93"/>
      <c r="L160" s="93"/>
      <c r="M160" s="93"/>
      <c r="N160" s="93"/>
    </row>
    <row r="161" customFormat="false" ht="33" hidden="false" customHeight="true" outlineLevel="0" collapsed="false">
      <c r="A161" s="29" t="s">
        <v>492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</row>
    <row r="164" customFormat="false" ht="24" hidden="false" customHeight="true" outlineLevel="0" collapsed="false">
      <c r="A164" s="12" t="s">
        <v>493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33" hidden="false" customHeight="true" outlineLevel="0" collapsed="false">
      <c r="A165" s="44" t="s">
        <v>494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</row>
    <row r="166" customFormat="false" ht="18.75" hidden="false" customHeight="true" outlineLevel="0" collapsed="false">
      <c r="A166" s="45" t="s">
        <v>495</v>
      </c>
      <c r="B166" s="45"/>
      <c r="C166" s="45"/>
      <c r="D166" s="45"/>
      <c r="E166" s="45"/>
      <c r="F166" s="45"/>
      <c r="G166" s="45"/>
      <c r="H166" s="45" t="s">
        <v>496</v>
      </c>
      <c r="I166" s="45"/>
      <c r="J166" s="45"/>
      <c r="K166" s="45"/>
      <c r="L166" s="45"/>
      <c r="M166" s="45"/>
      <c r="N166" s="45"/>
    </row>
    <row r="167" customFormat="false" ht="27.75" hidden="false" customHeight="true" outlineLevel="0" collapsed="false">
      <c r="A167" s="127" t="s">
        <v>497</v>
      </c>
      <c r="B167" s="134" t="n">
        <f aca="false">$B$211+-0.01</f>
        <v>0.02</v>
      </c>
      <c r="C167" s="134" t="n">
        <f aca="false">$B$211+-0.005</f>
        <v>0.025</v>
      </c>
      <c r="D167" s="134" t="n">
        <f aca="false">$B$211+0</f>
        <v>0.03</v>
      </c>
      <c r="E167" s="134" t="n">
        <f aca="false">$B$211+0.005</f>
        <v>0.035</v>
      </c>
      <c r="F167" s="134" t="n">
        <f aca="false">$B$211+0.01</f>
        <v>0.04</v>
      </c>
      <c r="G167" s="34"/>
      <c r="H167" s="127" t="s">
        <v>498</v>
      </c>
      <c r="I167" s="134" t="n">
        <f aca="false">MAX(0.05,MIN(0.92,$B$195+-0.1))</f>
        <v>0.58</v>
      </c>
      <c r="J167" s="134" t="n">
        <f aca="false">MAX(0.05,MIN(0.92,$B$195+-0.05))</f>
        <v>0.63</v>
      </c>
      <c r="K167" s="134" t="n">
        <f aca="false">MAX(0.05,MIN(0.92,$B$195+0))</f>
        <v>0.68</v>
      </c>
      <c r="L167" s="134" t="n">
        <f aca="false">MAX(0.05,MIN(0.92,$B$195+0.05))</f>
        <v>0.73</v>
      </c>
      <c r="M167" s="134" t="n">
        <f aca="false">MAX(0.05,MIN(0.92,$B$195+0.1))</f>
        <v>0.78</v>
      </c>
      <c r="N167" s="34"/>
    </row>
    <row r="168" customFormat="false" ht="18.75" hidden="false" customHeight="true" outlineLevel="0" collapsed="false">
      <c r="A168" s="135" t="n">
        <f aca="false">$B$209+-0.02</f>
        <v>0.1</v>
      </c>
      <c r="B168" s="100" t="n">
        <f aca="false">IF($A$168&lt;=B$167,"n/a",($B$62*(1+$B$209)^3.5/(1+$A$168)^3.5+$G$45*(1+B$167)/($A$168-B$167)/(1+$A$168)^6)+('00-三表与联动'!$B$10+'00-三表与联动'!$B$11-'00-三表与联动'!$B$12))/'00-三表与联动'!$B$9</f>
        <v>1879.11612247394</v>
      </c>
      <c r="C168" s="100" t="n">
        <f aca="false">IF($A$168&lt;=C$167,"n/a",($B$62*(1+$B$209)^3.5/(1+$A$168)^3.5+$G$45*(1+C$167)/($A$168-C$167)/(1+$A$168)^6)+('00-三表与联动'!$B$10+'00-三表与联动'!$B$11-'00-三表与联动'!$B$12))/'00-三表与联动'!$B$9</f>
        <v>1964.88137076151</v>
      </c>
      <c r="D168" s="100" t="n">
        <f aca="false">IF($A$168&lt;=D$167,"n/a",($B$62*(1+$B$209)^3.5/(1+$A$168)^3.5+$G$45*(1+D$167)/($A$168-D$167)/(1+$A$168)^6)+('00-三表与联动'!$B$10+'00-三表与联动'!$B$11-'00-三表与联动'!$B$12))/'00-三表与联动'!$B$9</f>
        <v>2062.89879737587</v>
      </c>
      <c r="E168" s="100" t="n">
        <f aca="false">IF($A$168&lt;=E$167,"n/a",($B$62*(1+$B$209)^3.5/(1+$A$168)^3.5+$G$45*(1+E$167)/($A$168-E$167)/(1+$A$168)^6)+('00-三表与联动'!$B$10+'00-三表与联动'!$B$11-'00-三表与联动'!$B$12))/'00-三表与联动'!$B$9</f>
        <v>2175.99582808476</v>
      </c>
      <c r="F168" s="100" t="n">
        <f aca="false">IF($A$168&lt;=F$167,"n/a",($B$62*(1+$B$209)^3.5/(1+$A$168)^3.5+$G$45*(1+F$167)/($A$168-F$167)/(1+$A$168)^6)+('00-三表与联动'!$B$10+'00-三表与联动'!$B$11-'00-三表与联动'!$B$12))/'00-三表与联动'!$B$9</f>
        <v>2307.94236391179</v>
      </c>
      <c r="G168" s="34"/>
      <c r="H168" s="135" t="n">
        <f aca="false">$B$209+-0.02</f>
        <v>0.1</v>
      </c>
      <c r="I168" s="100" t="n">
        <f aca="false">IF($H$168&lt;=$B$211,"n/a",($B$62*(1+$B$209)^3.5/(1+$H$168)^3.5+(($G$32*I$167-$G$32*$B$199)*(1-$B$201)+$G$40+($G$41+$G$42)+$G$44)*(1+$B$211)/($H$168-$B$211)/(1+$H$168)^6)+('00-三表与联动'!$B$10+'00-三表与联动'!$B$11-'00-三表与联动'!$B$12))/'00-三表与联动'!$B$9</f>
        <v>1813.40870139</v>
      </c>
      <c r="J168" s="100" t="n">
        <f aca="false">IF($H$168&lt;=$B$211,"n/a",($B$62*(1+$B$209)^3.5/(1+$H$168)^3.5+(($G$32*J$167-$G$32*$B$199)*(1-$B$201)+$G$40+($G$41+$G$42)+$G$44)*(1+$B$211)/($H$168-$B$211)/(1+$H$168)^6)+('00-三表与联动'!$B$10+'00-三表与联动'!$B$11-'00-三表与联动'!$B$12))/'00-三表与联动'!$B$9</f>
        <v>1938.15374938294</v>
      </c>
      <c r="K168" s="100" t="n">
        <f aca="false">IF($H$168&lt;=$B$211,"n/a",($B$62*(1+$B$209)^3.5/(1+$H$168)^3.5+(($G$32*K$167-$G$32*$B$199)*(1-$B$201)+$G$40+($G$41+$G$42)+$G$44)*(1+$B$211)/($H$168-$B$211)/(1+$H$168)^6)+('00-三表与联动'!$B$10+'00-三表与联动'!$B$11-'00-三表与联动'!$B$12))/'00-三表与联动'!$B$9</f>
        <v>2062.89879737587</v>
      </c>
      <c r="L168" s="100" t="n">
        <f aca="false">IF($H$168&lt;=$B$211,"n/a",($B$62*(1+$B$209)^3.5/(1+$H$168)^3.5+(($G$32*L$167-$G$32*$B$199)*(1-$B$201)+$G$40+($G$41+$G$42)+$G$44)*(1+$B$211)/($H$168-$B$211)/(1+$H$168)^6)+('00-三表与联动'!$B$10+'00-三表与联动'!$B$11-'00-三表与联动'!$B$12))/'00-三表与联动'!$B$9</f>
        <v>2187.64384536881</v>
      </c>
      <c r="M168" s="100" t="n">
        <f aca="false">IF($H$168&lt;=$B$211,"n/a",($B$62*(1+$B$209)^3.5/(1+$H$168)^3.5+(($G$32*M$167-$G$32*$B$199)*(1-$B$201)+$G$40+($G$41+$G$42)+$G$44)*(1+$B$211)/($H$168-$B$211)/(1+$H$168)^6)+('00-三表与联动'!$B$10+'00-三表与联动'!$B$11-'00-三表与联动'!$B$12))/'00-三表与联动'!$B$9</f>
        <v>2312.38889336174</v>
      </c>
      <c r="N168" s="34"/>
    </row>
    <row r="169" customFormat="false" ht="18.75" hidden="false" customHeight="true" outlineLevel="0" collapsed="false">
      <c r="A169" s="135" t="n">
        <f aca="false">$B$209+-0.01</f>
        <v>0.11</v>
      </c>
      <c r="B169" s="100" t="n">
        <f aca="false">IF($A$169&lt;=B$167,"n/a",($B$62*(1+$B$209)^3.5/(1+$A$169)^3.5+$G$45*(1+B$167)/($A$169-B$167)/(1+$A$169)^6)+('00-三表与联动'!$B$10+'00-三表与联动'!$B$11-'00-三表与联动'!$B$12))/'00-三表与联动'!$B$9</f>
        <v>1670.44899521808</v>
      </c>
      <c r="C169" s="100" t="n">
        <f aca="false">IF($A$169&lt;=C$167,"n/a",($B$62*(1+$B$209)^3.5/(1+$A$169)^3.5+$G$45*(1+C$167)/($A$169-C$167)/(1+$A$169)^6)+('00-三表与联动'!$B$10+'00-三表与联动'!$B$11-'00-三表与联动'!$B$12))/'00-三表与联动'!$B$9</f>
        <v>1734.73992347398</v>
      </c>
      <c r="D169" s="100" t="n">
        <f aca="false">IF($A$169&lt;=D$167,"n/a",($B$62*(1+$B$209)^3.5/(1+$A$169)^3.5+$G$45*(1+D$167)/($A$169-D$167)/(1+$A$169)^6)+('00-三表与联动'!$B$10+'00-三表与联动'!$B$11-'00-三表与联动'!$B$12))/'00-三表与联动'!$B$9</f>
        <v>1807.06721776187</v>
      </c>
      <c r="E169" s="100" t="n">
        <f aca="false">IF($A$169&lt;=E$167,"n/a",($B$62*(1+$B$209)^3.5/(1+$A$169)^3.5+$G$45*(1+E$167)/($A$169-E$167)/(1+$A$169)^6)+('00-三表与联动'!$B$10+'00-三表与联动'!$B$11-'00-三表与联动'!$B$12))/'00-三表与联动'!$B$9</f>
        <v>1889.03815128815</v>
      </c>
      <c r="F169" s="100" t="n">
        <f aca="false">IF($A$169&lt;=F$167,"n/a",($B$62*(1+$B$209)^3.5/(1+$A$169)^3.5+$G$45*(1+F$167)/($A$169-F$167)/(1+$A$169)^6)+('00-三表与联动'!$B$10+'00-三表与联动'!$B$11-'00-三表与联动'!$B$12))/'00-三表与联动'!$B$9</f>
        <v>1982.71921817532</v>
      </c>
      <c r="G169" s="34"/>
      <c r="H169" s="135" t="n">
        <f aca="false">$B$209+-0.01</f>
        <v>0.11</v>
      </c>
      <c r="I169" s="100" t="n">
        <f aca="false">IF($H$169&lt;=$B$211,"n/a",($B$62*(1+$B$209)^3.5/(1+$H$169)^3.5+(($G$32*I$167-$G$32*$B$199)*(1-$B$201)+$G$40+($G$41+$G$42)+$G$44)*(1+$B$211)/($H$169-$B$211)/(1+$H$169)^6)+('00-三表与联动'!$B$10+'00-三表与联动'!$B$11-'00-三表与联动'!$B$12))/'00-三表与联动'!$B$9</f>
        <v>1600.30099152815</v>
      </c>
      <c r="J169" s="100" t="n">
        <f aca="false">IF($H$169&lt;=$B$211,"n/a",($B$62*(1+$B$209)^3.5/(1+$H$169)^3.5+(($G$32*J$167-$G$32*$B$199)*(1-$B$201)+$G$40+($G$41+$G$42)+$G$44)*(1+$B$211)/($H$169-$B$211)/(1+$H$169)^6)+('00-三表与联动'!$B$10+'00-三表与联动'!$B$11-'00-三表与联动'!$B$12))/'00-三表与联动'!$B$9</f>
        <v>1703.68410464501</v>
      </c>
      <c r="K169" s="100" t="n">
        <f aca="false">IF($H$169&lt;=$B$211,"n/a",($B$62*(1+$B$209)^3.5/(1+$H$169)^3.5+(($G$32*K$167-$G$32*$B$199)*(1-$B$201)+$G$40+($G$41+$G$42)+$G$44)*(1+$B$211)/($H$169-$B$211)/(1+$H$169)^6)+('00-三表与联动'!$B$10+'00-三表与联动'!$B$11-'00-三表与联动'!$B$12))/'00-三表与联动'!$B$9</f>
        <v>1807.06721776187</v>
      </c>
      <c r="L169" s="100" t="n">
        <f aca="false">IF($H$169&lt;=$B$211,"n/a",($B$62*(1+$B$209)^3.5/(1+$H$169)^3.5+(($G$32*L$167-$G$32*$B$199)*(1-$B$201)+$G$40+($G$41+$G$42)+$G$44)*(1+$B$211)/($H$169-$B$211)/(1+$H$169)^6)+('00-三表与联动'!$B$10+'00-三表与联动'!$B$11-'00-三表与联动'!$B$12))/'00-三表与联动'!$B$9</f>
        <v>1910.45033087873</v>
      </c>
      <c r="M169" s="100" t="n">
        <f aca="false">IF($H$169&lt;=$B$211,"n/a",($B$62*(1+$B$209)^3.5/(1+$H$169)^3.5+(($G$32*M$167-$G$32*$B$199)*(1-$B$201)+$G$40+($G$41+$G$42)+$G$44)*(1+$B$211)/($H$169-$B$211)/(1+$H$169)^6)+('00-三表与联动'!$B$10+'00-三表与联动'!$B$11-'00-三表与联动'!$B$12))/'00-三表与联动'!$B$9</f>
        <v>2013.83344399559</v>
      </c>
      <c r="N169" s="34"/>
    </row>
    <row r="170" customFormat="false" ht="18.75" hidden="false" customHeight="true" outlineLevel="0" collapsed="false">
      <c r="A170" s="135" t="n">
        <f aca="false">$B$209+0</f>
        <v>0.12</v>
      </c>
      <c r="B170" s="100" t="n">
        <f aca="false">IF($A$170&lt;=B$167,"n/a",($B$62*(1+$B$209)^3.5/(1+$A$170)^3.5+$G$45*(1+B$167)/($A$170-B$167)/(1+$A$170)^6)+('00-三表与联动'!$B$10+'00-三表与联动'!$B$11-'00-三表与联动'!$B$12))/'00-三表与联动'!$B$9</f>
        <v>1503.37996766624</v>
      </c>
      <c r="C170" s="100" t="n">
        <f aca="false">IF($A$170&lt;=C$167,"n/a",($B$62*(1+$B$209)^3.5/(1+$A$170)^3.5+$G$45*(1+C$167)/($A$170-C$167)/(1+$A$170)^6)+('00-三表与联动'!$B$10+'00-三表与联动'!$B$11-'00-三表与联动'!$B$12))/'00-三表与联动'!$B$9</f>
        <v>1552.88077780802</v>
      </c>
      <c r="D170" s="136" t="n">
        <f aca="false">IF($A$170&lt;=D$167,"n/a",($B$62*(1+$B$209)^3.5/(1+$A$170)^3.5+$G$45*(1+D$167)/($A$170-D$167)/(1+$A$170)^6)+('00-三表与联动'!$B$10+'00-三表与联动'!$B$11-'00-三表与联动'!$B$12))/'00-三表与联动'!$B$9</f>
        <v>1607.88167796554</v>
      </c>
      <c r="E170" s="100" t="n">
        <f aca="false">IF($A$170&lt;=E$167,"n/a",($B$62*(1+$B$209)^3.5/(1+$A$170)^3.5+$G$45*(1+E$167)/($A$170-E$167)/(1+$A$170)^6)+('00-三表与联动'!$B$10+'00-三表与联动'!$B$11-'00-三表与联动'!$B$12))/'00-三表与联动'!$B$9</f>
        <v>1669.35327225925</v>
      </c>
      <c r="F170" s="100" t="n">
        <f aca="false">IF($A$170&lt;=F$167,"n/a",($B$62*(1+$B$209)^3.5/(1+$A$170)^3.5+$G$45*(1+F$167)/($A$170-F$167)/(1+$A$170)^6)+('00-三表与联动'!$B$10+'00-三表与联动'!$B$11-'00-三表与联动'!$B$12))/'00-三表与联动'!$B$9</f>
        <v>1738.50881583967</v>
      </c>
      <c r="G170" s="34"/>
      <c r="H170" s="135" t="n">
        <f aca="false">$B$209+0</f>
        <v>0.12</v>
      </c>
      <c r="I170" s="100" t="n">
        <f aca="false">IF($H$170&lt;=$B$211,"n/a",($B$62*(1+$B$209)^3.5/(1+$H$170)^3.5+(($G$32*I$167-$G$32*$B$199)*(1-$B$201)+$G$40+($G$41+$G$42)+$G$44)*(1+$B$211)/($H$170-$B$211)/(1+$H$170)^6)+('00-三表与联动'!$B$10+'00-三表与联动'!$B$11-'00-三表与联动'!$B$12))/'00-三表与联动'!$B$9</f>
        <v>1433.71830955091</v>
      </c>
      <c r="J170" s="100" t="n">
        <f aca="false">IF($H$170&lt;=$B$211,"n/a",($B$62*(1+$B$209)^3.5/(1+$H$170)^3.5+(($G$32*J$167-$G$32*$B$199)*(1-$B$201)+$G$40+($G$41+$G$42)+$G$44)*(1+$B$211)/($H$170-$B$211)/(1+$H$170)^6)+('00-三表与联动'!$B$10+'00-三表与联动'!$B$11-'00-三表与联动'!$B$12))/'00-三表与联动'!$B$9</f>
        <v>1520.79999375823</v>
      </c>
      <c r="K170" s="136" t="n">
        <f aca="false">IF($H$170&lt;=$B$211,"n/a",($B$62*(1+$B$209)^3.5/(1+$H$170)^3.5+(($G$32*K$167-$G$32*$B$199)*(1-$B$201)+$G$40+($G$41+$G$42)+$G$44)*(1+$B$211)/($H$170-$B$211)/(1+$H$170)^6)+('00-三表与联动'!$B$10+'00-三表与联动'!$B$11-'00-三表与联动'!$B$12))/'00-三表与联动'!$B$9</f>
        <v>1607.88167796554</v>
      </c>
      <c r="L170" s="100" t="n">
        <f aca="false">IF($H$170&lt;=$B$211,"n/a",($B$62*(1+$B$209)^3.5/(1+$H$170)^3.5+(($G$32*L$167-$G$32*$B$199)*(1-$B$201)+$G$40+($G$41+$G$42)+$G$44)*(1+$B$211)/($H$170-$B$211)/(1+$H$170)^6)+('00-三表与联动'!$B$10+'00-三表与联动'!$B$11-'00-三表与联动'!$B$12))/'00-三表与联动'!$B$9</f>
        <v>1694.96336217286</v>
      </c>
      <c r="M170" s="100" t="n">
        <f aca="false">IF($H$170&lt;=$B$211,"n/a",($B$62*(1+$B$209)^3.5/(1+$H$170)^3.5+(($G$32*M$167-$G$32*$B$199)*(1-$B$201)+$G$40+($G$41+$G$42)+$G$44)*(1+$B$211)/($H$170-$B$211)/(1+$H$170)^6)+('00-三表与联动'!$B$10+'00-三表与联动'!$B$11-'00-三表与联动'!$B$12))/'00-三表与联动'!$B$9</f>
        <v>1782.04504638018</v>
      </c>
      <c r="N170" s="34"/>
    </row>
    <row r="171" customFormat="false" ht="18.75" hidden="false" customHeight="true" outlineLevel="0" collapsed="false">
      <c r="A171" s="135" t="n">
        <f aca="false">$B$209+0.01</f>
        <v>0.13</v>
      </c>
      <c r="B171" s="100" t="n">
        <f aca="false">IF($A$171&lt;=B$167,"n/a",($B$62*(1+$B$209)^3.5/(1+$A$171)^3.5+$G$45*(1+B$167)/($A$171-B$167)/(1+$A$171)^6)+('00-三表与联动'!$B$10+'00-三表与联动'!$B$11-'00-三表与联动'!$B$12))/'00-三表与联动'!$B$9</f>
        <v>1366.54922287533</v>
      </c>
      <c r="C171" s="100" t="n">
        <f aca="false">IF($A$171&lt;=C$167,"n/a",($B$62*(1+$B$209)^3.5/(1+$A$171)^3.5+$G$45*(1+C$167)/($A$171-C$167)/(1+$A$171)^6)+('00-三表与联动'!$B$10+'00-三表与联动'!$B$11-'00-三表与联动'!$B$12))/'00-三表与联动'!$B$9</f>
        <v>1405.49423323944</v>
      </c>
      <c r="D171" s="100" t="n">
        <f aca="false">IF($A$171&lt;=D$167,"n/a",($B$62*(1+$B$209)^3.5/(1+$A$171)^3.5+$G$45*(1+D$167)/($A$171-D$167)/(1+$A$171)^6)+('00-三表与联动'!$B$10+'00-三表与联动'!$B$11-'00-三表与联动'!$B$12))/'00-三表与联动'!$B$9</f>
        <v>1448.33374463997</v>
      </c>
      <c r="E171" s="100" t="n">
        <f aca="false">IF($A$171&lt;=E$167,"n/a",($B$62*(1+$B$209)^3.5/(1+$A$171)^3.5+$G$45*(1+E$167)/($A$171-E$167)/(1+$A$171)^6)+('00-三表与联动'!$B$10+'00-三表与联动'!$B$11-'00-三表与联动'!$B$12))/'00-三表与联动'!$B$9</f>
        <v>1495.68267829318</v>
      </c>
      <c r="F171" s="100" t="n">
        <f aca="false">IF($A$171&lt;=F$167,"n/a",($B$62*(1+$B$209)^3.5/(1+$A$171)^3.5+$G$45*(1+F$167)/($A$171-F$167)/(1+$A$171)^6)+('00-三表与联动'!$B$10+'00-三表与联动'!$B$11-'00-三表与联动'!$B$12))/'00-三表与联动'!$B$9</f>
        <v>1548.29260457452</v>
      </c>
      <c r="G171" s="34"/>
      <c r="H171" s="135" t="n">
        <f aca="false">$B$209+0.01</f>
        <v>0.13</v>
      </c>
      <c r="I171" s="100" t="n">
        <f aca="false">IF($H$171&lt;=$B$211,"n/a",($B$62*(1+$B$209)^3.5/(1+$H$171)^3.5+(($G$32*I$167-$G$32*$B$199)*(1-$B$201)+$G$40+($G$41+$G$42)+$G$44)*(1+$B$211)/($H$171-$B$211)/(1+$H$171)^6)+('00-三表与联动'!$B$10+'00-三表与联动'!$B$11-'00-三表与联动'!$B$12))/'00-三表与联动'!$B$9</f>
        <v>1299.72758872561</v>
      </c>
      <c r="J171" s="100" t="n">
        <f aca="false">IF($H$171&lt;=$B$211,"n/a",($B$62*(1+$B$209)^3.5/(1+$H$171)^3.5+(($G$32*J$167-$G$32*$B$199)*(1-$B$201)+$G$40+($G$41+$G$42)+$G$44)*(1+$B$211)/($H$171-$B$211)/(1+$H$171)^6)+('00-三表与联动'!$B$10+'00-三表与联动'!$B$11-'00-三表与联动'!$B$12))/'00-三表与联动'!$B$9</f>
        <v>1374.03066668279</v>
      </c>
      <c r="K171" s="100" t="n">
        <f aca="false">IF($H$171&lt;=$B$211,"n/a",($B$62*(1+$B$209)^3.5/(1+$H$171)^3.5+(($G$32*K$167-$G$32*$B$199)*(1-$B$201)+$G$40+($G$41+$G$42)+$G$44)*(1+$B$211)/($H$171-$B$211)/(1+$H$171)^6)+('00-三表与联动'!$B$10+'00-三表与联动'!$B$11-'00-三表与联动'!$B$12))/'00-三表与联动'!$B$9</f>
        <v>1448.33374463997</v>
      </c>
      <c r="L171" s="100" t="n">
        <f aca="false">IF($H$171&lt;=$B$211,"n/a",($B$62*(1+$B$209)^3.5/(1+$H$171)^3.5+(($G$32*L$167-$G$32*$B$199)*(1-$B$201)+$G$40+($G$41+$G$42)+$G$44)*(1+$B$211)/($H$171-$B$211)/(1+$H$171)^6)+('00-三表与联动'!$B$10+'00-三表与联动'!$B$11-'00-三表与联动'!$B$12))/'00-三表与联动'!$B$9</f>
        <v>1522.63682259714</v>
      </c>
      <c r="M171" s="100" t="n">
        <f aca="false">IF($H$171&lt;=$B$211,"n/a",($B$62*(1+$B$209)^3.5/(1+$H$171)^3.5+(($G$32*M$167-$G$32*$B$199)*(1-$B$201)+$G$40+($G$41+$G$42)+$G$44)*(1+$B$211)/($H$171-$B$211)/(1+$H$171)^6)+('00-三表与联动'!$B$10+'00-三表与联动'!$B$11-'00-三表与联动'!$B$12))/'00-三表与联动'!$B$9</f>
        <v>1596.93990055432</v>
      </c>
      <c r="N171" s="34"/>
    </row>
    <row r="172" customFormat="false" ht="18.75" hidden="false" customHeight="true" outlineLevel="0" collapsed="false">
      <c r="A172" s="135" t="n">
        <f aca="false">$B$209+0.02</f>
        <v>0.14</v>
      </c>
      <c r="B172" s="100" t="n">
        <f aca="false">IF($A$172&lt;=B$167,"n/a",($B$62*(1+$B$209)^3.5/(1+$A$172)^3.5+$G$45*(1+B$167)/($A$172-B$167)/(1+$A$172)^6)+('00-三表与联动'!$B$10+'00-三表与联动'!$B$11-'00-三表与联动'!$B$12))/'00-三表与联动'!$B$9</f>
        <v>1252.38665246124</v>
      </c>
      <c r="C172" s="100" t="n">
        <f aca="false">IF($A$172&lt;=C$167,"n/a",($B$62*(1+$B$209)^3.5/(1+$A$172)^3.5+$G$45*(1+C$167)/($A$172-C$167)/(1+$A$172)^6)+('00-三表与联动'!$B$10+'00-三表与联动'!$B$11-'00-三表与联动'!$B$12))/'00-三表与联动'!$B$9</f>
        <v>1283.57717727695</v>
      </c>
      <c r="D172" s="100" t="n">
        <f aca="false">IF($A$172&lt;=D$167,"n/a",($B$62*(1+$B$209)^3.5/(1+$A$172)^3.5+$G$45*(1+D$167)/($A$172-D$167)/(1+$A$172)^6)+('00-三表与联动'!$B$10+'00-三表与联动'!$B$11-'00-三表与联动'!$B$12))/'00-三表与联动'!$B$9</f>
        <v>1317.60320434863</v>
      </c>
      <c r="E172" s="100" t="n">
        <f aca="false">IF($A$172&lt;=E$167,"n/a",($B$62*(1+$B$209)^3.5/(1+$A$172)^3.5+$G$45*(1+E$167)/($A$172-E$167)/(1+$A$172)^6)+('00-三表与联动'!$B$10+'00-三表与联动'!$B$11-'00-三表与联动'!$B$12))/'00-三表与联动'!$B$9</f>
        <v>1354.86980542714</v>
      </c>
      <c r="F172" s="100" t="n">
        <f aca="false">IF($A$172&lt;=F$167,"n/a",($B$62*(1+$B$209)^3.5/(1+$A$172)^3.5+$G$45*(1+F$167)/($A$172-F$167)/(1+$A$172)^6)+('00-三表与联动'!$B$10+'00-三表与联动'!$B$11-'00-三表与联动'!$B$12))/'00-三表与联动'!$B$9</f>
        <v>1395.8630666135</v>
      </c>
      <c r="G172" s="34"/>
      <c r="H172" s="135" t="n">
        <f aca="false">$B$209+0.02</f>
        <v>0.14</v>
      </c>
      <c r="I172" s="100" t="n">
        <f aca="false">IF($H$172&lt;=$B$211,"n/a",($B$62*(1+$B$209)^3.5/(1+$H$172)^3.5+(($G$32*I$167-$G$32*$B$199)*(1-$B$201)+$G$40+($G$41+$G$42)+$G$44)*(1+$B$211)/($H$172-$B$211)/(1+$H$172)^6)+('00-三表与联动'!$B$10+'00-三表与联动'!$B$11-'00-三表与联动'!$B$12))/'00-三表与联动'!$B$9</f>
        <v>1189.46292456875</v>
      </c>
      <c r="J172" s="100" t="n">
        <f aca="false">IF($H$172&lt;=$B$211,"n/a",($B$62*(1+$B$209)^3.5/(1+$H$172)^3.5+(($G$32*J$167-$G$32*$B$199)*(1-$B$201)+$G$40+($G$41+$G$42)+$G$44)*(1+$B$211)/($H$172-$B$211)/(1+$H$172)^6)+('00-三表与联动'!$B$10+'00-三表与联动'!$B$11-'00-三表与联动'!$B$12))/'00-三表与联动'!$B$9</f>
        <v>1253.53306445869</v>
      </c>
      <c r="K172" s="100" t="n">
        <f aca="false">IF($H$172&lt;=$B$211,"n/a",($B$62*(1+$B$209)^3.5/(1+$H$172)^3.5+(($G$32*K$167-$G$32*$B$199)*(1-$B$201)+$G$40+($G$41+$G$42)+$G$44)*(1+$B$211)/($H$172-$B$211)/(1+$H$172)^6)+('00-三表与联动'!$B$10+'00-三表与联动'!$B$11-'00-三表与联动'!$B$12))/'00-三表与联动'!$B$9</f>
        <v>1317.60320434863</v>
      </c>
      <c r="L172" s="100" t="n">
        <f aca="false">IF($H$172&lt;=$B$211,"n/a",($B$62*(1+$B$209)^3.5/(1+$H$172)^3.5+(($G$32*L$167-$G$32*$B$199)*(1-$B$201)+$G$40+($G$41+$G$42)+$G$44)*(1+$B$211)/($H$172-$B$211)/(1+$H$172)^6)+('00-三表与联动'!$B$10+'00-三表与联动'!$B$11-'00-三表与联动'!$B$12))/'00-三表与联动'!$B$9</f>
        <v>1381.67334423857</v>
      </c>
      <c r="M172" s="100" t="n">
        <f aca="false">IF($H$172&lt;=$B$211,"n/a",($B$62*(1+$B$209)^3.5/(1+$H$172)^3.5+(($G$32*M$167-$G$32*$B$199)*(1-$B$201)+$G$40+($G$41+$G$42)+$G$44)*(1+$B$211)/($H$172-$B$211)/(1+$H$172)^6)+('00-三表与联动'!$B$10+'00-三表与联动'!$B$11-'00-三表与联动'!$B$12))/'00-三表与联动'!$B$9</f>
        <v>1445.74348412852</v>
      </c>
      <c r="N172" s="34"/>
    </row>
    <row r="173" customFormat="false" ht="24" hidden="false" customHeight="true" outlineLevel="0" collapsed="false">
      <c r="A173" s="12" t="s">
        <v>499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33" hidden="false" customHeight="true" outlineLevel="0" collapsed="false">
      <c r="A174" s="137" t="s">
        <v>500</v>
      </c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</row>
    <row r="175" customFormat="false" ht="27" hidden="false" customHeight="true" outlineLevel="0" collapsed="false">
      <c r="A175" s="4" t="s">
        <v>501</v>
      </c>
      <c r="B175" s="4" t="s">
        <v>502</v>
      </c>
      <c r="C175" s="4" t="s">
        <v>503</v>
      </c>
      <c r="D175" s="4"/>
      <c r="E175" s="4" t="s">
        <v>504</v>
      </c>
      <c r="F175" s="4"/>
      <c r="G175" s="4"/>
      <c r="H175" s="4"/>
      <c r="I175" s="4"/>
      <c r="J175" s="4" t="s">
        <v>505</v>
      </c>
      <c r="K175" s="4"/>
      <c r="L175" s="4"/>
      <c r="M175" s="4"/>
      <c r="N175" s="4"/>
    </row>
    <row r="176" customFormat="false" ht="43.5" hidden="false" customHeight="true" outlineLevel="0" collapsed="false">
      <c r="A176" s="125" t="s">
        <v>506</v>
      </c>
      <c r="B176" s="182" t="s">
        <v>610</v>
      </c>
      <c r="C176" s="68" t="s">
        <v>611</v>
      </c>
      <c r="D176" s="68"/>
      <c r="E176" s="141" t="s">
        <v>612</v>
      </c>
      <c r="F176" s="141"/>
      <c r="G176" s="141"/>
      <c r="H176" s="141"/>
      <c r="I176" s="141"/>
      <c r="J176" s="140" t="s">
        <v>613</v>
      </c>
      <c r="K176" s="140"/>
      <c r="L176" s="140"/>
      <c r="M176" s="140"/>
      <c r="N176" s="140"/>
    </row>
    <row r="177" customFormat="false" ht="43.5" hidden="false" customHeight="true" outlineLevel="0" collapsed="false">
      <c r="A177" s="118" t="s">
        <v>614</v>
      </c>
      <c r="B177" s="182" t="s">
        <v>615</v>
      </c>
      <c r="C177" s="68" t="s">
        <v>616</v>
      </c>
      <c r="D177" s="68"/>
      <c r="E177" s="141" t="s">
        <v>617</v>
      </c>
      <c r="F177" s="141"/>
      <c r="G177" s="141"/>
      <c r="H177" s="141"/>
      <c r="I177" s="141"/>
      <c r="J177" s="140" t="s">
        <v>618</v>
      </c>
      <c r="K177" s="140"/>
      <c r="L177" s="140"/>
      <c r="M177" s="140"/>
      <c r="N177" s="140"/>
    </row>
    <row r="178" customFormat="false" ht="39.75" hidden="false" customHeight="true" outlineLevel="0" collapsed="false">
      <c r="A178" s="125" t="s">
        <v>619</v>
      </c>
      <c r="B178" s="183" t="s">
        <v>620</v>
      </c>
      <c r="C178" s="56" t="s">
        <v>518</v>
      </c>
      <c r="D178" s="56"/>
      <c r="E178" s="141" t="s">
        <v>621</v>
      </c>
      <c r="F178" s="141"/>
      <c r="G178" s="141"/>
      <c r="H178" s="141"/>
      <c r="I178" s="141"/>
      <c r="J178" s="140" t="s">
        <v>622</v>
      </c>
      <c r="K178" s="140"/>
      <c r="L178" s="140"/>
      <c r="M178" s="140"/>
      <c r="N178" s="140"/>
    </row>
    <row r="179" customFormat="false" ht="39.75" hidden="false" customHeight="true" outlineLevel="0" collapsed="false">
      <c r="A179" s="118" t="s">
        <v>623</v>
      </c>
      <c r="B179" s="183" t="s">
        <v>624</v>
      </c>
      <c r="C179" s="68" t="s">
        <v>523</v>
      </c>
      <c r="D179" s="68"/>
      <c r="E179" s="141" t="s">
        <v>625</v>
      </c>
      <c r="F179" s="141"/>
      <c r="G179" s="141"/>
      <c r="H179" s="141"/>
      <c r="I179" s="141"/>
      <c r="J179" s="142" t="s">
        <v>626</v>
      </c>
      <c r="K179" s="142"/>
      <c r="L179" s="142"/>
      <c r="M179" s="142"/>
      <c r="N179" s="142"/>
    </row>
    <row r="180" customFormat="false" ht="39.75" hidden="false" customHeight="true" outlineLevel="0" collapsed="false">
      <c r="A180" s="118" t="s">
        <v>627</v>
      </c>
      <c r="B180" s="183" t="s">
        <v>628</v>
      </c>
      <c r="C180" s="68" t="s">
        <v>528</v>
      </c>
      <c r="D180" s="68"/>
      <c r="E180" s="141" t="s">
        <v>629</v>
      </c>
      <c r="F180" s="141"/>
      <c r="G180" s="141"/>
      <c r="H180" s="141"/>
      <c r="I180" s="141"/>
      <c r="J180" s="142" t="s">
        <v>630</v>
      </c>
      <c r="K180" s="142"/>
      <c r="L180" s="142"/>
      <c r="M180" s="142"/>
      <c r="N180" s="142"/>
    </row>
    <row r="181" customFormat="false" ht="33" hidden="false" customHeight="true" outlineLevel="0" collapsed="false">
      <c r="A181" s="44" t="s">
        <v>531</v>
      </c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</row>
    <row r="183" customFormat="false" ht="33" hidden="false" customHeight="true" outlineLevel="0" collapsed="false">
      <c r="A183" s="44" t="s">
        <v>532</v>
      </c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</row>
    <row r="186" customFormat="false" ht="24" hidden="false" customHeight="true" outlineLevel="0" collapsed="false">
      <c r="A186" s="12" t="s">
        <v>631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33" hidden="false" customHeight="true" outlineLevel="0" collapsed="false">
      <c r="A187" s="74" t="s">
        <v>534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</row>
    <row r="188" customFormat="false" ht="27" hidden="false" customHeight="true" outlineLevel="0" collapsed="false">
      <c r="A188" s="4" t="s">
        <v>325</v>
      </c>
      <c r="B188" s="4" t="s">
        <v>464</v>
      </c>
      <c r="C188" s="4" t="s">
        <v>465</v>
      </c>
      <c r="D188" s="4"/>
      <c r="E188" s="4"/>
      <c r="F188" s="4"/>
      <c r="G188" s="4"/>
      <c r="H188" s="4" t="s">
        <v>466</v>
      </c>
      <c r="I188" s="4" t="s">
        <v>467</v>
      </c>
      <c r="J188" s="4" t="s">
        <v>373</v>
      </c>
      <c r="K188" s="4"/>
      <c r="L188" s="4"/>
      <c r="M188" s="4"/>
      <c r="N188" s="4"/>
    </row>
    <row r="189" customFormat="false" ht="30" hidden="false" customHeight="true" outlineLevel="0" collapsed="false">
      <c r="A189" s="125" t="s">
        <v>535</v>
      </c>
      <c r="B189" s="184" t="n">
        <f aca="false">H189*50</f>
        <v>10550</v>
      </c>
      <c r="C189" s="120"/>
      <c r="D189" s="120"/>
      <c r="E189" s="120"/>
      <c r="F189" s="120"/>
      <c r="G189" s="120"/>
      <c r="H189" s="121" t="n">
        <v>211</v>
      </c>
      <c r="I189" s="122" t="s">
        <v>536</v>
      </c>
      <c r="J189" s="123" t="s">
        <v>537</v>
      </c>
      <c r="K189" s="123"/>
      <c r="L189" s="123"/>
      <c r="M189" s="123"/>
      <c r="N189" s="123"/>
    </row>
    <row r="190" customFormat="false" ht="30" hidden="false" customHeight="true" outlineLevel="0" collapsed="false">
      <c r="A190" s="125"/>
      <c r="B190" s="184"/>
      <c r="C190" s="120"/>
      <c r="D190" s="120"/>
      <c r="E190" s="120"/>
      <c r="F190" s="120"/>
      <c r="G190" s="120"/>
      <c r="H190" s="121"/>
      <c r="I190" s="122"/>
      <c r="J190" s="122"/>
      <c r="K190" s="123"/>
      <c r="L190" s="123"/>
      <c r="M190" s="123"/>
      <c r="N190" s="123"/>
    </row>
    <row r="191" customFormat="false" ht="30" hidden="false" customHeight="true" outlineLevel="0" collapsed="false">
      <c r="A191" s="125" t="s">
        <v>538</v>
      </c>
      <c r="B191" s="185" t="n">
        <f aca="false">(H191-100)/1000</f>
        <v>0</v>
      </c>
      <c r="C191" s="120"/>
      <c r="D191" s="120"/>
      <c r="E191" s="120"/>
      <c r="F191" s="120"/>
      <c r="G191" s="120"/>
      <c r="H191" s="121" t="n">
        <v>100</v>
      </c>
      <c r="I191" s="122" t="s">
        <v>539</v>
      </c>
      <c r="J191" s="123" t="s">
        <v>540</v>
      </c>
      <c r="K191" s="123"/>
      <c r="L191" s="123"/>
      <c r="M191" s="123"/>
      <c r="N191" s="123"/>
    </row>
    <row r="192" customFormat="false" ht="30" hidden="false" customHeight="true" outlineLevel="0" collapsed="false">
      <c r="A192" s="125"/>
      <c r="B192" s="185"/>
      <c r="C192" s="120"/>
      <c r="D192" s="120"/>
      <c r="E192" s="120"/>
      <c r="F192" s="120"/>
      <c r="G192" s="120"/>
      <c r="H192" s="121"/>
      <c r="I192" s="122"/>
      <c r="J192" s="122"/>
      <c r="K192" s="123"/>
      <c r="L192" s="123"/>
      <c r="M192" s="123"/>
      <c r="N192" s="123"/>
    </row>
    <row r="193" customFormat="false" ht="30" hidden="false" customHeight="true" outlineLevel="0" collapsed="false">
      <c r="A193" s="118" t="s">
        <v>541</v>
      </c>
      <c r="B193" s="185" t="n">
        <f aca="false">(H193-150)/1000</f>
        <v>0</v>
      </c>
      <c r="C193" s="120"/>
      <c r="D193" s="120"/>
      <c r="E193" s="120"/>
      <c r="F193" s="120"/>
      <c r="G193" s="120"/>
      <c r="H193" s="121" t="n">
        <v>150</v>
      </c>
      <c r="I193" s="122" t="s">
        <v>542</v>
      </c>
      <c r="J193" s="123" t="s">
        <v>543</v>
      </c>
      <c r="K193" s="123"/>
      <c r="L193" s="123"/>
      <c r="M193" s="123"/>
      <c r="N193" s="123"/>
    </row>
    <row r="194" customFormat="false" ht="30" hidden="false" customHeight="true" outlineLevel="0" collapsed="false">
      <c r="A194" s="118"/>
      <c r="B194" s="185"/>
      <c r="C194" s="120"/>
      <c r="D194" s="120"/>
      <c r="E194" s="120"/>
      <c r="F194" s="120"/>
      <c r="G194" s="120"/>
      <c r="H194" s="121"/>
      <c r="I194" s="122"/>
      <c r="J194" s="122"/>
      <c r="K194" s="123"/>
      <c r="L194" s="123"/>
      <c r="M194" s="123"/>
      <c r="N194" s="123"/>
    </row>
    <row r="195" customFormat="false" ht="30" hidden="false" customHeight="true" outlineLevel="0" collapsed="false">
      <c r="A195" s="118" t="s">
        <v>544</v>
      </c>
      <c r="B195" s="179" t="n">
        <f aca="false">H195/1000</f>
        <v>0.68</v>
      </c>
      <c r="C195" s="120"/>
      <c r="D195" s="120"/>
      <c r="E195" s="120"/>
      <c r="F195" s="120"/>
      <c r="G195" s="120"/>
      <c r="H195" s="121" t="n">
        <v>680</v>
      </c>
      <c r="I195" s="122" t="s">
        <v>545</v>
      </c>
      <c r="J195" s="123" t="s">
        <v>546</v>
      </c>
      <c r="K195" s="123"/>
      <c r="L195" s="123"/>
      <c r="M195" s="123"/>
      <c r="N195" s="123"/>
    </row>
    <row r="196" customFormat="false" ht="30" hidden="false" customHeight="true" outlineLevel="0" collapsed="false">
      <c r="A196" s="118"/>
      <c r="B196" s="179"/>
      <c r="C196" s="120"/>
      <c r="D196" s="120"/>
      <c r="E196" s="120"/>
      <c r="F196" s="120"/>
      <c r="G196" s="120"/>
      <c r="H196" s="121"/>
      <c r="I196" s="122"/>
      <c r="J196" s="122"/>
      <c r="K196" s="123"/>
      <c r="L196" s="123"/>
      <c r="M196" s="123"/>
      <c r="N196" s="123"/>
    </row>
    <row r="197" customFormat="false" ht="30" hidden="false" customHeight="true" outlineLevel="0" collapsed="false">
      <c r="A197" s="125" t="s">
        <v>547</v>
      </c>
      <c r="B197" s="185" t="n">
        <f aca="false">(H197-100)/1000</f>
        <v>0</v>
      </c>
      <c r="C197" s="120"/>
      <c r="D197" s="120"/>
      <c r="E197" s="120"/>
      <c r="F197" s="120"/>
      <c r="G197" s="120"/>
      <c r="H197" s="121" t="n">
        <v>100</v>
      </c>
      <c r="I197" s="122" t="s">
        <v>548</v>
      </c>
      <c r="J197" s="123" t="s">
        <v>549</v>
      </c>
      <c r="K197" s="123"/>
      <c r="L197" s="123"/>
      <c r="M197" s="123"/>
      <c r="N197" s="123"/>
    </row>
    <row r="198" customFormat="false" ht="30" hidden="false" customHeight="true" outlineLevel="0" collapsed="false">
      <c r="A198" s="125"/>
      <c r="B198" s="185"/>
      <c r="C198" s="120"/>
      <c r="D198" s="120"/>
      <c r="E198" s="120"/>
      <c r="F198" s="120"/>
      <c r="G198" s="120"/>
      <c r="H198" s="121"/>
      <c r="I198" s="122"/>
      <c r="J198" s="122"/>
      <c r="K198" s="123"/>
      <c r="L198" s="123"/>
      <c r="M198" s="123"/>
      <c r="N198" s="123"/>
    </row>
    <row r="199" customFormat="false" ht="30" hidden="false" customHeight="true" outlineLevel="0" collapsed="false">
      <c r="A199" s="118" t="s">
        <v>550</v>
      </c>
      <c r="B199" s="179" t="n">
        <f aca="false">H199/1000</f>
        <v>0.058</v>
      </c>
      <c r="C199" s="120"/>
      <c r="D199" s="120"/>
      <c r="E199" s="120"/>
      <c r="F199" s="120"/>
      <c r="G199" s="120"/>
      <c r="H199" s="121" t="n">
        <v>58</v>
      </c>
      <c r="I199" s="122" t="s">
        <v>551</v>
      </c>
      <c r="J199" s="123" t="s">
        <v>552</v>
      </c>
      <c r="K199" s="123"/>
      <c r="L199" s="123"/>
      <c r="M199" s="123"/>
      <c r="N199" s="123"/>
    </row>
    <row r="200" customFormat="false" ht="30" hidden="false" customHeight="true" outlineLevel="0" collapsed="false">
      <c r="A200" s="118"/>
      <c r="B200" s="179"/>
      <c r="C200" s="120"/>
      <c r="D200" s="120"/>
      <c r="E200" s="120"/>
      <c r="F200" s="120"/>
      <c r="G200" s="120"/>
      <c r="H200" s="121"/>
      <c r="I200" s="122"/>
      <c r="J200" s="122"/>
      <c r="K200" s="123"/>
      <c r="L200" s="123"/>
      <c r="M200" s="123"/>
      <c r="N200" s="123"/>
    </row>
    <row r="201" customFormat="false" ht="30" hidden="false" customHeight="true" outlineLevel="0" collapsed="false">
      <c r="A201" s="118" t="s">
        <v>553</v>
      </c>
      <c r="B201" s="179" t="n">
        <f aca="false">H201/1000</f>
        <v>0.16</v>
      </c>
      <c r="C201" s="120"/>
      <c r="D201" s="120"/>
      <c r="E201" s="120"/>
      <c r="F201" s="120"/>
      <c r="G201" s="120"/>
      <c r="H201" s="121" t="n">
        <v>160</v>
      </c>
      <c r="I201" s="122" t="s">
        <v>554</v>
      </c>
      <c r="J201" s="146" t="s">
        <v>555</v>
      </c>
      <c r="K201" s="146"/>
      <c r="L201" s="146"/>
      <c r="M201" s="146"/>
      <c r="N201" s="146"/>
    </row>
    <row r="202" customFormat="false" ht="30" hidden="false" customHeight="true" outlineLevel="0" collapsed="false">
      <c r="A202" s="118"/>
      <c r="B202" s="179"/>
      <c r="C202" s="120"/>
      <c r="D202" s="120"/>
      <c r="E202" s="120"/>
      <c r="F202" s="120"/>
      <c r="G202" s="120"/>
      <c r="H202" s="121"/>
      <c r="I202" s="122"/>
      <c r="J202" s="122"/>
      <c r="K202" s="146"/>
      <c r="L202" s="146"/>
      <c r="M202" s="146"/>
      <c r="N202" s="146"/>
    </row>
    <row r="203" customFormat="false" ht="30" hidden="false" customHeight="true" outlineLevel="0" collapsed="false">
      <c r="A203" s="118" t="s">
        <v>556</v>
      </c>
      <c r="B203" s="179" t="n">
        <f aca="false">H203/1000</f>
        <v>0.018</v>
      </c>
      <c r="C203" s="120"/>
      <c r="D203" s="120"/>
      <c r="E203" s="120"/>
      <c r="F203" s="120"/>
      <c r="G203" s="120"/>
      <c r="H203" s="121" t="n">
        <v>18</v>
      </c>
      <c r="I203" s="122" t="s">
        <v>557</v>
      </c>
      <c r="J203" s="146" t="s">
        <v>558</v>
      </c>
      <c r="K203" s="146"/>
      <c r="L203" s="146"/>
      <c r="M203" s="146"/>
      <c r="N203" s="146"/>
    </row>
    <row r="204" customFormat="false" ht="30" hidden="false" customHeight="true" outlineLevel="0" collapsed="false">
      <c r="A204" s="118"/>
      <c r="B204" s="179"/>
      <c r="C204" s="120"/>
      <c r="D204" s="120"/>
      <c r="E204" s="120"/>
      <c r="F204" s="120"/>
      <c r="G204" s="120"/>
      <c r="H204" s="121"/>
      <c r="I204" s="122"/>
      <c r="J204" s="122"/>
      <c r="K204" s="146"/>
      <c r="L204" s="146"/>
      <c r="M204" s="146"/>
      <c r="N204" s="146"/>
    </row>
    <row r="205" customFormat="false" ht="30" hidden="false" customHeight="true" outlineLevel="0" collapsed="false">
      <c r="A205" s="125" t="s">
        <v>559</v>
      </c>
      <c r="B205" s="179" t="n">
        <f aca="false">H205/1000</f>
        <v>0.032</v>
      </c>
      <c r="C205" s="120"/>
      <c r="D205" s="120"/>
      <c r="E205" s="120"/>
      <c r="F205" s="120"/>
      <c r="G205" s="120"/>
      <c r="H205" s="121" t="n">
        <v>32</v>
      </c>
      <c r="I205" s="122" t="s">
        <v>560</v>
      </c>
      <c r="J205" s="146" t="s">
        <v>561</v>
      </c>
      <c r="K205" s="146"/>
      <c r="L205" s="146"/>
      <c r="M205" s="146"/>
      <c r="N205" s="146"/>
    </row>
    <row r="206" customFormat="false" ht="30" hidden="false" customHeight="true" outlineLevel="0" collapsed="false">
      <c r="A206" s="125"/>
      <c r="B206" s="179"/>
      <c r="C206" s="120"/>
      <c r="D206" s="120"/>
      <c r="E206" s="120"/>
      <c r="F206" s="120"/>
      <c r="G206" s="120"/>
      <c r="H206" s="121"/>
      <c r="I206" s="122"/>
      <c r="J206" s="122"/>
      <c r="K206" s="146"/>
      <c r="L206" s="146"/>
      <c r="M206" s="146"/>
      <c r="N206" s="146"/>
    </row>
    <row r="207" customFormat="false" ht="30" hidden="false" customHeight="true" outlineLevel="0" collapsed="false">
      <c r="A207" s="118" t="s">
        <v>562</v>
      </c>
      <c r="B207" s="179" t="n">
        <f aca="false">H207/1000</f>
        <v>0.18</v>
      </c>
      <c r="C207" s="120"/>
      <c r="D207" s="120"/>
      <c r="E207" s="120"/>
      <c r="F207" s="120"/>
      <c r="G207" s="120"/>
      <c r="H207" s="121" t="n">
        <v>180</v>
      </c>
      <c r="I207" s="122" t="s">
        <v>563</v>
      </c>
      <c r="J207" s="123" t="s">
        <v>564</v>
      </c>
      <c r="K207" s="123"/>
      <c r="L207" s="123"/>
      <c r="M207" s="123"/>
      <c r="N207" s="123"/>
    </row>
    <row r="208" customFormat="false" ht="30" hidden="false" customHeight="true" outlineLevel="0" collapsed="false">
      <c r="A208" s="118"/>
      <c r="B208" s="179"/>
      <c r="C208" s="120"/>
      <c r="D208" s="120"/>
      <c r="E208" s="120"/>
      <c r="F208" s="120"/>
      <c r="G208" s="120"/>
      <c r="H208" s="121"/>
      <c r="I208" s="122"/>
      <c r="J208" s="122"/>
      <c r="K208" s="123"/>
      <c r="L208" s="123"/>
      <c r="M208" s="123"/>
      <c r="N208" s="123"/>
    </row>
    <row r="209" customFormat="false" ht="30" hidden="false" customHeight="true" outlineLevel="0" collapsed="false">
      <c r="A209" s="118" t="s">
        <v>565</v>
      </c>
      <c r="B209" s="179" t="n">
        <f aca="false">H209/1000</f>
        <v>0.12</v>
      </c>
      <c r="C209" s="120"/>
      <c r="D209" s="120"/>
      <c r="E209" s="120"/>
      <c r="F209" s="120"/>
      <c r="G209" s="120"/>
      <c r="H209" s="121" t="n">
        <v>120</v>
      </c>
      <c r="I209" s="122" t="s">
        <v>566</v>
      </c>
      <c r="J209" s="123" t="s">
        <v>567</v>
      </c>
      <c r="K209" s="123"/>
      <c r="L209" s="123"/>
      <c r="M209" s="123"/>
      <c r="N209" s="123"/>
    </row>
    <row r="210" customFormat="false" ht="30" hidden="false" customHeight="true" outlineLevel="0" collapsed="false">
      <c r="A210" s="118"/>
      <c r="B210" s="179"/>
      <c r="C210" s="120"/>
      <c r="D210" s="120"/>
      <c r="E210" s="120"/>
      <c r="F210" s="120"/>
      <c r="G210" s="120"/>
      <c r="H210" s="121"/>
      <c r="I210" s="122"/>
      <c r="J210" s="122"/>
      <c r="K210" s="123"/>
      <c r="L210" s="123"/>
      <c r="M210" s="123"/>
      <c r="N210" s="123"/>
    </row>
    <row r="211" customFormat="false" ht="30" hidden="false" customHeight="true" outlineLevel="0" collapsed="false">
      <c r="A211" s="118" t="s">
        <v>568</v>
      </c>
      <c r="B211" s="179" t="n">
        <f aca="false">H211/1000</f>
        <v>0.03</v>
      </c>
      <c r="C211" s="120"/>
      <c r="D211" s="120"/>
      <c r="E211" s="120"/>
      <c r="F211" s="120"/>
      <c r="G211" s="120"/>
      <c r="H211" s="121" t="n">
        <v>30</v>
      </c>
      <c r="I211" s="122" t="s">
        <v>569</v>
      </c>
      <c r="J211" s="123" t="s">
        <v>570</v>
      </c>
      <c r="K211" s="123"/>
      <c r="L211" s="123"/>
      <c r="M211" s="123"/>
      <c r="N211" s="123"/>
    </row>
    <row r="212" customFormat="false" ht="30" hidden="false" customHeight="true" outlineLevel="0" collapsed="false">
      <c r="A212" s="118"/>
      <c r="B212" s="179"/>
      <c r="C212" s="120"/>
      <c r="D212" s="120"/>
      <c r="E212" s="120"/>
      <c r="F212" s="120"/>
      <c r="G212" s="120"/>
      <c r="H212" s="121"/>
      <c r="I212" s="122"/>
      <c r="J212" s="122"/>
      <c r="K212" s="123"/>
      <c r="L212" s="123"/>
      <c r="M212" s="123"/>
      <c r="N212" s="123"/>
    </row>
    <row r="213" customFormat="false" ht="24" hidden="false" customHeight="true" outlineLevel="0" collapsed="false">
      <c r="A213" s="12" t="s">
        <v>571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customFormat="false" ht="27" hidden="false" customHeight="true" outlineLevel="0" collapsed="false">
      <c r="A214" s="4" t="s">
        <v>26</v>
      </c>
      <c r="B214" s="4" t="s">
        <v>27</v>
      </c>
      <c r="C214" s="4" t="s">
        <v>572</v>
      </c>
      <c r="D214" s="4" t="s">
        <v>573</v>
      </c>
      <c r="E214" s="13" t="s">
        <v>29</v>
      </c>
      <c r="F214" s="13" t="s">
        <v>30</v>
      </c>
      <c r="G214" s="13" t="s">
        <v>574</v>
      </c>
      <c r="H214" s="13" t="s">
        <v>575</v>
      </c>
      <c r="I214" s="13" t="s">
        <v>576</v>
      </c>
      <c r="J214" s="13" t="s">
        <v>31</v>
      </c>
      <c r="K214" s="13" t="s">
        <v>577</v>
      </c>
      <c r="L214" s="4" t="s">
        <v>578</v>
      </c>
      <c r="M214" s="4"/>
      <c r="N214" s="4"/>
    </row>
    <row r="215" customFormat="false" ht="30" hidden="false" customHeight="true" outlineLevel="0" collapsed="false">
      <c r="A215" s="186" t="n">
        <f aca="false">B72</f>
        <v>1630.93949373094</v>
      </c>
      <c r="B215" s="187" t="n">
        <f aca="false">B74</f>
        <v>0.0871697832451932</v>
      </c>
      <c r="C215" s="188" t="n">
        <f aca="false">B65</f>
        <v>0.619417054545501</v>
      </c>
      <c r="D215" s="189" t="n">
        <f aca="false">B66</f>
        <v>246256.621528296</v>
      </c>
      <c r="E215" s="189" t="n">
        <f aca="false">F13</f>
        <v>41849.9936630439</v>
      </c>
      <c r="F215" s="190" t="n">
        <f aca="false">F16/F13</f>
        <v>0.805830348999053</v>
      </c>
      <c r="G215" s="189" t="n">
        <f aca="false">F18</f>
        <v>31296.6953666422</v>
      </c>
      <c r="H215" s="191" t="n">
        <f aca="false">F18*(1-$B$201)/'00-三表与联动'!$B$9</f>
        <v>169.607897470835</v>
      </c>
      <c r="I215" s="189" t="n">
        <f aca="false">G32</f>
        <v>55427.1627911792</v>
      </c>
      <c r="J215" s="190" t="n">
        <f aca="false">G34</f>
        <v>0.68</v>
      </c>
      <c r="K215" s="190" t="n">
        <f aca="false">G45/G32</f>
        <v>0.463516363636364</v>
      </c>
      <c r="L215" s="192" t="n">
        <f aca="false">B63/(G37+G40)</f>
        <v>8.63037813790912</v>
      </c>
      <c r="M215" s="34"/>
      <c r="N215" s="34"/>
    </row>
    <row r="217" customFormat="false" ht="24" hidden="false" customHeight="true" outlineLevel="0" collapsed="false">
      <c r="A217" s="117" t="s">
        <v>579</v>
      </c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</row>
    <row r="218" customFormat="false" ht="33" hidden="false" customHeight="true" outlineLevel="0" collapsed="false">
      <c r="A218" s="44" t="s">
        <v>580</v>
      </c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</row>
    <row r="219" customFormat="false" ht="27" hidden="false" customHeight="true" outlineLevel="0" collapsed="false">
      <c r="A219" s="4" t="s">
        <v>581</v>
      </c>
      <c r="B219" s="4" t="s">
        <v>582</v>
      </c>
      <c r="C219" s="4"/>
      <c r="D219" s="4" t="s">
        <v>27</v>
      </c>
      <c r="E219" s="4" t="s">
        <v>373</v>
      </c>
      <c r="F219" s="4"/>
      <c r="G219" s="4"/>
      <c r="H219" s="4"/>
      <c r="I219" s="4"/>
      <c r="J219" s="4"/>
      <c r="K219" s="4"/>
      <c r="L219" s="4"/>
      <c r="M219" s="4"/>
      <c r="N219" s="4"/>
    </row>
    <row r="220" customFormat="false" ht="21.75" hidden="false" customHeight="true" outlineLevel="0" collapsed="false">
      <c r="A220" s="155" t="s">
        <v>583</v>
      </c>
      <c r="B220" s="193" t="n">
        <f aca="false">B72</f>
        <v>1630.93949373094</v>
      </c>
      <c r="C220" s="193"/>
      <c r="D220" s="157" t="n">
        <f aca="false">B220/'00-三表与联动'!$B$6-1</f>
        <v>0.0871697832451932</v>
      </c>
      <c r="E220" s="56" t="s">
        <v>584</v>
      </c>
      <c r="F220" s="56"/>
      <c r="G220" s="56"/>
      <c r="H220" s="56"/>
      <c r="I220" s="56"/>
      <c r="J220" s="56"/>
      <c r="K220" s="56"/>
      <c r="L220" s="56"/>
      <c r="M220" s="56"/>
      <c r="N220" s="56"/>
    </row>
    <row r="221" customFormat="false" ht="21.75" hidden="false" customHeight="true" outlineLevel="0" collapsed="false">
      <c r="A221" s="155" t="s">
        <v>585</v>
      </c>
      <c r="B221" s="193" t="n">
        <f aca="false">G105</f>
        <v>2065.0048166656</v>
      </c>
      <c r="C221" s="193"/>
      <c r="D221" s="157" t="n">
        <f aca="false">B221/'00-三表与联动'!$B$6-1</f>
        <v>0.376513872871475</v>
      </c>
      <c r="E221" s="56" t="s">
        <v>586</v>
      </c>
      <c r="F221" s="56"/>
      <c r="G221" s="56"/>
      <c r="H221" s="56"/>
      <c r="I221" s="56"/>
      <c r="J221" s="56"/>
      <c r="K221" s="56"/>
      <c r="L221" s="56"/>
      <c r="M221" s="56"/>
      <c r="N221" s="56"/>
    </row>
    <row r="222" customFormat="false" ht="21.75" hidden="false" customHeight="true" outlineLevel="0" collapsed="false">
      <c r="A222" s="155" t="s">
        <v>587</v>
      </c>
      <c r="B222" s="193" t="n">
        <f aca="false">B103</f>
        <v>1542.92643202246</v>
      </c>
      <c r="C222" s="193"/>
      <c r="D222" s="157" t="n">
        <f aca="false">B222/'00-三表与联动'!$B$6-1</f>
        <v>0.0285010578950804</v>
      </c>
      <c r="E222" s="68" t="s">
        <v>588</v>
      </c>
      <c r="F222" s="68"/>
      <c r="G222" s="68"/>
      <c r="H222" s="68"/>
      <c r="I222" s="68"/>
      <c r="J222" s="68"/>
      <c r="K222" s="68"/>
      <c r="L222" s="68"/>
      <c r="M222" s="68"/>
      <c r="N222" s="68"/>
    </row>
    <row r="223" customFormat="false" ht="21.75" hidden="false" customHeight="true" outlineLevel="0" collapsed="false">
      <c r="A223" s="5" t="s">
        <v>589</v>
      </c>
      <c r="B223" s="193" t="n">
        <f aca="false">'00-三表与联动'!$B$6</f>
        <v>1500.17</v>
      </c>
      <c r="C223" s="193"/>
      <c r="D223" s="157" t="n">
        <f aca="false">B223/'00-三表与联动'!$B$6-1</f>
        <v>0</v>
      </c>
      <c r="E223" s="68" t="s">
        <v>590</v>
      </c>
      <c r="F223" s="68"/>
      <c r="G223" s="68"/>
      <c r="H223" s="68"/>
      <c r="I223" s="68"/>
      <c r="J223" s="68"/>
      <c r="K223" s="68"/>
      <c r="L223" s="68"/>
      <c r="M223" s="68"/>
      <c r="N223" s="68"/>
    </row>
    <row r="224" customFormat="false" ht="21.75" hidden="false" customHeight="true" outlineLevel="0" collapsed="false">
      <c r="A224" s="5" t="s">
        <v>43</v>
      </c>
      <c r="B224" s="193" t="n">
        <f aca="false">2126</f>
        <v>2126</v>
      </c>
      <c r="C224" s="193"/>
      <c r="D224" s="157" t="n">
        <f aca="false">B224/'00-三表与联动'!$B$6-1</f>
        <v>0.417172720425018</v>
      </c>
      <c r="E224" s="68" t="s">
        <v>591</v>
      </c>
      <c r="F224" s="68"/>
      <c r="G224" s="68"/>
      <c r="H224" s="68"/>
      <c r="I224" s="68"/>
      <c r="J224" s="68"/>
      <c r="K224" s="68"/>
      <c r="L224" s="68"/>
      <c r="M224" s="68"/>
      <c r="N224" s="68"/>
    </row>
    <row r="226" customFormat="false" ht="24" hidden="false" customHeight="true" outlineLevel="0" collapsed="false">
      <c r="A226" s="158" t="s">
        <v>592</v>
      </c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</row>
    <row r="227" customFormat="false" ht="27" hidden="false" customHeight="true" outlineLevel="0" collapsed="false">
      <c r="A227" s="4" t="s">
        <v>216</v>
      </c>
      <c r="B227" s="13" t="s">
        <v>593</v>
      </c>
      <c r="C227" s="13" t="s">
        <v>294</v>
      </c>
      <c r="D227" s="13" t="s">
        <v>295</v>
      </c>
      <c r="E227" s="13" t="s">
        <v>296</v>
      </c>
      <c r="F227" s="13" t="s">
        <v>297</v>
      </c>
      <c r="G227" s="13" t="s">
        <v>298</v>
      </c>
      <c r="H227" s="13" t="s">
        <v>299</v>
      </c>
      <c r="I227" s="4"/>
      <c r="J227" s="4"/>
      <c r="K227" s="4"/>
      <c r="L227" s="4"/>
      <c r="M227" s="4"/>
      <c r="N227" s="4"/>
    </row>
    <row r="228" customFormat="false" ht="16.5" hidden="false" customHeight="true" outlineLevel="0" collapsed="false">
      <c r="A228" s="5" t="s">
        <v>262</v>
      </c>
      <c r="B228" s="159" t="n">
        <f aca="false">'00-三表与联动'!F28</f>
        <v>20248</v>
      </c>
      <c r="C228" s="32" t="n">
        <f aca="false">B32</f>
        <v>41849.9936630439</v>
      </c>
      <c r="D228" s="32" t="n">
        <f aca="false">C32</f>
        <v>34316.994803696</v>
      </c>
      <c r="E228" s="32" t="n">
        <f aca="false">D32</f>
        <v>39121.3740762134</v>
      </c>
      <c r="F228" s="32" t="n">
        <f aca="false">E32</f>
        <v>44989.5801876454</v>
      </c>
      <c r="G228" s="32" t="n">
        <f aca="false">F32</f>
        <v>50388.3298101629</v>
      </c>
      <c r="H228" s="32" t="n">
        <f aca="false">G32</f>
        <v>55427.1627911792</v>
      </c>
      <c r="I228" s="34"/>
      <c r="J228" s="34"/>
      <c r="K228" s="34"/>
      <c r="L228" s="34"/>
      <c r="M228" s="34"/>
      <c r="N228" s="34"/>
    </row>
    <row r="229" customFormat="false" ht="16.5" hidden="false" customHeight="true" outlineLevel="0" collapsed="false">
      <c r="A229" s="5" t="s">
        <v>268</v>
      </c>
      <c r="B229" s="159" t="n">
        <f aca="false">'00-三表与联动'!F30</f>
        <v>14472</v>
      </c>
      <c r="C229" s="32" t="n">
        <f aca="false">B35</f>
        <v>33723.9949990988</v>
      </c>
      <c r="D229" s="32" t="n">
        <f aca="false">C35</f>
        <v>22649.2165704393</v>
      </c>
      <c r="E229" s="32" t="n">
        <f aca="false">D35</f>
        <v>27384.9618533494</v>
      </c>
      <c r="F229" s="32" t="n">
        <f aca="false">E35</f>
        <v>32392.4977351047</v>
      </c>
      <c r="G229" s="32" t="n">
        <f aca="false">F35</f>
        <v>35271.830867114</v>
      </c>
      <c r="H229" s="32" t="n">
        <f aca="false">G35</f>
        <v>37690.4706980018</v>
      </c>
      <c r="I229" s="34"/>
      <c r="J229" s="34"/>
      <c r="K229" s="34"/>
      <c r="L229" s="34"/>
      <c r="M229" s="34"/>
      <c r="N229" s="34"/>
    </row>
    <row r="230" customFormat="false" ht="16.5" hidden="false" customHeight="true" outlineLevel="0" collapsed="false">
      <c r="A230" s="5" t="s">
        <v>594</v>
      </c>
      <c r="B230" s="159" t="n">
        <f aca="false">'00-三表与联动'!F39</f>
        <v>12389</v>
      </c>
      <c r="C230" s="32" t="n">
        <f aca="false">B37</f>
        <v>31296.6953666422</v>
      </c>
      <c r="D230" s="32" t="n">
        <f aca="false">C37</f>
        <v>20658.830871825</v>
      </c>
      <c r="E230" s="32" t="n">
        <f aca="false">D37</f>
        <v>25115.922156929</v>
      </c>
      <c r="F230" s="32" t="n">
        <f aca="false">E37</f>
        <v>29783.1020842213</v>
      </c>
      <c r="G230" s="32" t="n">
        <f aca="false">F37</f>
        <v>32349.3077381246</v>
      </c>
      <c r="H230" s="32" t="n">
        <f aca="false">G37</f>
        <v>34475.6952561134</v>
      </c>
      <c r="I230" s="34"/>
      <c r="J230" s="34"/>
      <c r="K230" s="34"/>
      <c r="L230" s="34"/>
      <c r="M230" s="34"/>
      <c r="N230" s="34"/>
    </row>
    <row r="231" customFormat="false" ht="16.5" hidden="false" customHeight="true" outlineLevel="0" collapsed="false">
      <c r="A231" s="5" t="s">
        <v>595</v>
      </c>
      <c r="B231" s="159" t="n">
        <f aca="false">'00-三表与联动'!F47</f>
        <v>11433</v>
      </c>
      <c r="C231" s="32" t="n">
        <f aca="false">B39</f>
        <v>26289.2241079795</v>
      </c>
      <c r="D231" s="32" t="n">
        <f aca="false">C39</f>
        <v>17353.417932333</v>
      </c>
      <c r="E231" s="32" t="n">
        <f aca="false">D39</f>
        <v>21097.3746118204</v>
      </c>
      <c r="F231" s="32" t="n">
        <f aca="false">E39</f>
        <v>25017.8057507459</v>
      </c>
      <c r="G231" s="32" t="n">
        <f aca="false">F39</f>
        <v>27173.4185000246</v>
      </c>
      <c r="H231" s="32" t="n">
        <f aca="false">G39</f>
        <v>28959.5840151353</v>
      </c>
      <c r="I231" s="34"/>
      <c r="J231" s="34"/>
      <c r="K231" s="34"/>
      <c r="L231" s="34"/>
      <c r="M231" s="34"/>
      <c r="N231" s="34"/>
    </row>
    <row r="232" customFormat="false" ht="16.5" hidden="false" customHeight="true" outlineLevel="0" collapsed="false">
      <c r="A232" s="5" t="s">
        <v>596</v>
      </c>
      <c r="B232" s="159" t="n">
        <f aca="false">'00-三表与联动'!F149</f>
        <v>11219</v>
      </c>
      <c r="C232" s="32" t="n">
        <f aca="false">B45</f>
        <v>23428.2155185859</v>
      </c>
      <c r="D232" s="32" t="n">
        <f aca="false">C45</f>
        <v>17247.4537483782</v>
      </c>
      <c r="E232" s="32" t="n">
        <f aca="false">D45</f>
        <v>18566.0158071205</v>
      </c>
      <c r="F232" s="32" t="n">
        <f aca="false">E45</f>
        <v>22044.9725346944</v>
      </c>
      <c r="G232" s="32" t="n">
        <f aca="false">F45</f>
        <v>24055.1007180586</v>
      </c>
      <c r="H232" s="32" t="n">
        <f aca="false">G45</f>
        <v>25691.3969436481</v>
      </c>
      <c r="I232" s="34"/>
      <c r="J232" s="34"/>
      <c r="K232" s="34"/>
      <c r="L232" s="34"/>
      <c r="M232" s="34"/>
      <c r="N232" s="34"/>
    </row>
    <row r="233" customFormat="false" ht="16.5" hidden="false" customHeight="true" outlineLevel="0" collapsed="false">
      <c r="A233" s="5" t="s">
        <v>266</v>
      </c>
      <c r="B233" s="160" t="n">
        <f aca="false">'00-三表与联动'!F30/'00-三表与联动'!F28</f>
        <v>0.71473725800079</v>
      </c>
      <c r="C233" s="43" t="n">
        <f aca="false">B34</f>
        <v>0.805830348999053</v>
      </c>
      <c r="D233" s="43" t="n">
        <f aca="false">C34</f>
        <v>0.66</v>
      </c>
      <c r="E233" s="43" t="n">
        <f aca="false">D34</f>
        <v>0.7</v>
      </c>
      <c r="F233" s="43" t="n">
        <f aca="false">E34</f>
        <v>0.72</v>
      </c>
      <c r="G233" s="43" t="n">
        <f aca="false">F34</f>
        <v>0.7</v>
      </c>
      <c r="H233" s="43" t="n">
        <f aca="false">G34</f>
        <v>0.68</v>
      </c>
      <c r="I233" s="34"/>
      <c r="J233" s="34"/>
      <c r="K233" s="34"/>
      <c r="L233" s="34"/>
      <c r="M233" s="34"/>
      <c r="N233" s="34"/>
    </row>
    <row r="234" customFormat="false" ht="16.5" hidden="false" customHeight="true" outlineLevel="0" collapsed="false">
      <c r="A234" s="5" t="s">
        <v>597</v>
      </c>
      <c r="B234" s="160" t="n">
        <f aca="false">'00-三表与联动'!F39/'00-三表与联动'!F28</f>
        <v>0.61186290003951</v>
      </c>
      <c r="C234" s="43" t="n">
        <f aca="false">B38</f>
        <v>0.747830348999053</v>
      </c>
      <c r="D234" s="43" t="n">
        <f aca="false">C38</f>
        <v>0.602</v>
      </c>
      <c r="E234" s="43" t="n">
        <f aca="false">D38</f>
        <v>0.642</v>
      </c>
      <c r="F234" s="43" t="n">
        <f aca="false">E38</f>
        <v>0.662</v>
      </c>
      <c r="G234" s="43" t="n">
        <f aca="false">F38</f>
        <v>0.642</v>
      </c>
      <c r="H234" s="43" t="n">
        <f aca="false">G38</f>
        <v>0.622</v>
      </c>
      <c r="I234" s="34"/>
      <c r="J234" s="34"/>
      <c r="K234" s="34"/>
      <c r="L234" s="34"/>
      <c r="M234" s="34"/>
      <c r="N234" s="34"/>
    </row>
    <row r="235" customFormat="false" ht="16.5" hidden="false" customHeight="true" outlineLevel="0" collapsed="false">
      <c r="A235" s="155" t="s">
        <v>598</v>
      </c>
      <c r="B235" s="160" t="n">
        <f aca="false">'00-三表与联动'!F149/'00-三表与联动'!F28</f>
        <v>0.554079415250889</v>
      </c>
      <c r="C235" s="43" t="n">
        <f aca="false">B46</f>
        <v>0.5598140756536</v>
      </c>
      <c r="D235" s="43" t="n">
        <f aca="false">C46</f>
        <v>0.502592195121951</v>
      </c>
      <c r="E235" s="43" t="n">
        <f aca="false">D46</f>
        <v>0.474574736842105</v>
      </c>
      <c r="F235" s="43" t="n">
        <f aca="false">E46</f>
        <v>0.490001739130435</v>
      </c>
      <c r="G235" s="43" t="n">
        <f aca="false">F46</f>
        <v>0.477394285714286</v>
      </c>
      <c r="H235" s="43" t="n">
        <f aca="false">G46</f>
        <v>0.463516363636364</v>
      </c>
      <c r="I235" s="34"/>
      <c r="J235" s="34"/>
      <c r="K235" s="34"/>
      <c r="L235" s="34"/>
      <c r="M235" s="34"/>
      <c r="N235" s="34"/>
    </row>
    <row r="236" customFormat="false" ht="16.5" hidden="false" customHeight="true" outlineLevel="0" collapsed="false">
      <c r="A236" s="5" t="s">
        <v>599</v>
      </c>
      <c r="B236" s="161" t="n">
        <f aca="false">'00-三表与联动'!F52</f>
        <v>73.76</v>
      </c>
      <c r="C236" s="100" t="n">
        <f aca="false">B37*(1-$B$201)/'00-三表与联动'!$B$9</f>
        <v>169.607897470835</v>
      </c>
      <c r="D236" s="100" t="n">
        <f aca="false">C37*(1-$B$201)/'00-三表与联动'!$B$9</f>
        <v>111.95753504731</v>
      </c>
      <c r="E236" s="100" t="n">
        <f aca="false">D37*(1-$B$201)/'00-三表与联动'!$B$9</f>
        <v>136.112094269809</v>
      </c>
      <c r="F236" s="100" t="n">
        <f aca="false">E37*(1-$B$201)/'00-三表与联动'!$B$9</f>
        <v>161.405198391909</v>
      </c>
      <c r="G236" s="100" t="n">
        <f aca="false">F37*(1-$B$201)/'00-三表与联动'!$B$9</f>
        <v>175.312377419514</v>
      </c>
      <c r="H236" s="100" t="n">
        <f aca="false">G37*(1-$B$201)/'00-三表与联动'!$B$9</f>
        <v>186.836025904099</v>
      </c>
      <c r="I236" s="34"/>
      <c r="J236" s="34"/>
      <c r="K236" s="34"/>
      <c r="L236" s="34"/>
      <c r="M236" s="34"/>
      <c r="N236" s="34"/>
    </row>
    <row r="237" customFormat="false" ht="16.5" hidden="false" customHeight="true" outlineLevel="0" collapsed="false">
      <c r="A237" s="5" t="s">
        <v>600</v>
      </c>
      <c r="B237" s="160" t="n">
        <f aca="false">'00-三表与联动'!F28/7355-1</f>
        <v>1.75295717199184</v>
      </c>
      <c r="C237" s="43" t="n">
        <f aca="false">B33</f>
        <v>1.06687048908751</v>
      </c>
      <c r="D237" s="43" t="n">
        <f aca="false">C33</f>
        <v>-0.18</v>
      </c>
      <c r="E237" s="43" t="n">
        <f aca="false">D33</f>
        <v>0.14</v>
      </c>
      <c r="F237" s="43" t="n">
        <f aca="false">E33</f>
        <v>0.15</v>
      </c>
      <c r="G237" s="43" t="n">
        <f aca="false">F33</f>
        <v>0.12</v>
      </c>
      <c r="H237" s="43" t="n">
        <f aca="false">G33</f>
        <v>0.1</v>
      </c>
      <c r="I237" s="34"/>
      <c r="J237" s="34"/>
      <c r="K237" s="34"/>
      <c r="L237" s="34"/>
      <c r="M237" s="34"/>
      <c r="N237" s="34"/>
    </row>
    <row r="238" customFormat="false" ht="16.5" hidden="false" customHeight="true" outlineLevel="0" collapsed="false">
      <c r="A238" s="5" t="s">
        <v>403</v>
      </c>
      <c r="B238" s="162" t="n">
        <f aca="false">'00-三表与联动'!$B$9</f>
        <v>155</v>
      </c>
      <c r="C238" s="97" t="n">
        <f aca="false">B97</f>
        <v>140.546424225545</v>
      </c>
      <c r="D238" s="97" t="n">
        <f aca="false">C97</f>
        <v>131.068684662651</v>
      </c>
      <c r="E238" s="97" t="n">
        <f aca="false">D97</f>
        <v>121.972072979702</v>
      </c>
      <c r="F238" s="97" t="n">
        <f aca="false">E97</f>
        <v>112.320637637364</v>
      </c>
      <c r="G238" s="97" t="n">
        <f aca="false">F97</f>
        <v>102.923496086514</v>
      </c>
      <c r="H238" s="97" t="n">
        <f aca="false">G97</f>
        <v>93.9690813671454</v>
      </c>
      <c r="I238" s="34"/>
      <c r="J238" s="34"/>
      <c r="K238" s="34"/>
      <c r="L238" s="34"/>
      <c r="M238" s="34"/>
      <c r="N238" s="34"/>
    </row>
    <row r="239" customFormat="false" ht="16.5" hidden="false" customHeight="true" outlineLevel="0" collapsed="false">
      <c r="A239" s="5" t="s">
        <v>601</v>
      </c>
      <c r="B239" s="161" t="n">
        <f aca="false">'00-三表与联动'!F52</f>
        <v>73.76</v>
      </c>
      <c r="C239" s="100" t="n">
        <f aca="false">B100</f>
        <v>187.050109974988</v>
      </c>
      <c r="D239" s="100" t="n">
        <f aca="false">C100</f>
        <v>132.399420784589</v>
      </c>
      <c r="E239" s="100" t="n">
        <f aca="false">D100</f>
        <v>172.968894406929</v>
      </c>
      <c r="F239" s="100" t="n">
        <f aca="false">E100</f>
        <v>222.735610097922</v>
      </c>
      <c r="G239" s="100" t="n">
        <f aca="false">F100</f>
        <v>264.01569644684</v>
      </c>
      <c r="H239" s="100" t="n">
        <f aca="false">G100</f>
        <v>308.182048752692</v>
      </c>
      <c r="I239" s="34"/>
      <c r="J239" s="34"/>
      <c r="K239" s="34"/>
      <c r="L239" s="34"/>
      <c r="M239" s="34"/>
      <c r="N239" s="34"/>
    </row>
    <row r="240" customFormat="false" ht="20.25" hidden="false" customHeight="true" outlineLevel="0" collapsed="false">
      <c r="A240" s="163" t="s">
        <v>602</v>
      </c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</row>
    <row r="483" customFormat="false" ht="58.5" hidden="false" customHeight="true" outlineLevel="0" collapsed="false">
      <c r="A483" s="44" t="s">
        <v>603</v>
      </c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</row>
  </sheetData>
  <mergeCells count="314">
    <mergeCell ref="A1:N1"/>
    <mergeCell ref="A2:N2"/>
    <mergeCell ref="A4:N4"/>
    <mergeCell ref="A5:N5"/>
    <mergeCell ref="A6:N6"/>
    <mergeCell ref="A7:N7"/>
    <mergeCell ref="A8:N8"/>
    <mergeCell ref="A9:N9"/>
    <mergeCell ref="A11:N11"/>
    <mergeCell ref="G13:N13"/>
    <mergeCell ref="G14:N14"/>
    <mergeCell ref="G15:N15"/>
    <mergeCell ref="G16:N16"/>
    <mergeCell ref="G17:N17"/>
    <mergeCell ref="G18:N18"/>
    <mergeCell ref="G19:N19"/>
    <mergeCell ref="G20:N20"/>
    <mergeCell ref="G21:N21"/>
    <mergeCell ref="G22:N22"/>
    <mergeCell ref="G23:N23"/>
    <mergeCell ref="G24:N24"/>
    <mergeCell ref="G25:N25"/>
    <mergeCell ref="G26:N26"/>
    <mergeCell ref="G27:N27"/>
    <mergeCell ref="A28:N28"/>
    <mergeCell ref="A30:N30"/>
    <mergeCell ref="I32:N32"/>
    <mergeCell ref="I33:N33"/>
    <mergeCell ref="I34:N34"/>
    <mergeCell ref="I35:N35"/>
    <mergeCell ref="I36:N36"/>
    <mergeCell ref="I37:N37"/>
    <mergeCell ref="I38:N38"/>
    <mergeCell ref="I39:N39"/>
    <mergeCell ref="I40:N40"/>
    <mergeCell ref="I41:N41"/>
    <mergeCell ref="I42:N42"/>
    <mergeCell ref="I43:N43"/>
    <mergeCell ref="I44:N44"/>
    <mergeCell ref="I45:N45"/>
    <mergeCell ref="I46:N46"/>
    <mergeCell ref="I47:N47"/>
    <mergeCell ref="I48:N48"/>
    <mergeCell ref="I49:N49"/>
    <mergeCell ref="A51:N51"/>
    <mergeCell ref="B53:C53"/>
    <mergeCell ref="D53:N53"/>
    <mergeCell ref="B54:C54"/>
    <mergeCell ref="D54:N54"/>
    <mergeCell ref="B55:C55"/>
    <mergeCell ref="D55:N55"/>
    <mergeCell ref="B56:C56"/>
    <mergeCell ref="D56:N56"/>
    <mergeCell ref="B57:C57"/>
    <mergeCell ref="D57:N57"/>
    <mergeCell ref="B58:C58"/>
    <mergeCell ref="D58:N58"/>
    <mergeCell ref="A60:N60"/>
    <mergeCell ref="B62:C62"/>
    <mergeCell ref="D62:N62"/>
    <mergeCell ref="B63:C63"/>
    <mergeCell ref="D63:N63"/>
    <mergeCell ref="B64:C64"/>
    <mergeCell ref="D64:N64"/>
    <mergeCell ref="B65:C65"/>
    <mergeCell ref="D65:N65"/>
    <mergeCell ref="B66:C66"/>
    <mergeCell ref="D66:N66"/>
    <mergeCell ref="B67:C67"/>
    <mergeCell ref="D67:N67"/>
    <mergeCell ref="B68:C68"/>
    <mergeCell ref="D68:N68"/>
    <mergeCell ref="B69:C69"/>
    <mergeCell ref="D69:N69"/>
    <mergeCell ref="B70:C70"/>
    <mergeCell ref="D70:N70"/>
    <mergeCell ref="B71:C71"/>
    <mergeCell ref="D71:N71"/>
    <mergeCell ref="B72:C72"/>
    <mergeCell ref="D72:N72"/>
    <mergeCell ref="B73:C73"/>
    <mergeCell ref="D73:N73"/>
    <mergeCell ref="B74:C74"/>
    <mergeCell ref="D74:N74"/>
    <mergeCell ref="A75:N75"/>
    <mergeCell ref="A77:N77"/>
    <mergeCell ref="B79:C79"/>
    <mergeCell ref="D79:E79"/>
    <mergeCell ref="F79:N79"/>
    <mergeCell ref="B80:C80"/>
    <mergeCell ref="D80:E80"/>
    <mergeCell ref="F80:N80"/>
    <mergeCell ref="B81:C81"/>
    <mergeCell ref="D81:E81"/>
    <mergeCell ref="F81:N81"/>
    <mergeCell ref="B82:C82"/>
    <mergeCell ref="D82:E82"/>
    <mergeCell ref="F82:N82"/>
    <mergeCell ref="B83:C83"/>
    <mergeCell ref="D83:E83"/>
    <mergeCell ref="F83:N83"/>
    <mergeCell ref="A85:N85"/>
    <mergeCell ref="A86:N86"/>
    <mergeCell ref="A87:N87"/>
    <mergeCell ref="A88:N88"/>
    <mergeCell ref="H90:N90"/>
    <mergeCell ref="H91:N91"/>
    <mergeCell ref="H92:N92"/>
    <mergeCell ref="H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H102:N102"/>
    <mergeCell ref="H103:N103"/>
    <mergeCell ref="H104:N104"/>
    <mergeCell ref="H105:N105"/>
    <mergeCell ref="A107:N107"/>
    <mergeCell ref="I109:N109"/>
    <mergeCell ref="I110:N110"/>
    <mergeCell ref="I111:N111"/>
    <mergeCell ref="A112:N112"/>
    <mergeCell ref="A114:N114"/>
    <mergeCell ref="B116:C116"/>
    <mergeCell ref="D116:N116"/>
    <mergeCell ref="B117:C117"/>
    <mergeCell ref="D117:N117"/>
    <mergeCell ref="B118:C118"/>
    <mergeCell ref="D118:N118"/>
    <mergeCell ref="B119:C119"/>
    <mergeCell ref="D119:N119"/>
    <mergeCell ref="B120:C120"/>
    <mergeCell ref="D120:N120"/>
    <mergeCell ref="B121:C121"/>
    <mergeCell ref="D121:N121"/>
    <mergeCell ref="B122:C122"/>
    <mergeCell ref="D122:N122"/>
    <mergeCell ref="B123:C123"/>
    <mergeCell ref="D123:N123"/>
    <mergeCell ref="B124:C124"/>
    <mergeCell ref="D124:N124"/>
    <mergeCell ref="B125:C125"/>
    <mergeCell ref="D125:N125"/>
    <mergeCell ref="B126:C126"/>
    <mergeCell ref="D126:N126"/>
    <mergeCell ref="B127:C127"/>
    <mergeCell ref="D127:N127"/>
    <mergeCell ref="A128:N128"/>
    <mergeCell ref="A130:N130"/>
    <mergeCell ref="A131:N131"/>
    <mergeCell ref="C132:G132"/>
    <mergeCell ref="A133:A134"/>
    <mergeCell ref="B133:B134"/>
    <mergeCell ref="C133:G134"/>
    <mergeCell ref="H133:H134"/>
    <mergeCell ref="I133:I134"/>
    <mergeCell ref="J133:N134"/>
    <mergeCell ref="A135:A136"/>
    <mergeCell ref="B135:B136"/>
    <mergeCell ref="C135:G136"/>
    <mergeCell ref="H135:H136"/>
    <mergeCell ref="I135:I136"/>
    <mergeCell ref="J135:N136"/>
    <mergeCell ref="A137:A138"/>
    <mergeCell ref="B137:B138"/>
    <mergeCell ref="C137:G138"/>
    <mergeCell ref="H137:H138"/>
    <mergeCell ref="I137:I138"/>
    <mergeCell ref="J137:N138"/>
    <mergeCell ref="A139:A140"/>
    <mergeCell ref="B139:B140"/>
    <mergeCell ref="C139:G140"/>
    <mergeCell ref="H139:H140"/>
    <mergeCell ref="I139:I140"/>
    <mergeCell ref="J139:N140"/>
    <mergeCell ref="A141:A142"/>
    <mergeCell ref="B141:B142"/>
    <mergeCell ref="C141:G142"/>
    <mergeCell ref="H141:H142"/>
    <mergeCell ref="I141:I142"/>
    <mergeCell ref="J141:N142"/>
    <mergeCell ref="A144:N144"/>
    <mergeCell ref="G146:N146"/>
    <mergeCell ref="G147:N147"/>
    <mergeCell ref="G148:N148"/>
    <mergeCell ref="G149:N149"/>
    <mergeCell ref="G150:N150"/>
    <mergeCell ref="A151:N151"/>
    <mergeCell ref="A153:N153"/>
    <mergeCell ref="G155:N155"/>
    <mergeCell ref="G156:N156"/>
    <mergeCell ref="G157:N157"/>
    <mergeCell ref="G158:N158"/>
    <mergeCell ref="G159:N159"/>
    <mergeCell ref="G160:N160"/>
    <mergeCell ref="A161:N161"/>
    <mergeCell ref="A164:N164"/>
    <mergeCell ref="A165:N165"/>
    <mergeCell ref="A166:G166"/>
    <mergeCell ref="H166:N166"/>
    <mergeCell ref="A173:N173"/>
    <mergeCell ref="A174:N174"/>
    <mergeCell ref="C176:D176"/>
    <mergeCell ref="E176:I176"/>
    <mergeCell ref="J176:N176"/>
    <mergeCell ref="C177:D177"/>
    <mergeCell ref="E177:I177"/>
    <mergeCell ref="J177:N177"/>
    <mergeCell ref="C178:D178"/>
    <mergeCell ref="E178:I178"/>
    <mergeCell ref="J178:N178"/>
    <mergeCell ref="C179:D179"/>
    <mergeCell ref="E179:I179"/>
    <mergeCell ref="J179:N179"/>
    <mergeCell ref="C180:D180"/>
    <mergeCell ref="E180:I180"/>
    <mergeCell ref="J180:N180"/>
    <mergeCell ref="A181:N181"/>
    <mergeCell ref="A183:N183"/>
    <mergeCell ref="A186:N186"/>
    <mergeCell ref="A187:N187"/>
    <mergeCell ref="C188:G188"/>
    <mergeCell ref="A189:A190"/>
    <mergeCell ref="B189:B190"/>
    <mergeCell ref="C189:G190"/>
    <mergeCell ref="H189:H190"/>
    <mergeCell ref="I189:I190"/>
    <mergeCell ref="J189:N190"/>
    <mergeCell ref="A191:A192"/>
    <mergeCell ref="B191:B192"/>
    <mergeCell ref="C191:G192"/>
    <mergeCell ref="H191:H192"/>
    <mergeCell ref="I191:I192"/>
    <mergeCell ref="J191:N192"/>
    <mergeCell ref="A193:A194"/>
    <mergeCell ref="B193:B194"/>
    <mergeCell ref="C193:G194"/>
    <mergeCell ref="H193:H194"/>
    <mergeCell ref="I193:I194"/>
    <mergeCell ref="J193:N194"/>
    <mergeCell ref="A195:A196"/>
    <mergeCell ref="B195:B196"/>
    <mergeCell ref="C195:G196"/>
    <mergeCell ref="H195:H196"/>
    <mergeCell ref="I195:I196"/>
    <mergeCell ref="J195:N196"/>
    <mergeCell ref="A197:A198"/>
    <mergeCell ref="B197:B198"/>
    <mergeCell ref="C197:G198"/>
    <mergeCell ref="H197:H198"/>
    <mergeCell ref="I197:I198"/>
    <mergeCell ref="J197:N198"/>
    <mergeCell ref="A199:A200"/>
    <mergeCell ref="B199:B200"/>
    <mergeCell ref="C199:G200"/>
    <mergeCell ref="H199:H200"/>
    <mergeCell ref="I199:I200"/>
    <mergeCell ref="J199:N200"/>
    <mergeCell ref="A201:A202"/>
    <mergeCell ref="B201:B202"/>
    <mergeCell ref="C201:G202"/>
    <mergeCell ref="H201:H202"/>
    <mergeCell ref="I201:I202"/>
    <mergeCell ref="J201:N202"/>
    <mergeCell ref="A203:A204"/>
    <mergeCell ref="B203:B204"/>
    <mergeCell ref="C203:G204"/>
    <mergeCell ref="H203:H204"/>
    <mergeCell ref="I203:I204"/>
    <mergeCell ref="J203:N204"/>
    <mergeCell ref="A205:A206"/>
    <mergeCell ref="B205:B206"/>
    <mergeCell ref="C205:G206"/>
    <mergeCell ref="H205:H206"/>
    <mergeCell ref="I205:I206"/>
    <mergeCell ref="J205:N206"/>
    <mergeCell ref="A207:A208"/>
    <mergeCell ref="B207:B208"/>
    <mergeCell ref="C207:G208"/>
    <mergeCell ref="H207:H208"/>
    <mergeCell ref="I207:I208"/>
    <mergeCell ref="J207:N208"/>
    <mergeCell ref="A209:A210"/>
    <mergeCell ref="B209:B210"/>
    <mergeCell ref="C209:G210"/>
    <mergeCell ref="H209:H210"/>
    <mergeCell ref="I209:I210"/>
    <mergeCell ref="J209:N210"/>
    <mergeCell ref="A211:A212"/>
    <mergeCell ref="B211:B212"/>
    <mergeCell ref="C211:G212"/>
    <mergeCell ref="H211:H212"/>
    <mergeCell ref="I211:I212"/>
    <mergeCell ref="J211:N212"/>
    <mergeCell ref="A213:N213"/>
    <mergeCell ref="A217:N217"/>
    <mergeCell ref="A218:N218"/>
    <mergeCell ref="B220:C220"/>
    <mergeCell ref="E220:N220"/>
    <mergeCell ref="B221:C221"/>
    <mergeCell ref="E221:N221"/>
    <mergeCell ref="B222:C222"/>
    <mergeCell ref="E222:N222"/>
    <mergeCell ref="B223:C223"/>
    <mergeCell ref="E223:N223"/>
    <mergeCell ref="B224:C224"/>
    <mergeCell ref="E224:N224"/>
    <mergeCell ref="A226:N226"/>
    <mergeCell ref="A240:N240"/>
    <mergeCell ref="A483:N483"/>
  </mergeCells>
  <conditionalFormatting sqref="B74">
    <cfRule type="expression" priority="2" aboveAverage="0" equalAverage="0" bottom="0" percent="0" rank="0" text="" dxfId="2">
      <formula>$B$74&gt;0</formula>
    </cfRule>
    <cfRule type="expression" priority="3" aboveAverage="0" equalAverage="0" bottom="0" percent="0" rank="0" text="" dxfId="3">
      <formula>$B$74&lt;=0</formula>
    </cfRule>
  </conditionalFormatting>
  <conditionalFormatting sqref="I109">
    <cfRule type="expression" priority="4" aboveAverage="0" equalAverage="0" bottom="0" percent="0" rank="0" text="" dxfId="0">
      <formula>$I$109&gt;0</formula>
    </cfRule>
    <cfRule type="expression" priority="5" aboveAverage="0" equalAverage="0" bottom="0" percent="0" rank="0" text="" dxfId="1">
      <formula>$I$109&lt;=0</formula>
    </cfRule>
  </conditionalFormatting>
  <conditionalFormatting sqref="I110">
    <cfRule type="expression" priority="6" aboveAverage="0" equalAverage="0" bottom="0" percent="0" rank="0" text="" dxfId="0">
      <formula>$I$110&gt;0</formula>
    </cfRule>
    <cfRule type="expression" priority="7" aboveAverage="0" equalAverage="0" bottom="0" percent="0" rank="0" text="" dxfId="1">
      <formula>$I$110&lt;=0</formula>
    </cfRule>
  </conditionalFormatting>
  <conditionalFormatting sqref="I111">
    <cfRule type="expression" priority="8" aboveAverage="0" equalAverage="0" bottom="0" percent="0" rank="0" text="" dxfId="0">
      <formula>$I$111&gt;0</formula>
    </cfRule>
    <cfRule type="expression" priority="9" aboveAverage="0" equalAverage="0" bottom="0" percent="0" rank="0" text="" dxfId="1">
      <formula>$I$111&lt;=0</formula>
    </cfRule>
  </conditionalFormatting>
  <conditionalFormatting sqref="B125">
    <cfRule type="expression" priority="10" aboveAverage="0" equalAverage="0" bottom="0" percent="0" rank="0" text="" dxfId="2">
      <formula>$B$125&gt;0</formula>
    </cfRule>
    <cfRule type="expression" priority="11" aboveAverage="0" equalAverage="0" bottom="0" percent="0" rank="0" text="" dxfId="3">
      <formula>$B$125&lt;=0</formula>
    </cfRule>
  </conditionalFormatting>
  <conditionalFormatting sqref="B146:F150">
    <cfRule type="expression" priority="12" aboveAverage="0" equalAverage="0" bottom="0" percent="0" rank="0" text="" dxfId="4">
      <formula>AND(ISNUMBER(B146),B146&gt;'00-三表与联动'!$B$6)</formula>
    </cfRule>
    <cfRule type="expression" priority="13" aboveAverage="0" equalAverage="0" bottom="0" percent="0" rank="0" text="" dxfId="5">
      <formula>AND(ISNUMBER(B146),B146&lt;='00-三表与联动'!$B$6)</formula>
    </cfRule>
  </conditionalFormatting>
  <conditionalFormatting sqref="B155:D160">
    <cfRule type="expression" priority="14" aboveAverage="0" equalAverage="0" bottom="0" percent="0" rank="0" text="" dxfId="0">
      <formula>AND(ISNUMBER(B155),B155&gt;'00-三表与联动'!$B$6)</formula>
    </cfRule>
    <cfRule type="expression" priority="15" aboveAverage="0" equalAverage="0" bottom="0" percent="0" rank="0" text="" dxfId="1">
      <formula>AND(ISNUMBER(B155),B155&lt;='00-三表与联动'!$B$6)</formula>
    </cfRule>
  </conditionalFormatting>
  <conditionalFormatting sqref="B168:F172">
    <cfRule type="expression" priority="16" aboveAverage="0" equalAverage="0" bottom="0" percent="0" rank="0" text="" dxfId="4">
      <formula>AND(ISNUMBER(B168),B168&gt;'00-三表与联动'!$B$6)</formula>
    </cfRule>
    <cfRule type="expression" priority="17" aboveAverage="0" equalAverage="0" bottom="0" percent="0" rank="0" text="" dxfId="5">
      <formula>AND(ISNUMBER(B168),B168&lt;='00-三表与联动'!$B$6)</formula>
    </cfRule>
  </conditionalFormatting>
  <conditionalFormatting sqref="I168:M172">
    <cfRule type="expression" priority="18" aboveAverage="0" equalAverage="0" bottom="0" percent="0" rank="0" text="" dxfId="4">
      <formula>AND(ISNUMBER(B168),B168&gt;'00-三表与联动'!$B$6)</formula>
    </cfRule>
    <cfRule type="expression" priority="19" aboveAverage="0" equalAverage="0" bottom="0" percent="0" rank="0" text="" dxfId="5">
      <formula>AND(ISNUMBER(B168),B168&lt;='00-三表与联动'!$B$6)</formula>
    </cfRule>
  </conditionalFormatting>
  <conditionalFormatting sqref="B215">
    <cfRule type="expression" priority="20" aboveAverage="0" equalAverage="0" bottom="0" percent="0" rank="0" text="" dxfId="6">
      <formula>$B$215&gt;0</formula>
    </cfRule>
    <cfRule type="expression" priority="21" aboveAverage="0" equalAverage="0" bottom="0" percent="0" rank="0" text="" dxfId="7">
      <formula>$B$215&lt;=0</formula>
    </cfRule>
  </conditionalFormatting>
  <conditionalFormatting sqref="D220">
    <cfRule type="expression" priority="22" aboveAverage="0" equalAverage="0" bottom="0" percent="0" rank="0" text="" dxfId="0">
      <formula>$D$220&gt;0</formula>
    </cfRule>
    <cfRule type="expression" priority="23" aboveAverage="0" equalAverage="0" bottom="0" percent="0" rank="0" text="" dxfId="1">
      <formula>$D$220&lt;=0</formula>
    </cfRule>
  </conditionalFormatting>
  <conditionalFormatting sqref="D221">
    <cfRule type="expression" priority="24" aboveAverage="0" equalAverage="0" bottom="0" percent="0" rank="0" text="" dxfId="0">
      <formula>$D$221&gt;0</formula>
    </cfRule>
    <cfRule type="expression" priority="25" aboveAverage="0" equalAverage="0" bottom="0" percent="0" rank="0" text="" dxfId="1">
      <formula>$D$221&lt;=0</formula>
    </cfRule>
  </conditionalFormatting>
  <conditionalFormatting sqref="D222">
    <cfRule type="expression" priority="26" aboveAverage="0" equalAverage="0" bottom="0" percent="0" rank="0" text="" dxfId="0">
      <formula>$D$222&gt;0</formula>
    </cfRule>
    <cfRule type="expression" priority="27" aboveAverage="0" equalAverage="0" bottom="0" percent="0" rank="0" text="" dxfId="1">
      <formula>$D$222&lt;=0</formula>
    </cfRule>
  </conditionalFormatting>
  <conditionalFormatting sqref="D223">
    <cfRule type="expression" priority="28" aboveAverage="0" equalAverage="0" bottom="0" percent="0" rank="0" text="" dxfId="0">
      <formula>$D$223&gt;0</formula>
    </cfRule>
    <cfRule type="expression" priority="29" aboveAverage="0" equalAverage="0" bottom="0" percent="0" rank="0" text="" dxfId="1">
      <formula>$D$223&lt;=0</formula>
    </cfRule>
  </conditionalFormatting>
  <conditionalFormatting sqref="D224">
    <cfRule type="expression" priority="30" aboveAverage="0" equalAverage="0" bottom="0" percent="0" rank="0" text="" dxfId="0">
      <formula>$D$224&gt;0</formula>
    </cfRule>
    <cfRule type="expression" priority="31" aboveAverage="0" equalAverage="0" bottom="0" percent="0" rank="0" text="" dxfId="1">
      <formula>$D$224&lt;=0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xmlns:r="http://schemas.openxmlformats.org/officeDocument/2006/relationships" r:id="rId2"/>
  <mc:AlternateContent xmlns:mc="http://schemas.openxmlformats.org/markup-compatibility/2006">
    <mc:Choice xmlns:x14="http://schemas.microsoft.com/office/spreadsheetml/2009/9/main" xmlns:xdr="http://schemas.openxmlformats.org/drawingml/2006/spreadsheetDrawing" xmlns:r="http://schemas.openxmlformats.org/officeDocument/2006/relationships" Requires="x14">
      <controls>
        <mc:AlternateContent xmlns:mc="http://schemas.openxmlformats.org/markup-compatibility/2006">
          <mc:Choice Requires="x14">
            <control shapeId="1042" r:id="rId3" name="Scroll Bar 18">
              <controlPr defaultSize="0" autoLine="0" autoPict="0" altText="" linkedCell="'02-DCF-基准'!$H$133" print="0">
                <anchor moveWithCells="1" sizeWithCells="0">
                  <from>
                    <xdr:col>2</xdr:col>
                    <xdr:colOff>19050</xdr:colOff>
                    <xdr:row>132</xdr:row>
                    <xdr:rowOff>25400</xdr:rowOff>
                  </from>
                  <to>
                    <xdr:col>7</xdr:col>
                    <xdr:colOff>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4" name="Scroll Bar 19">
              <controlPr defaultSize="0" autoLine="0" autoPict="0" altText="" linkedCell="'02-DCF-基准'!$H$135" print="0">
                <anchor moveWithCells="1" sizeWithCells="0">
                  <from>
                    <xdr:col>2</xdr:col>
                    <xdr:colOff>19050</xdr:colOff>
                    <xdr:row>134</xdr:row>
                    <xdr:rowOff>25400</xdr:rowOff>
                  </from>
                  <to>
                    <xdr:col>7</xdr:col>
                    <xdr:colOff>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5" name="Scroll Bar 20">
              <controlPr defaultSize="0" autoLine="0" autoPict="0" altText="" linkedCell="'02-DCF-基准'!$H$137" print="0">
                <anchor moveWithCells="1" sizeWithCells="0">
                  <from>
                    <xdr:col>2</xdr:col>
                    <xdr:colOff>19050</xdr:colOff>
                    <xdr:row>136</xdr:row>
                    <xdr:rowOff>25400</xdr:rowOff>
                  </from>
                  <to>
                    <xdr:col>7</xdr:col>
                    <xdr:colOff>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6" name="Scroll Bar 21">
              <controlPr defaultSize="0" autoLine="0" autoPict="0" altText="" linkedCell="'02-DCF-基准'!$H$139" print="0">
                <anchor moveWithCells="1" sizeWithCells="0">
                  <from>
                    <xdr:col>2</xdr:col>
                    <xdr:colOff>19050</xdr:colOff>
                    <xdr:row>138</xdr:row>
                    <xdr:rowOff>25400</xdr:rowOff>
                  </from>
                  <to>
                    <xdr:col>7</xdr:col>
                    <xdr:colOff>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7" name="Scroll Bar 22">
              <controlPr defaultSize="0" autoLine="0" autoPict="0" altText="" linkedCell="'02-DCF-基准'!$H$141" print="0">
                <anchor moveWithCells="1" sizeWithCells="0">
                  <from>
                    <xdr:col>2</xdr:col>
                    <xdr:colOff>19050</xdr:colOff>
                    <xdr:row>140</xdr:row>
                    <xdr:rowOff>25400</xdr:rowOff>
                  </from>
                  <to>
                    <xdr:col>7</xdr:col>
                    <xdr:colOff>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8" name="Scroll Bar 23">
              <controlPr defaultSize="0" autoLine="0" autoPict="0" altText="" linkedCell="'02-DCF-基准'!$H$189" print="0">
                <anchor moveWithCells="1" sizeWithCells="0">
                  <from>
                    <xdr:col>2</xdr:col>
                    <xdr:colOff>19050</xdr:colOff>
                    <xdr:row>188</xdr:row>
                    <xdr:rowOff>25400</xdr:rowOff>
                  </from>
                  <to>
                    <xdr:col>7</xdr:col>
                    <xdr:colOff>0</xdr:colOff>
                    <xdr:row>190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9" name="Scroll Bar 24">
              <controlPr defaultSize="0" autoLine="0" autoPict="0" altText="" linkedCell="'02-DCF-基准'!$H$191" print="0">
                <anchor moveWithCells="1" sizeWithCells="0">
                  <from>
                    <xdr:col>2</xdr:col>
                    <xdr:colOff>19050</xdr:colOff>
                    <xdr:row>190</xdr:row>
                    <xdr:rowOff>25400</xdr:rowOff>
                  </from>
                  <to>
                    <xdr:col>7</xdr:col>
                    <xdr:colOff>0</xdr:colOff>
                    <xdr:row>192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0" name="Scroll Bar 25">
              <controlPr defaultSize="0" autoLine="0" autoPict="0" altText="" linkedCell="'02-DCF-基准'!$H$193" print="0">
                <anchor moveWithCells="1" sizeWithCells="0">
                  <from>
                    <xdr:col>2</xdr:col>
                    <xdr:colOff>19050</xdr:colOff>
                    <xdr:row>192</xdr:row>
                    <xdr:rowOff>25400</xdr:rowOff>
                  </from>
                  <to>
                    <xdr:col>7</xdr:col>
                    <xdr:colOff>0</xdr:colOff>
                    <xdr:row>194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1" name="Scroll Bar 26">
              <controlPr defaultSize="0" autoLine="0" autoPict="0" altText="" linkedCell="'02-DCF-基准'!$H$195" print="0">
                <anchor moveWithCells="1" sizeWithCells="0">
                  <from>
                    <xdr:col>2</xdr:col>
                    <xdr:colOff>19050</xdr:colOff>
                    <xdr:row>194</xdr:row>
                    <xdr:rowOff>25400</xdr:rowOff>
                  </from>
                  <to>
                    <xdr:col>7</xdr:col>
                    <xdr:colOff>0</xdr:colOff>
                    <xdr:row>196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2" name="Scroll Bar 27">
              <controlPr defaultSize="0" autoLine="0" autoPict="0" altText="" linkedCell="'02-DCF-基准'!$H$197" print="0">
                <anchor moveWithCells="1" sizeWithCells="0">
                  <from>
                    <xdr:col>2</xdr:col>
                    <xdr:colOff>19050</xdr:colOff>
                    <xdr:row>196</xdr:row>
                    <xdr:rowOff>25400</xdr:rowOff>
                  </from>
                  <to>
                    <xdr:col>7</xdr:col>
                    <xdr:colOff>0</xdr:colOff>
                    <xdr:row>198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3" name="Scroll Bar 28">
              <controlPr defaultSize="0" autoLine="0" autoPict="0" altText="" linkedCell="'02-DCF-基准'!$H$199" print="0">
                <anchor moveWithCells="1" sizeWithCells="0">
                  <from>
                    <xdr:col>2</xdr:col>
                    <xdr:colOff>19050</xdr:colOff>
                    <xdr:row>198</xdr:row>
                    <xdr:rowOff>25400</xdr:rowOff>
                  </from>
                  <to>
                    <xdr:col>7</xdr:col>
                    <xdr:colOff>0</xdr:colOff>
                    <xdr:row>200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4" name="Scroll Bar 29">
              <controlPr defaultSize="0" autoLine="0" autoPict="0" altText="" linkedCell="'02-DCF-基准'!$H$201" print="0">
                <anchor moveWithCells="1" sizeWithCells="0">
                  <from>
                    <xdr:col>2</xdr:col>
                    <xdr:colOff>19050</xdr:colOff>
                    <xdr:row>200</xdr:row>
                    <xdr:rowOff>25400</xdr:rowOff>
                  </from>
                  <to>
                    <xdr:col>7</xdr:col>
                    <xdr:colOff>0</xdr:colOff>
                    <xdr:row>202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5" name="Scroll Bar 30">
              <controlPr defaultSize="0" autoLine="0" autoPict="0" altText="" linkedCell="'02-DCF-基准'!$H$203" print="0">
                <anchor moveWithCells="1" sizeWithCells="0">
                  <from>
                    <xdr:col>2</xdr:col>
                    <xdr:colOff>19050</xdr:colOff>
                    <xdr:row>202</xdr:row>
                    <xdr:rowOff>25400</xdr:rowOff>
                  </from>
                  <to>
                    <xdr:col>7</xdr:col>
                    <xdr:colOff>0</xdr:colOff>
                    <xdr:row>204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6" name="Scroll Bar 31">
              <controlPr defaultSize="0" autoLine="0" autoPict="0" altText="" linkedCell="'02-DCF-基准'!$H$205" print="0">
                <anchor moveWithCells="1" sizeWithCells="0">
                  <from>
                    <xdr:col>2</xdr:col>
                    <xdr:colOff>19050</xdr:colOff>
                    <xdr:row>204</xdr:row>
                    <xdr:rowOff>25400</xdr:rowOff>
                  </from>
                  <to>
                    <xdr:col>7</xdr:col>
                    <xdr:colOff>0</xdr:colOff>
                    <xdr:row>206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7" name="Scroll Bar 32">
              <controlPr defaultSize="0" autoLine="0" autoPict="0" altText="" linkedCell="'02-DCF-基准'!$H$207" print="0">
                <anchor moveWithCells="1" sizeWithCells="0">
                  <from>
                    <xdr:col>2</xdr:col>
                    <xdr:colOff>19050</xdr:colOff>
                    <xdr:row>206</xdr:row>
                    <xdr:rowOff>25400</xdr:rowOff>
                  </from>
                  <to>
                    <xdr:col>7</xdr:col>
                    <xdr:colOff>0</xdr:colOff>
                    <xdr:row>208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8" name="Scroll Bar 33">
              <controlPr defaultSize="0" autoLine="0" autoPict="0" altText="" linkedCell="'02-DCF-基准'!$H$209" print="0">
                <anchor moveWithCells="1" sizeWithCells="0">
                  <from>
                    <xdr:col>2</xdr:col>
                    <xdr:colOff>19050</xdr:colOff>
                    <xdr:row>208</xdr:row>
                    <xdr:rowOff>25400</xdr:rowOff>
                  </from>
                  <to>
                    <xdr:col>7</xdr:col>
                    <xdr:colOff>0</xdr:colOff>
                    <xdr:row>210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9" name="Scroll Bar 34">
              <controlPr defaultSize="0" autoLine="0" autoPict="0" altText="" linkedCell="'02-DCF-基准'!$H$211" print="0">
                <anchor moveWithCells="1" sizeWithCells="0">
                  <from>
                    <xdr:col>2</xdr:col>
                    <xdr:colOff>19050</xdr:colOff>
                    <xdr:row>210</xdr:row>
                    <xdr:rowOff>25400</xdr:rowOff>
                  </from>
                  <to>
                    <xdr:col>7</xdr:col>
                    <xdr:colOff>0</xdr:colOff>
                    <xdr:row>212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min="1" max="1" width="29.71" customWidth="1"/>
    <col min="2" max="2" width="11.71" customWidth="1"/>
    <col min="3" max="3" width="11.71" customWidth="1"/>
    <col min="4" max="4" width="11.71" customWidth="1"/>
    <col min="5" max="5" width="11.71" customWidth="1"/>
    <col min="6" max="6" width="12.71" customWidth="1"/>
    <col min="7" max="7" width="11.71" customWidth="1"/>
    <col min="8" max="8" width="13.71" customWidth="1"/>
    <col min="9" max="9" width="14.71" customWidth="1"/>
    <col min="10" max="10" width="12.71" customWidth="1"/>
    <col min="11" max="11" width="12.71" customWidth="1"/>
    <col min="12" max="12" width="12.71" customWidth="1"/>
    <col min="13" max="13" width="13.71" customWidth="1"/>
    <col min="14" max="14" width="14.71" customWidth="1"/>
  </cols>
  <sheetData>
    <row r="1" customFormat="false" ht="37.5" hidden="false" customHeight="true" outlineLevel="0" collapsed="false">
      <c r="A1" s="1" t="s">
        <v>632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72" t="s">
        <v>248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customFormat="false" ht="24" hidden="false" customHeight="true" outlineLevel="0" collapsed="false">
      <c r="A4" s="194" t="s">
        <v>249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</row>
    <row r="5" customFormat="false" ht="33" hidden="false" customHeight="true" outlineLevel="0" collapsed="false">
      <c r="A5" s="74" t="s">
        <v>633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customFormat="false" ht="18.75" hidden="false" customHeight="true" outlineLevel="0" collapsed="false">
      <c r="A6" s="23" t="s">
        <v>634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customFormat="false" ht="18.75" hidden="false" customHeight="true" outlineLevel="0" collapsed="false">
      <c r="A7" s="23" t="s">
        <v>635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customFormat="false" ht="18.75" hidden="false" customHeight="true" outlineLevel="0" collapsed="false">
      <c r="A8" s="23" t="s">
        <v>636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customFormat="false" ht="18.75" hidden="false" customHeight="true" outlineLevel="0" collapsed="false">
      <c r="A9" s="23" t="s">
        <v>637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1" customFormat="false" ht="24" hidden="false" customHeight="true" outlineLevel="0" collapsed="false">
      <c r="A11" s="194" t="s">
        <v>255</v>
      </c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</row>
    <row r="12" customFormat="false" ht="27" hidden="false" customHeight="true" outlineLevel="0" collapsed="false">
      <c r="A12" s="4" t="s">
        <v>48</v>
      </c>
      <c r="B12" s="13" t="s">
        <v>256</v>
      </c>
      <c r="C12" s="13" t="s">
        <v>257</v>
      </c>
      <c r="D12" s="13" t="s">
        <v>258</v>
      </c>
      <c r="E12" s="13" t="s">
        <v>259</v>
      </c>
      <c r="F12" s="13" t="s">
        <v>260</v>
      </c>
      <c r="G12" s="4" t="s">
        <v>261</v>
      </c>
      <c r="H12" s="4"/>
      <c r="I12" s="4"/>
      <c r="J12" s="4"/>
      <c r="K12" s="4"/>
      <c r="L12" s="4"/>
      <c r="M12" s="4"/>
      <c r="N12" s="4"/>
    </row>
    <row r="13" customFormat="false" ht="16.5" hidden="false" customHeight="true" outlineLevel="0" collapsed="false">
      <c r="A13" s="35" t="s">
        <v>262</v>
      </c>
      <c r="B13" s="36" t="n">
        <f aca="false">$B$189</f>
        <v>10700</v>
      </c>
      <c r="C13" s="36" t="n">
        <f aca="false">B13*(1+0.121495+$B$191)</f>
        <v>11999.9965</v>
      </c>
      <c r="D13" s="36" t="n">
        <f aca="false">C13*(1+0.083333+$B$191)</f>
        <v>12999.9922083345</v>
      </c>
      <c r="E13" s="36" t="n">
        <f aca="false">D13*(1+0.038462+$B$191)</f>
        <v>13499.9979086515</v>
      </c>
      <c r="F13" s="195" t="n">
        <f aca="false">SUM(B13:E13)</f>
        <v>49199.986616986</v>
      </c>
      <c r="G13" s="68" t="s">
        <v>263</v>
      </c>
      <c r="H13" s="68"/>
      <c r="I13" s="68"/>
      <c r="J13" s="68"/>
      <c r="K13" s="68"/>
      <c r="L13" s="68"/>
      <c r="M13" s="68"/>
      <c r="N13" s="68"/>
    </row>
    <row r="14" customFormat="false" ht="16.5" hidden="false" customHeight="true" outlineLevel="0" collapsed="false">
      <c r="A14" s="31" t="s">
        <v>264</v>
      </c>
      <c r="B14" s="76" t="n">
        <f aca="false">B13/'00-三表与联动'!E28-1</f>
        <v>0.193530395984384</v>
      </c>
      <c r="C14" s="76" t="n">
        <f aca="false">C13/B13-1</f>
        <v>0.121495</v>
      </c>
      <c r="D14" s="76" t="n">
        <f aca="false">D13/C13-1</f>
        <v>0.0833330000000001</v>
      </c>
      <c r="E14" s="76" t="n">
        <f aca="false">E13/D13-1</f>
        <v>0.038462</v>
      </c>
      <c r="F14" s="196" t="n">
        <f aca="false">F13/'00-三表与联动'!F28-1</f>
        <v>1.42986895579741</v>
      </c>
      <c r="G14" s="68" t="s">
        <v>265</v>
      </c>
      <c r="H14" s="68"/>
      <c r="I14" s="68"/>
      <c r="J14" s="68"/>
      <c r="K14" s="68"/>
      <c r="L14" s="68"/>
      <c r="M14" s="68"/>
      <c r="N14" s="68"/>
    </row>
    <row r="15" customFormat="false" ht="16.5" hidden="false" customHeight="true" outlineLevel="0" collapsed="false">
      <c r="A15" s="31" t="s">
        <v>266</v>
      </c>
      <c r="B15" s="76" t="n">
        <f aca="false">MAX(0.05,MIN(0.92,0.848+$B$193))</f>
        <v>0.848</v>
      </c>
      <c r="C15" s="76" t="n">
        <f aca="false">MAX(0.05,MIN(0.92,0.85+$B$193))</f>
        <v>0.85</v>
      </c>
      <c r="D15" s="76" t="n">
        <f aca="false">MAX(0.05,MIN(0.92,0.85+$B$193))</f>
        <v>0.85</v>
      </c>
      <c r="E15" s="76" t="n">
        <f aca="false">MAX(0.05,MIN(0.92,0.845+$B$193))</f>
        <v>0.845</v>
      </c>
      <c r="F15" s="196" t="n">
        <f aca="false">F16/F13</f>
        <v>0.848193089151927</v>
      </c>
      <c r="G15" s="56" t="s">
        <v>267</v>
      </c>
      <c r="H15" s="56"/>
      <c r="I15" s="56"/>
      <c r="J15" s="56"/>
      <c r="K15" s="56"/>
      <c r="L15" s="56"/>
      <c r="M15" s="56"/>
      <c r="N15" s="56"/>
    </row>
    <row r="16" customFormat="false" ht="16.5" hidden="false" customHeight="true" outlineLevel="0" collapsed="false">
      <c r="A16" s="31" t="s">
        <v>268</v>
      </c>
      <c r="B16" s="32" t="n">
        <f aca="false">B13*B15</f>
        <v>9073.6</v>
      </c>
      <c r="C16" s="32" t="n">
        <f aca="false">C13*C15</f>
        <v>10199.997025</v>
      </c>
      <c r="D16" s="32" t="n">
        <f aca="false">D13*D15</f>
        <v>11049.9933770843</v>
      </c>
      <c r="E16" s="32" t="n">
        <f aca="false">E13*E15</f>
        <v>11407.4982328105</v>
      </c>
      <c r="F16" s="195" t="n">
        <f aca="false">SUM(B16:E16)</f>
        <v>41731.0886348948</v>
      </c>
      <c r="G16" s="56" t="s">
        <v>269</v>
      </c>
      <c r="H16" s="56"/>
      <c r="I16" s="56"/>
      <c r="J16" s="56"/>
      <c r="K16" s="56"/>
      <c r="L16" s="56"/>
      <c r="M16" s="56"/>
      <c r="N16" s="56"/>
    </row>
    <row r="17" customFormat="false" ht="16.5" hidden="false" customHeight="true" outlineLevel="0" collapsed="false">
      <c r="A17" s="31" t="s">
        <v>270</v>
      </c>
      <c r="B17" s="32" t="n">
        <f aca="false">B13*$B$199</f>
        <v>535</v>
      </c>
      <c r="C17" s="32" t="n">
        <f aca="false">C13*$B$199</f>
        <v>599.999825</v>
      </c>
      <c r="D17" s="32" t="n">
        <f aca="false">D13*$B$199</f>
        <v>649.999610416725</v>
      </c>
      <c r="E17" s="32" t="n">
        <f aca="false">E13*$B$199</f>
        <v>674.999895432573</v>
      </c>
      <c r="F17" s="195" t="n">
        <f aca="false">SUM(B17:E17)</f>
        <v>2459.9993308493</v>
      </c>
      <c r="G17" s="56" t="s">
        <v>271</v>
      </c>
      <c r="H17" s="56"/>
      <c r="I17" s="56"/>
      <c r="J17" s="56"/>
      <c r="K17" s="56"/>
      <c r="L17" s="56"/>
      <c r="M17" s="56"/>
      <c r="N17" s="56"/>
    </row>
    <row r="18" customFormat="false" ht="16.5" hidden="false" customHeight="true" outlineLevel="0" collapsed="false">
      <c r="A18" s="35" t="s">
        <v>272</v>
      </c>
      <c r="B18" s="36" t="n">
        <f aca="false">B16-B17</f>
        <v>8538.6</v>
      </c>
      <c r="C18" s="36" t="n">
        <f aca="false">C16-C17</f>
        <v>9599.9972</v>
      </c>
      <c r="D18" s="36" t="n">
        <f aca="false">D16-D17</f>
        <v>10399.9937666676</v>
      </c>
      <c r="E18" s="36" t="n">
        <f aca="false">E16-E17</f>
        <v>10732.4983373779</v>
      </c>
      <c r="F18" s="195" t="n">
        <f aca="false">SUM(B18:E18)</f>
        <v>39271.0893040455</v>
      </c>
      <c r="G18" s="56" t="s">
        <v>273</v>
      </c>
      <c r="H18" s="56"/>
      <c r="I18" s="56"/>
      <c r="J18" s="56"/>
      <c r="K18" s="56"/>
      <c r="L18" s="56"/>
      <c r="M18" s="56"/>
      <c r="N18" s="56"/>
    </row>
    <row r="19" customFormat="false" ht="16.5" hidden="false" customHeight="true" outlineLevel="0" collapsed="false">
      <c r="A19" s="31" t="s">
        <v>274</v>
      </c>
      <c r="B19" s="76" t="n">
        <f aca="false">B18/B13</f>
        <v>0.798</v>
      </c>
      <c r="C19" s="76" t="n">
        <f aca="false">C18/C13</f>
        <v>0.8</v>
      </c>
      <c r="D19" s="76" t="n">
        <f aca="false">D18/D13</f>
        <v>0.8</v>
      </c>
      <c r="E19" s="76" t="n">
        <f aca="false">E18/E13</f>
        <v>0.795</v>
      </c>
      <c r="F19" s="196" t="n">
        <f aca="false">F18/F13</f>
        <v>0.798193089151927</v>
      </c>
      <c r="G19" s="56" t="s">
        <v>275</v>
      </c>
      <c r="H19" s="56"/>
      <c r="I19" s="56"/>
      <c r="J19" s="56"/>
      <c r="K19" s="56"/>
      <c r="L19" s="56"/>
      <c r="M19" s="56"/>
      <c r="N19" s="56"/>
    </row>
    <row r="20" customFormat="false" ht="16.5" hidden="false" customHeight="true" outlineLevel="0" collapsed="false">
      <c r="A20" s="31" t="s">
        <v>276</v>
      </c>
      <c r="B20" s="32" t="n">
        <f aca="false">MAX(0,B18)*$B$201</f>
        <v>1280.79</v>
      </c>
      <c r="C20" s="32" t="n">
        <f aca="false">MAX(0,C18)*$B$201</f>
        <v>1439.99958</v>
      </c>
      <c r="D20" s="32" t="n">
        <f aca="false">MAX(0,D18)*$B$201</f>
        <v>1559.99906500014</v>
      </c>
      <c r="E20" s="32" t="n">
        <f aca="false">MAX(0,E18)*$B$201</f>
        <v>1609.87475060669</v>
      </c>
      <c r="F20" s="195" t="n">
        <f aca="false">SUM(B20:E20)</f>
        <v>5890.66339560683</v>
      </c>
      <c r="G20" s="56" t="s">
        <v>277</v>
      </c>
      <c r="H20" s="56"/>
      <c r="I20" s="56"/>
      <c r="J20" s="56"/>
      <c r="K20" s="56"/>
      <c r="L20" s="56"/>
      <c r="M20" s="56"/>
      <c r="N20" s="56"/>
    </row>
    <row r="21" customFormat="false" ht="16.5" hidden="false" customHeight="true" outlineLevel="0" collapsed="false">
      <c r="A21" s="35" t="s">
        <v>278</v>
      </c>
      <c r="B21" s="36" t="n">
        <f aca="false">B18-B20</f>
        <v>7257.81</v>
      </c>
      <c r="C21" s="36" t="n">
        <f aca="false">C18-C20</f>
        <v>8159.99762</v>
      </c>
      <c r="D21" s="36" t="n">
        <f aca="false">D18-D20</f>
        <v>8839.99470166746</v>
      </c>
      <c r="E21" s="36" t="n">
        <f aca="false">E18-E20</f>
        <v>9122.62358677123</v>
      </c>
      <c r="F21" s="195" t="n">
        <f aca="false">SUM(B21:E21)</f>
        <v>33380.4259084387</v>
      </c>
      <c r="G21" s="56" t="s">
        <v>279</v>
      </c>
      <c r="H21" s="56"/>
      <c r="I21" s="56"/>
      <c r="J21" s="56"/>
      <c r="K21" s="56"/>
      <c r="L21" s="56"/>
      <c r="M21" s="56"/>
      <c r="N21" s="56"/>
    </row>
    <row r="22" customFormat="false" ht="16.5" hidden="false" customHeight="true" outlineLevel="0" collapsed="false">
      <c r="A22" s="31" t="s">
        <v>280</v>
      </c>
      <c r="B22" s="32" t="n">
        <f aca="false">B13*0.0074</f>
        <v>79.18</v>
      </c>
      <c r="C22" s="32" t="n">
        <f aca="false">C13*0.0074</f>
        <v>88.7999741</v>
      </c>
      <c r="D22" s="32" t="n">
        <f aca="false">D13*0.0074</f>
        <v>96.1999423416753</v>
      </c>
      <c r="E22" s="32" t="n">
        <f aca="false">E13*0.0074</f>
        <v>99.8999845240208</v>
      </c>
      <c r="F22" s="195" t="n">
        <f aca="false">SUM(B22:E22)</f>
        <v>364.079900965696</v>
      </c>
      <c r="G22" s="56" t="s">
        <v>281</v>
      </c>
      <c r="H22" s="56"/>
      <c r="I22" s="56"/>
      <c r="J22" s="56"/>
      <c r="K22" s="56"/>
      <c r="L22" s="56"/>
      <c r="M22" s="56"/>
      <c r="N22" s="56"/>
    </row>
    <row r="23" customFormat="false" ht="16.5" hidden="false" customHeight="true" outlineLevel="0" collapsed="false">
      <c r="A23" s="31" t="s">
        <v>282</v>
      </c>
      <c r="B23" s="32" t="n">
        <f aca="false">-B13*$B$203</f>
        <v>-181.9</v>
      </c>
      <c r="C23" s="32" t="n">
        <f aca="false">-C13*$B$203</f>
        <v>-203.9999405</v>
      </c>
      <c r="D23" s="32" t="n">
        <f aca="false">-D13*$B$203</f>
        <v>-220.999867541687</v>
      </c>
      <c r="E23" s="32" t="n">
        <f aca="false">-E13*$B$203</f>
        <v>-229.499964447075</v>
      </c>
      <c r="F23" s="195" t="n">
        <f aca="false">SUM(B23:E23)</f>
        <v>-836.399772488762</v>
      </c>
      <c r="G23" s="56" t="s">
        <v>283</v>
      </c>
      <c r="H23" s="56"/>
      <c r="I23" s="56"/>
      <c r="J23" s="56"/>
      <c r="K23" s="56"/>
      <c r="L23" s="56"/>
      <c r="M23" s="56"/>
      <c r="N23" s="56"/>
    </row>
    <row r="24" customFormat="false" ht="16.5" hidden="false" customHeight="true" outlineLevel="0" collapsed="false">
      <c r="A24" s="48" t="s">
        <v>284</v>
      </c>
      <c r="B24" s="32" t="n">
        <f aca="false">-B13*$B$205</f>
        <v>-299.6</v>
      </c>
      <c r="C24" s="32" t="n">
        <f aca="false">-C13*$B$205</f>
        <v>-335.999902</v>
      </c>
      <c r="D24" s="32" t="n">
        <f aca="false">-D13*$B$205</f>
        <v>-363.999781833366</v>
      </c>
      <c r="E24" s="32" t="n">
        <f aca="false">-E13*$B$205</f>
        <v>-377.999941442241</v>
      </c>
      <c r="F24" s="195" t="n">
        <f aca="false">SUM(B24:E24)</f>
        <v>-1377.59962527561</v>
      </c>
      <c r="G24" s="56" t="s">
        <v>285</v>
      </c>
      <c r="H24" s="56"/>
      <c r="I24" s="56"/>
      <c r="J24" s="56"/>
      <c r="K24" s="56"/>
      <c r="L24" s="56"/>
      <c r="M24" s="56"/>
      <c r="N24" s="56"/>
    </row>
    <row r="25" customFormat="false" ht="16.5" hidden="false" customHeight="true" outlineLevel="0" collapsed="false">
      <c r="A25" s="31" t="s">
        <v>286</v>
      </c>
      <c r="B25" s="32" t="n">
        <f aca="false">B13*4*$B$207</f>
        <v>6848</v>
      </c>
      <c r="C25" s="32" t="n">
        <f aca="false">C13*4*$B$207</f>
        <v>7679.99776</v>
      </c>
      <c r="D25" s="32" t="n">
        <f aca="false">D13*4*$B$207</f>
        <v>8319.99501333408</v>
      </c>
      <c r="E25" s="32" t="n">
        <f aca="false">E13*4*$B$207</f>
        <v>8639.99866153694</v>
      </c>
      <c r="F25" s="195" t="n">
        <f aca="false">E25</f>
        <v>8639.99866153694</v>
      </c>
      <c r="G25" s="56" t="s">
        <v>287</v>
      </c>
      <c r="H25" s="56"/>
      <c r="I25" s="56"/>
      <c r="J25" s="56"/>
      <c r="K25" s="56"/>
      <c r="L25" s="56"/>
      <c r="M25" s="56"/>
      <c r="N25" s="56"/>
    </row>
    <row r="26" customFormat="false" ht="16.5" hidden="false" customHeight="true" outlineLevel="0" collapsed="false">
      <c r="A26" s="31" t="s">
        <v>288</v>
      </c>
      <c r="B26" s="32" t="n">
        <f aca="false">-(B25-'00-三表与联动'!E28*4*$B$207)</f>
        <v>-1110.4</v>
      </c>
      <c r="C26" s="32" t="n">
        <f aca="false">-(C25-B25)</f>
        <v>-831.997759999999</v>
      </c>
      <c r="D26" s="32" t="n">
        <f aca="false">-(D25-C25)</f>
        <v>-639.997253334082</v>
      </c>
      <c r="E26" s="32" t="n">
        <f aca="false">-(E25-D25)</f>
        <v>-320.003648202855</v>
      </c>
      <c r="F26" s="195" t="n">
        <f aca="false">SUM(B26:E26)</f>
        <v>-2902.39866153694</v>
      </c>
      <c r="G26" s="56" t="s">
        <v>289</v>
      </c>
      <c r="H26" s="56"/>
      <c r="I26" s="56"/>
      <c r="J26" s="56"/>
      <c r="K26" s="56"/>
      <c r="L26" s="56"/>
      <c r="M26" s="56"/>
      <c r="N26" s="56"/>
    </row>
    <row r="27" customFormat="false" ht="16.5" hidden="false" customHeight="true" outlineLevel="0" collapsed="false">
      <c r="A27" s="35" t="s">
        <v>290</v>
      </c>
      <c r="B27" s="197" t="n">
        <f aca="false">B21+B22+B23+B24+B26</f>
        <v>5745.09</v>
      </c>
      <c r="C27" s="197" t="n">
        <f aca="false">C21+C22+C23+C24+C26</f>
        <v>6876.7999916</v>
      </c>
      <c r="D27" s="197" t="n">
        <f aca="false">D21+D22+D23+D24+D26</f>
        <v>7711.1977413</v>
      </c>
      <c r="E27" s="197" t="n">
        <f aca="false">E21+E22+E23+E24+E26</f>
        <v>8295.02001720308</v>
      </c>
      <c r="F27" s="195" t="n">
        <f aca="false">SUM(B27:E27)</f>
        <v>28628.1077501031</v>
      </c>
      <c r="G27" s="56" t="s">
        <v>291</v>
      </c>
      <c r="H27" s="56"/>
      <c r="I27" s="56"/>
      <c r="J27" s="56"/>
      <c r="K27" s="56"/>
      <c r="L27" s="56"/>
      <c r="M27" s="56"/>
      <c r="N27" s="56"/>
    </row>
    <row r="28" customFormat="false" ht="20.25" hidden="false" customHeight="true" outlineLevel="0" collapsed="false">
      <c r="A28" s="44" t="s">
        <v>292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30" customFormat="false" ht="24" hidden="false" customHeight="true" outlineLevel="0" collapsed="false">
      <c r="A30" s="194" t="s">
        <v>293</v>
      </c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</row>
    <row r="31" customFormat="false" ht="27" hidden="false" customHeight="true" outlineLevel="0" collapsed="false">
      <c r="A31" s="4" t="s">
        <v>48</v>
      </c>
      <c r="B31" s="13" t="s">
        <v>294</v>
      </c>
      <c r="C31" s="13" t="s">
        <v>295</v>
      </c>
      <c r="D31" s="13" t="s">
        <v>296</v>
      </c>
      <c r="E31" s="13" t="s">
        <v>297</v>
      </c>
      <c r="F31" s="13" t="s">
        <v>298</v>
      </c>
      <c r="G31" s="13" t="s">
        <v>299</v>
      </c>
      <c r="H31" s="4" t="s">
        <v>300</v>
      </c>
      <c r="I31" s="4" t="s">
        <v>261</v>
      </c>
      <c r="J31" s="4"/>
      <c r="K31" s="4"/>
      <c r="L31" s="4"/>
      <c r="M31" s="4"/>
      <c r="N31" s="4"/>
    </row>
    <row r="32" customFormat="false" ht="16.5" hidden="false" customHeight="true" outlineLevel="0" collapsed="false">
      <c r="A32" s="35" t="s">
        <v>262</v>
      </c>
      <c r="B32" s="36" t="n">
        <f aca="false">F13</f>
        <v>49199.986616986</v>
      </c>
      <c r="C32" s="36" t="n">
        <f aca="false">B32*(1+0.18)</f>
        <v>58055.9842080434</v>
      </c>
      <c r="D32" s="36" t="n">
        <f aca="false">C32*(1+0.17+$B$197)</f>
        <v>67925.5015234108</v>
      </c>
      <c r="E32" s="36" t="n">
        <f aca="false">D32*(1+0.16+$B$197)</f>
        <v>78793.5817671566</v>
      </c>
      <c r="F32" s="36" t="n">
        <f aca="false">E32*(1+0.12+$B$197)</f>
        <v>88248.8115792153</v>
      </c>
      <c r="G32" s="36" t="n">
        <f aca="false">F32*(1+0.1+$B$197)</f>
        <v>97073.6927371369</v>
      </c>
      <c r="H32" s="79" t="n">
        <f aca="false">G32*(1+$B$211)</f>
        <v>100471.271982937</v>
      </c>
      <c r="I32" s="68" t="s">
        <v>301</v>
      </c>
      <c r="J32" s="68"/>
      <c r="K32" s="68"/>
      <c r="L32" s="68"/>
      <c r="M32" s="68"/>
      <c r="N32" s="68"/>
    </row>
    <row r="33" customFormat="false" ht="16.5" hidden="false" customHeight="true" outlineLevel="0" collapsed="false">
      <c r="A33" s="31" t="s">
        <v>302</v>
      </c>
      <c r="B33" s="76" t="n">
        <f aca="false">B32/'00-三表与联动'!F28-1</f>
        <v>1.42986895579741</v>
      </c>
      <c r="C33" s="76" t="n">
        <f aca="false">C32/B32-1</f>
        <v>0.18</v>
      </c>
      <c r="D33" s="76" t="n">
        <f aca="false">D32/C32-1</f>
        <v>0.17</v>
      </c>
      <c r="E33" s="76" t="n">
        <f aca="false">E32/D32-1</f>
        <v>0.16</v>
      </c>
      <c r="F33" s="76" t="n">
        <f aca="false">F32/E32-1</f>
        <v>0.12</v>
      </c>
      <c r="G33" s="76" t="n">
        <f aca="false">G32/F32-1</f>
        <v>0.1</v>
      </c>
      <c r="H33" s="80" t="n">
        <f aca="false">$B$211</f>
        <v>0.035</v>
      </c>
      <c r="I33" s="56" t="s">
        <v>303</v>
      </c>
      <c r="J33" s="56"/>
      <c r="K33" s="56"/>
      <c r="L33" s="56"/>
      <c r="M33" s="56"/>
      <c r="N33" s="56"/>
    </row>
    <row r="34" customFormat="false" ht="16.5" hidden="false" customHeight="true" outlineLevel="0" collapsed="false">
      <c r="A34" s="31" t="s">
        <v>266</v>
      </c>
      <c r="B34" s="76" t="n">
        <f aca="false">F16/F13</f>
        <v>0.848193089151927</v>
      </c>
      <c r="C34" s="76" t="n">
        <f aca="false">MAX(0.05,MIN(0.92,0.8+$B$193))</f>
        <v>0.8</v>
      </c>
      <c r="D34" s="76" t="n">
        <f aca="false">MAX(0.05,MIN(0.92,0.8+$B$193))</f>
        <v>0.8</v>
      </c>
      <c r="E34" s="76" t="n">
        <f aca="false">MAX(0.05,MIN(0.92,0.8+$B$193))</f>
        <v>0.8</v>
      </c>
      <c r="F34" s="76" t="n">
        <f aca="false">MAX(0.05,MIN(0.92,0.78+$B$193))</f>
        <v>0.78</v>
      </c>
      <c r="G34" s="76" t="n">
        <f aca="false">$B$195</f>
        <v>0.76</v>
      </c>
      <c r="H34" s="80" t="n">
        <f aca="false">G34</f>
        <v>0.76</v>
      </c>
      <c r="I34" s="56" t="s">
        <v>304</v>
      </c>
      <c r="J34" s="56"/>
      <c r="K34" s="56"/>
      <c r="L34" s="56"/>
      <c r="M34" s="56"/>
      <c r="N34" s="56"/>
    </row>
    <row r="35" customFormat="false" ht="16.5" hidden="false" customHeight="true" outlineLevel="0" collapsed="false">
      <c r="A35" s="31" t="s">
        <v>268</v>
      </c>
      <c r="B35" s="32" t="n">
        <f aca="false">B32*B34</f>
        <v>41731.0886348948</v>
      </c>
      <c r="C35" s="32" t="n">
        <f aca="false">C32*C34</f>
        <v>46444.7873664348</v>
      </c>
      <c r="D35" s="32" t="n">
        <f aca="false">D32*D34</f>
        <v>54340.4012187287</v>
      </c>
      <c r="E35" s="32" t="n">
        <f aca="false">E32*E34</f>
        <v>63034.8654137252</v>
      </c>
      <c r="F35" s="32" t="n">
        <f aca="false">F32*F34</f>
        <v>68834.073031788</v>
      </c>
      <c r="G35" s="32" t="n">
        <f aca="false">G32*G34</f>
        <v>73776.006480224</v>
      </c>
      <c r="H35" s="81" t="n">
        <f aca="false">H32*H34</f>
        <v>76358.1667070319</v>
      </c>
      <c r="I35" s="56" t="s">
        <v>269</v>
      </c>
      <c r="J35" s="56"/>
      <c r="K35" s="56"/>
      <c r="L35" s="56"/>
      <c r="M35" s="56"/>
      <c r="N35" s="56"/>
    </row>
    <row r="36" customFormat="false" ht="16.5" hidden="false" customHeight="true" outlineLevel="0" collapsed="false">
      <c r="A36" s="31" t="s">
        <v>270</v>
      </c>
      <c r="B36" s="32" t="n">
        <f aca="false">B32*$B$199</f>
        <v>2459.9993308493</v>
      </c>
      <c r="C36" s="32" t="n">
        <f aca="false">C32*$B$199</f>
        <v>2902.79921040217</v>
      </c>
      <c r="D36" s="32" t="n">
        <f aca="false">D32*$B$199</f>
        <v>3396.27507617054</v>
      </c>
      <c r="E36" s="32" t="n">
        <f aca="false">E32*$B$199</f>
        <v>3939.67908835783</v>
      </c>
      <c r="F36" s="32" t="n">
        <f aca="false">F32*$B$199</f>
        <v>4412.44057896077</v>
      </c>
      <c r="G36" s="32" t="n">
        <f aca="false">G32*$B$199</f>
        <v>4853.68463685684</v>
      </c>
      <c r="H36" s="81" t="n">
        <f aca="false">H32*$B$199</f>
        <v>5023.56359914683</v>
      </c>
      <c r="I36" s="56" t="s">
        <v>305</v>
      </c>
      <c r="J36" s="56"/>
      <c r="K36" s="56"/>
      <c r="L36" s="56"/>
      <c r="M36" s="56"/>
      <c r="N36" s="56"/>
    </row>
    <row r="37" customFormat="false" ht="16.5" hidden="false" customHeight="true" outlineLevel="0" collapsed="false">
      <c r="A37" s="35" t="s">
        <v>272</v>
      </c>
      <c r="B37" s="36" t="n">
        <f aca="false">B35-B36</f>
        <v>39271.0893040455</v>
      </c>
      <c r="C37" s="36" t="n">
        <f aca="false">C35-C36</f>
        <v>43541.9881560326</v>
      </c>
      <c r="D37" s="36" t="n">
        <f aca="false">D35-D36</f>
        <v>50944.1261425581</v>
      </c>
      <c r="E37" s="36" t="n">
        <f aca="false">E35-E36</f>
        <v>59095.1863253674</v>
      </c>
      <c r="F37" s="36" t="n">
        <f aca="false">F35-F36</f>
        <v>64421.6324528272</v>
      </c>
      <c r="G37" s="36" t="n">
        <f aca="false">G35-G36</f>
        <v>68922.3218433672</v>
      </c>
      <c r="H37" s="79" t="n">
        <f aca="false">H35-H36</f>
        <v>71334.603107885</v>
      </c>
      <c r="I37" s="56" t="s">
        <v>273</v>
      </c>
      <c r="J37" s="56"/>
      <c r="K37" s="56"/>
      <c r="L37" s="56"/>
      <c r="M37" s="56"/>
      <c r="N37" s="56"/>
    </row>
    <row r="38" customFormat="false" ht="16.5" hidden="false" customHeight="true" outlineLevel="0" collapsed="false">
      <c r="A38" s="31" t="s">
        <v>274</v>
      </c>
      <c r="B38" s="76" t="n">
        <f aca="false">B37/B32</f>
        <v>0.798193089151927</v>
      </c>
      <c r="C38" s="76" t="n">
        <f aca="false">C37/C32</f>
        <v>0.75</v>
      </c>
      <c r="D38" s="76" t="n">
        <f aca="false">D37/D32</f>
        <v>0.75</v>
      </c>
      <c r="E38" s="76" t="n">
        <f aca="false">E37/E32</f>
        <v>0.75</v>
      </c>
      <c r="F38" s="76" t="n">
        <f aca="false">F37/F32</f>
        <v>0.73</v>
      </c>
      <c r="G38" s="76" t="n">
        <f aca="false">G37/G32</f>
        <v>0.71</v>
      </c>
      <c r="H38" s="80" t="n">
        <f aca="false">H37/H32</f>
        <v>0.71</v>
      </c>
      <c r="I38" s="56" t="s">
        <v>306</v>
      </c>
      <c r="J38" s="56"/>
      <c r="K38" s="56"/>
      <c r="L38" s="56"/>
      <c r="M38" s="56"/>
      <c r="N38" s="56"/>
    </row>
    <row r="39" customFormat="false" ht="16.5" hidden="false" customHeight="true" outlineLevel="0" collapsed="false">
      <c r="A39" s="31" t="s">
        <v>307</v>
      </c>
      <c r="B39" s="32" t="n">
        <f aca="false">B37*(1-$B$201)</f>
        <v>33380.4259084387</v>
      </c>
      <c r="C39" s="32" t="n">
        <f aca="false">C37*(1-$B$201)</f>
        <v>37010.6899326277</v>
      </c>
      <c r="D39" s="32" t="n">
        <f aca="false">D37*(1-$B$201)</f>
        <v>43302.5072211744</v>
      </c>
      <c r="E39" s="32" t="n">
        <f aca="false">E37*(1-$B$201)</f>
        <v>50230.9083765623</v>
      </c>
      <c r="F39" s="32" t="n">
        <f aca="false">F37*(1-$B$201)</f>
        <v>54758.3875849031</v>
      </c>
      <c r="G39" s="32" t="n">
        <f aca="false">G37*(1-$B$201)</f>
        <v>58583.9735668621</v>
      </c>
      <c r="H39" s="81" t="n">
        <f aca="false">H37*(1-$B$201)</f>
        <v>60634.4126417023</v>
      </c>
      <c r="I39" s="56" t="s">
        <v>308</v>
      </c>
      <c r="J39" s="56"/>
      <c r="K39" s="56"/>
      <c r="L39" s="56"/>
      <c r="M39" s="56"/>
      <c r="N39" s="56"/>
    </row>
    <row r="40" customFormat="false" ht="16.5" hidden="false" customHeight="true" outlineLevel="0" collapsed="false">
      <c r="A40" s="31" t="s">
        <v>280</v>
      </c>
      <c r="B40" s="32" t="n">
        <f aca="false">B32*0.0074</f>
        <v>364.079900965696</v>
      </c>
      <c r="C40" s="32" t="n">
        <f aca="false">C32*0.0074</f>
        <v>429.614283139522</v>
      </c>
      <c r="D40" s="32" t="n">
        <f aca="false">D32*0.0074</f>
        <v>502.64871127324</v>
      </c>
      <c r="E40" s="32" t="n">
        <f aca="false">E32*0.0074</f>
        <v>583.072505076959</v>
      </c>
      <c r="F40" s="32" t="n">
        <f aca="false">F32*0.0074</f>
        <v>653.041205686194</v>
      </c>
      <c r="G40" s="32" t="n">
        <f aca="false">G32*0.0074</f>
        <v>718.345326254813</v>
      </c>
      <c r="H40" s="81" t="n">
        <f aca="false">H32*0.0074</f>
        <v>743.487412673731</v>
      </c>
      <c r="I40" s="56" t="s">
        <v>309</v>
      </c>
      <c r="J40" s="56"/>
      <c r="K40" s="56"/>
      <c r="L40" s="56"/>
      <c r="M40" s="56"/>
      <c r="N40" s="56"/>
    </row>
    <row r="41" customFormat="false" ht="16.5" hidden="false" customHeight="true" outlineLevel="0" collapsed="false">
      <c r="A41" s="31" t="s">
        <v>282</v>
      </c>
      <c r="B41" s="32" t="n">
        <f aca="false">-B32*$B$203</f>
        <v>-836.399772488762</v>
      </c>
      <c r="C41" s="32" t="n">
        <f aca="false">-C32*$B$203</f>
        <v>-986.951731536739</v>
      </c>
      <c r="D41" s="32" t="n">
        <f aca="false">-D32*$B$203</f>
        <v>-1154.73352589798</v>
      </c>
      <c r="E41" s="32" t="n">
        <f aca="false">-E32*$B$203</f>
        <v>-1339.49089004166</v>
      </c>
      <c r="F41" s="32" t="n">
        <f aca="false">-F32*$B$203</f>
        <v>-1500.22979684666</v>
      </c>
      <c r="G41" s="32" t="n">
        <f aca="false">-G32*$B$203</f>
        <v>-1650.25277653133</v>
      </c>
      <c r="H41" s="81" t="n">
        <f aca="false">-H32*$B$203</f>
        <v>-1708.01162370992</v>
      </c>
      <c r="I41" s="56" t="s">
        <v>310</v>
      </c>
      <c r="J41" s="56"/>
      <c r="K41" s="56"/>
      <c r="L41" s="56"/>
      <c r="M41" s="56"/>
      <c r="N41" s="56"/>
    </row>
    <row r="42" customFormat="false" ht="16.5" hidden="false" customHeight="true" outlineLevel="0" collapsed="false">
      <c r="A42" s="48" t="s">
        <v>284</v>
      </c>
      <c r="B42" s="32" t="n">
        <f aca="false">-B32*$B$205</f>
        <v>-1377.59962527561</v>
      </c>
      <c r="C42" s="32" t="n">
        <f aca="false">-C32*$B$205</f>
        <v>-1625.56755782522</v>
      </c>
      <c r="D42" s="32" t="n">
        <f aca="false">-D32*$B$205</f>
        <v>-1901.9140426555</v>
      </c>
      <c r="E42" s="32" t="n">
        <f aca="false">-E32*$B$205</f>
        <v>-2206.22028948038</v>
      </c>
      <c r="F42" s="32" t="n">
        <f aca="false">-F32*$B$205</f>
        <v>-2470.96672421803</v>
      </c>
      <c r="G42" s="32" t="n">
        <f aca="false">-G32*$B$205</f>
        <v>-2718.06339663983</v>
      </c>
      <c r="H42" s="81" t="n">
        <f aca="false">-H32*$B$205</f>
        <v>-2813.19561552223</v>
      </c>
      <c r="I42" s="56" t="s">
        <v>311</v>
      </c>
      <c r="J42" s="56"/>
      <c r="K42" s="56"/>
      <c r="L42" s="56"/>
      <c r="M42" s="56"/>
      <c r="N42" s="56"/>
    </row>
    <row r="43" customFormat="false" ht="16.5" hidden="false" customHeight="true" outlineLevel="0" collapsed="false">
      <c r="A43" s="31" t="s">
        <v>286</v>
      </c>
      <c r="B43" s="32" t="n">
        <f aca="false">B32*$B$207</f>
        <v>7871.99785871776</v>
      </c>
      <c r="C43" s="32" t="n">
        <f aca="false">C32*$B$207</f>
        <v>9288.95747328695</v>
      </c>
      <c r="D43" s="32" t="n">
        <f aca="false">D32*$B$207</f>
        <v>10868.0802437457</v>
      </c>
      <c r="E43" s="32" t="n">
        <f aca="false">E32*$B$207</f>
        <v>12606.973082745</v>
      </c>
      <c r="F43" s="32" t="n">
        <f aca="false">F32*$B$207</f>
        <v>14119.8098526745</v>
      </c>
      <c r="G43" s="32" t="n">
        <f aca="false">G32*$B$207</f>
        <v>15531.7908379419</v>
      </c>
      <c r="H43" s="81" t="n">
        <f aca="false">H32*$B$207</f>
        <v>16075.4035172699</v>
      </c>
      <c r="I43" s="56" t="s">
        <v>312</v>
      </c>
      <c r="J43" s="56"/>
      <c r="K43" s="56"/>
      <c r="L43" s="56"/>
      <c r="M43" s="56"/>
      <c r="N43" s="56"/>
    </row>
    <row r="44" customFormat="false" ht="16.5" hidden="false" customHeight="true" outlineLevel="0" collapsed="false">
      <c r="A44" s="31" t="s">
        <v>288</v>
      </c>
      <c r="B44" s="32" t="n">
        <f aca="false">-(B43-'00-三表与联动'!E28*4*$B$207)</f>
        <v>-2134.39785871775</v>
      </c>
      <c r="C44" s="32" t="n">
        <f aca="false">-(C43-B43)</f>
        <v>-1416.95961456919</v>
      </c>
      <c r="D44" s="32" t="n">
        <f aca="false">-(D43-C43)</f>
        <v>-1579.12277045878</v>
      </c>
      <c r="E44" s="32" t="n">
        <f aca="false">-(E43-D43)</f>
        <v>-1738.89283899932</v>
      </c>
      <c r="F44" s="32" t="n">
        <f aca="false">-(F43-E43)</f>
        <v>-1512.83676992941</v>
      </c>
      <c r="G44" s="32" t="n">
        <f aca="false">-(G43-F43)</f>
        <v>-1411.98098526745</v>
      </c>
      <c r="H44" s="81" t="n">
        <f aca="false">-(H43-G43)</f>
        <v>-543.612679327967</v>
      </c>
      <c r="I44" s="56" t="s">
        <v>313</v>
      </c>
      <c r="J44" s="56"/>
      <c r="K44" s="56"/>
      <c r="L44" s="56"/>
      <c r="M44" s="56"/>
      <c r="N44" s="56"/>
    </row>
    <row r="45" customFormat="false" ht="16.5" hidden="false" customHeight="true" outlineLevel="0" collapsed="false">
      <c r="A45" s="35" t="s">
        <v>290</v>
      </c>
      <c r="B45" s="197" t="n">
        <f aca="false">B39+B40+B41+B42+B44</f>
        <v>29396.1085529223</v>
      </c>
      <c r="C45" s="197" t="n">
        <f aca="false">C39+C40+C41+C42+C44</f>
        <v>33410.8253118361</v>
      </c>
      <c r="D45" s="197" t="n">
        <f aca="false">D39+D40+D41+D42+D44</f>
        <v>39169.3855934354</v>
      </c>
      <c r="E45" s="197" t="n">
        <f aca="false">E39+E40+E41+E42+E44</f>
        <v>45529.3768631179</v>
      </c>
      <c r="F45" s="197" t="n">
        <f aca="false">F39+F40+F41+F42+F44</f>
        <v>49927.3954995952</v>
      </c>
      <c r="G45" s="197" t="n">
        <f aca="false">G39+G40+G41+G42+G44</f>
        <v>53522.0217346783</v>
      </c>
      <c r="H45" s="198" t="n">
        <f aca="false">H39+H40+H41+H42+H44</f>
        <v>56313.0801358159</v>
      </c>
      <c r="I45" s="56" t="s">
        <v>314</v>
      </c>
      <c r="J45" s="56"/>
      <c r="K45" s="56"/>
      <c r="L45" s="56"/>
      <c r="M45" s="56"/>
      <c r="N45" s="56"/>
    </row>
    <row r="46" customFormat="false" ht="16.5" hidden="false" customHeight="true" outlineLevel="0" collapsed="false">
      <c r="A46" s="31" t="s">
        <v>315</v>
      </c>
      <c r="B46" s="76" t="n">
        <f aca="false">B45/B32</f>
        <v>0.597482043679529</v>
      </c>
      <c r="C46" s="76" t="n">
        <f aca="false">C45/C32</f>
        <v>0.575493220338983</v>
      </c>
      <c r="D46" s="76" t="n">
        <f aca="false">D45/D32</f>
        <v>0.576652136752137</v>
      </c>
      <c r="E46" s="76" t="n">
        <f aca="false">E45/E32</f>
        <v>0.577831034482759</v>
      </c>
      <c r="F46" s="76" t="n">
        <f aca="false">F45/F32</f>
        <v>0.565757142857143</v>
      </c>
      <c r="G46" s="76" t="n">
        <f aca="false">G45/G32</f>
        <v>0.551354545454545</v>
      </c>
      <c r="H46" s="80" t="n">
        <f aca="false">H45/H32</f>
        <v>0.560489371980676</v>
      </c>
      <c r="I46" s="56" t="s">
        <v>316</v>
      </c>
      <c r="J46" s="56"/>
      <c r="K46" s="56"/>
      <c r="L46" s="56"/>
      <c r="M46" s="56"/>
      <c r="N46" s="56"/>
    </row>
    <row r="47" customFormat="false" ht="16.5" hidden="false" customHeight="true" outlineLevel="0" collapsed="false">
      <c r="A47" s="31" t="s">
        <v>317</v>
      </c>
      <c r="B47" s="83" t="n">
        <f aca="false">0.5</f>
        <v>0.5</v>
      </c>
      <c r="C47" s="83" t="n">
        <f aca="false">1.5</f>
        <v>1.5</v>
      </c>
      <c r="D47" s="83" t="n">
        <f aca="false">2.5</f>
        <v>2.5</v>
      </c>
      <c r="E47" s="83" t="n">
        <f aca="false">3.5</f>
        <v>3.5</v>
      </c>
      <c r="F47" s="83" t="n">
        <f aca="false">4.5</f>
        <v>4.5</v>
      </c>
      <c r="G47" s="83" t="n">
        <f aca="false">5.5</f>
        <v>5.5</v>
      </c>
      <c r="H47" s="81" t="s">
        <v>318</v>
      </c>
      <c r="I47" s="56" t="s">
        <v>319</v>
      </c>
      <c r="J47" s="56"/>
      <c r="K47" s="56"/>
      <c r="L47" s="56"/>
      <c r="M47" s="56"/>
      <c r="N47" s="56"/>
    </row>
    <row r="48" customFormat="false" ht="16.5" hidden="false" customHeight="true" outlineLevel="0" collapsed="false">
      <c r="A48" s="31" t="s">
        <v>320</v>
      </c>
      <c r="B48" s="83" t="n">
        <f aca="false">1/(1+$B$209)^B47</f>
        <v>0.951302988308988</v>
      </c>
      <c r="C48" s="83" t="n">
        <f aca="false">1/(1+$B$209)^C47</f>
        <v>0.860907681727591</v>
      </c>
      <c r="D48" s="83" t="n">
        <f aca="false">1/(1+$B$209)^D47</f>
        <v>0.77910197441411</v>
      </c>
      <c r="E48" s="83" t="n">
        <f aca="false">1/(1+$B$209)^E47</f>
        <v>0.705069660103267</v>
      </c>
      <c r="F48" s="83" t="n">
        <f aca="false">1/(1+$B$209)^F47</f>
        <v>0.638072090591192</v>
      </c>
      <c r="G48" s="83" t="n">
        <f aca="false">1/(1+$B$209)^G47</f>
        <v>0.577440805964879</v>
      </c>
      <c r="H48" s="81" t="s">
        <v>318</v>
      </c>
      <c r="I48" s="56" t="s">
        <v>321</v>
      </c>
      <c r="J48" s="56"/>
      <c r="K48" s="56"/>
      <c r="L48" s="56"/>
      <c r="M48" s="56"/>
      <c r="N48" s="56"/>
    </row>
    <row r="49" customFormat="false" ht="16.5" hidden="false" customHeight="true" outlineLevel="0" collapsed="false">
      <c r="A49" s="35" t="s">
        <v>322</v>
      </c>
      <c r="B49" s="197" t="n">
        <f aca="false">B45*B48</f>
        <v>27964.6059110504</v>
      </c>
      <c r="C49" s="197" t="n">
        <f aca="false">C45*C48</f>
        <v>28763.6361638183</v>
      </c>
      <c r="D49" s="197" t="n">
        <f aca="false">D45*D48</f>
        <v>30516.9456524331</v>
      </c>
      <c r="E49" s="197" t="n">
        <f aca="false">E45*E48</f>
        <v>32101.3822695921</v>
      </c>
      <c r="F49" s="197" t="n">
        <f aca="false">F45*F48</f>
        <v>31857.2776242</v>
      </c>
      <c r="G49" s="197" t="n">
        <f aca="false">G45*G48</f>
        <v>30905.7993673424</v>
      </c>
      <c r="H49" s="79" t="s">
        <v>318</v>
      </c>
      <c r="I49" s="56" t="s">
        <v>323</v>
      </c>
      <c r="J49" s="56"/>
      <c r="K49" s="56"/>
      <c r="L49" s="56"/>
      <c r="M49" s="56"/>
      <c r="N49" s="56"/>
    </row>
    <row r="51" customFormat="false" ht="24" hidden="false" customHeight="true" outlineLevel="0" collapsed="false">
      <c r="A51" s="194" t="s">
        <v>324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</row>
    <row r="52" customFormat="false" ht="27" hidden="false" customHeight="true" outlineLevel="0" collapsed="false">
      <c r="A52" s="4" t="s">
        <v>325</v>
      </c>
      <c r="B52" s="4" t="s">
        <v>326</v>
      </c>
      <c r="C52" s="4"/>
      <c r="D52" s="4" t="s">
        <v>327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9.5" hidden="false" customHeight="true" outlineLevel="0" collapsed="false">
      <c r="A53" s="5" t="s">
        <v>20</v>
      </c>
      <c r="B53" s="84" t="n">
        <f aca="false">'00-三表与联动'!$B$13</f>
        <v>0.042</v>
      </c>
      <c r="C53" s="84"/>
      <c r="D53" s="68" t="s">
        <v>328</v>
      </c>
      <c r="E53" s="68"/>
      <c r="F53" s="68"/>
      <c r="G53" s="68"/>
      <c r="H53" s="68"/>
      <c r="I53" s="68"/>
      <c r="J53" s="68"/>
      <c r="K53" s="68"/>
      <c r="L53" s="68"/>
      <c r="M53" s="68"/>
      <c r="N53" s="68"/>
    </row>
    <row r="54" customFormat="false" ht="19.5" hidden="false" customHeight="true" outlineLevel="0" collapsed="false">
      <c r="A54" s="5" t="s">
        <v>22</v>
      </c>
      <c r="B54" s="84" t="n">
        <f aca="false">'00-三表与联动'!$B$14</f>
        <v>0.05</v>
      </c>
      <c r="C54" s="84"/>
      <c r="D54" s="56" t="s">
        <v>329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</row>
    <row r="55" customFormat="false" ht="28.5" hidden="false" customHeight="true" outlineLevel="0" collapsed="false">
      <c r="A55" s="5" t="s">
        <v>330</v>
      </c>
      <c r="B55" s="85" t="n">
        <f aca="false">(B56-B53)/B54</f>
        <v>1.26</v>
      </c>
      <c r="C55" s="85"/>
      <c r="D55" s="56" t="s">
        <v>331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customFormat="false" ht="19.5" hidden="false" customHeight="true" outlineLevel="0" collapsed="false">
      <c r="A56" s="5" t="s">
        <v>332</v>
      </c>
      <c r="B56" s="84" t="n">
        <f aca="false">$B$209</f>
        <v>0.105</v>
      </c>
      <c r="C56" s="84"/>
      <c r="D56" s="56" t="s">
        <v>333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</row>
    <row r="57" customFormat="false" ht="19.5" hidden="false" customHeight="true" outlineLevel="0" collapsed="false">
      <c r="A57" s="5" t="s">
        <v>334</v>
      </c>
      <c r="B57" s="86" t="n">
        <v>0</v>
      </c>
      <c r="C57" s="86"/>
      <c r="D57" s="68" t="s">
        <v>335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</row>
    <row r="58" customFormat="false" ht="19.5" hidden="false" customHeight="true" outlineLevel="0" collapsed="false">
      <c r="A58" s="5" t="s">
        <v>336</v>
      </c>
      <c r="B58" s="86" t="n">
        <v>0</v>
      </c>
      <c r="C58" s="86"/>
      <c r="D58" s="56" t="s">
        <v>337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60" customFormat="false" ht="24" hidden="false" customHeight="true" outlineLevel="0" collapsed="false">
      <c r="A60" s="194" t="s">
        <v>338</v>
      </c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</row>
    <row r="61" customFormat="false" ht="27" hidden="false" customHeight="true" outlineLevel="0" collapsed="false">
      <c r="A61" s="4" t="s">
        <v>339</v>
      </c>
      <c r="B61" s="4" t="s">
        <v>340</v>
      </c>
      <c r="C61" s="4"/>
      <c r="D61" s="4" t="s">
        <v>341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8.75" hidden="false" customHeight="true" outlineLevel="0" collapsed="false">
      <c r="A62" s="63" t="s">
        <v>342</v>
      </c>
      <c r="B62" s="87" t="n">
        <f aca="false">SUM(B49:G49)</f>
        <v>182109.646988436</v>
      </c>
      <c r="C62" s="87"/>
      <c r="D62" s="68" t="s">
        <v>343</v>
      </c>
      <c r="E62" s="68"/>
      <c r="F62" s="68"/>
      <c r="G62" s="68"/>
      <c r="H62" s="68"/>
      <c r="I62" s="68"/>
      <c r="J62" s="68"/>
      <c r="K62" s="68"/>
      <c r="L62" s="68"/>
      <c r="M62" s="68"/>
      <c r="N62" s="68"/>
    </row>
    <row r="63" customFormat="false" ht="18.75" hidden="false" customHeight="true" outlineLevel="0" collapsed="false">
      <c r="A63" s="63" t="s">
        <v>344</v>
      </c>
      <c r="B63" s="87" t="n">
        <f aca="false">H45/($B$209-$B$211)</f>
        <v>804472.573368799</v>
      </c>
      <c r="C63" s="87"/>
      <c r="D63" s="56" t="s">
        <v>345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4" customFormat="false" ht="18.75" hidden="false" customHeight="true" outlineLevel="0" collapsed="false">
      <c r="A64" s="63" t="s">
        <v>346</v>
      </c>
      <c r="B64" s="87" t="n">
        <f aca="false">B63*G48/(1+$B$209)^0.5</f>
        <v>441913.810639055</v>
      </c>
      <c r="C64" s="87"/>
      <c r="D64" s="56" t="s">
        <v>347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</row>
    <row r="65" customFormat="false" ht="18.75" hidden="false" customHeight="true" outlineLevel="0" collapsed="false">
      <c r="A65" s="63" t="s">
        <v>348</v>
      </c>
      <c r="B65" s="86" t="n">
        <f aca="false">B64/B66</f>
        <v>0.708168587634816</v>
      </c>
      <c r="C65" s="86"/>
      <c r="D65" s="56" t="s">
        <v>349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</row>
    <row r="66" customFormat="false" ht="18.75" hidden="false" customHeight="true" outlineLevel="0" collapsed="false">
      <c r="A66" s="63" t="s">
        <v>350</v>
      </c>
      <c r="B66" s="87" t="n">
        <f aca="false">B62+B64</f>
        <v>624023.457627491</v>
      </c>
      <c r="C66" s="87"/>
      <c r="D66" s="56" t="s">
        <v>351</v>
      </c>
      <c r="E66" s="56"/>
      <c r="F66" s="56"/>
      <c r="G66" s="56"/>
      <c r="H66" s="56"/>
      <c r="I66" s="56"/>
      <c r="J66" s="56"/>
      <c r="K66" s="56"/>
      <c r="L66" s="56"/>
      <c r="M66" s="56"/>
      <c r="N66" s="56"/>
    </row>
    <row r="67" customFormat="false" ht="18.75" hidden="false" customHeight="true" outlineLevel="0" collapsed="false">
      <c r="A67" s="63" t="s">
        <v>352</v>
      </c>
      <c r="B67" s="87" t="n">
        <f aca="false">'00-三表与联动'!$B$10</f>
        <v>4762</v>
      </c>
      <c r="C67" s="87"/>
      <c r="D67" s="68" t="s">
        <v>353</v>
      </c>
      <c r="E67" s="68"/>
      <c r="F67" s="68"/>
      <c r="G67" s="68"/>
      <c r="H67" s="68"/>
      <c r="I67" s="68"/>
      <c r="J67" s="68"/>
      <c r="K67" s="68"/>
      <c r="L67" s="68"/>
      <c r="M67" s="68"/>
      <c r="N67" s="68"/>
    </row>
    <row r="68" customFormat="false" ht="18.75" hidden="false" customHeight="true" outlineLevel="0" collapsed="false">
      <c r="A68" s="63" t="s">
        <v>354</v>
      </c>
      <c r="B68" s="87" t="n">
        <f aca="false">'00-三表与联动'!$B$11</f>
        <v>1777</v>
      </c>
      <c r="C68" s="87"/>
      <c r="D68" s="68" t="s">
        <v>355</v>
      </c>
      <c r="E68" s="68"/>
      <c r="F68" s="68"/>
      <c r="G68" s="68"/>
      <c r="H68" s="68"/>
      <c r="I68" s="68"/>
      <c r="J68" s="68"/>
      <c r="K68" s="68"/>
      <c r="L68" s="68"/>
      <c r="M68" s="68"/>
      <c r="N68" s="68"/>
    </row>
    <row r="69" customFormat="false" ht="18.75" hidden="false" customHeight="true" outlineLevel="0" collapsed="false">
      <c r="A69" s="63" t="s">
        <v>356</v>
      </c>
      <c r="B69" s="87" t="n">
        <f aca="false">-'00-三表与联动'!$B$12</f>
        <v>-0</v>
      </c>
      <c r="C69" s="87"/>
      <c r="D69" s="56" t="s">
        <v>357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</row>
    <row r="70" customFormat="false" ht="18.75" hidden="false" customHeight="true" outlineLevel="0" collapsed="false">
      <c r="A70" s="63" t="s">
        <v>358</v>
      </c>
      <c r="B70" s="87" t="n">
        <f aca="false">B66+B67+B68+B69</f>
        <v>630562.457627491</v>
      </c>
      <c r="C70" s="87"/>
      <c r="D70" s="56" t="s">
        <v>359</v>
      </c>
      <c r="E70" s="56"/>
      <c r="F70" s="56"/>
      <c r="G70" s="56"/>
      <c r="H70" s="56"/>
      <c r="I70" s="56"/>
      <c r="J70" s="56"/>
      <c r="K70" s="56"/>
      <c r="L70" s="56"/>
      <c r="M70" s="56"/>
      <c r="N70" s="56"/>
    </row>
    <row r="71" customFormat="false" ht="18.75" hidden="false" customHeight="true" outlineLevel="0" collapsed="false">
      <c r="A71" s="63" t="s">
        <v>360</v>
      </c>
      <c r="B71" s="88" t="n">
        <f aca="false">'00-三表与联动'!$B$9</f>
        <v>155</v>
      </c>
      <c r="C71" s="88"/>
      <c r="D71" s="56" t="s">
        <v>361</v>
      </c>
      <c r="E71" s="56"/>
      <c r="F71" s="56"/>
      <c r="G71" s="56"/>
      <c r="H71" s="56"/>
      <c r="I71" s="56"/>
      <c r="J71" s="56"/>
      <c r="K71" s="56"/>
      <c r="L71" s="56"/>
      <c r="M71" s="56"/>
      <c r="N71" s="56"/>
    </row>
    <row r="72" customFormat="false" ht="24" hidden="false" customHeight="true" outlineLevel="0" collapsed="false">
      <c r="A72" s="199" t="s">
        <v>362</v>
      </c>
      <c r="B72" s="200" t="n">
        <f aca="false">B70/B71</f>
        <v>4068.1448879193</v>
      </c>
      <c r="C72" s="200"/>
      <c r="D72" s="56" t="s">
        <v>363</v>
      </c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 customFormat="false" ht="18.75" hidden="false" customHeight="true" outlineLevel="0" collapsed="false">
      <c r="A73" s="63" t="s">
        <v>364</v>
      </c>
      <c r="B73" s="91" t="n">
        <f aca="false">'00-三表与联动'!$B$6</f>
        <v>1500.17</v>
      </c>
      <c r="C73" s="91"/>
      <c r="D73" s="68" t="s">
        <v>365</v>
      </c>
      <c r="E73" s="68"/>
      <c r="F73" s="68"/>
      <c r="G73" s="68"/>
      <c r="H73" s="68"/>
      <c r="I73" s="68"/>
      <c r="J73" s="68"/>
      <c r="K73" s="68"/>
      <c r="L73" s="68"/>
      <c r="M73" s="68"/>
      <c r="N73" s="68"/>
    </row>
    <row r="74" customFormat="false" ht="24" hidden="false" customHeight="true" outlineLevel="0" collapsed="false">
      <c r="A74" s="199" t="s">
        <v>366</v>
      </c>
      <c r="B74" s="201" t="n">
        <f aca="false">B72/B73-1</f>
        <v>1.71178925583054</v>
      </c>
      <c r="C74" s="201"/>
      <c r="D74" s="56" t="s">
        <v>367</v>
      </c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 customFormat="false" ht="20.25" hidden="false" customHeight="true" outlineLevel="0" collapsed="false">
      <c r="A75" s="30" t="s">
        <v>368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7" customFormat="false" ht="24" hidden="false" customHeight="true" outlineLevel="0" collapsed="false">
      <c r="A77" s="194" t="s">
        <v>369</v>
      </c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</row>
    <row r="78" customFormat="false" ht="27" hidden="false" customHeight="true" outlineLevel="0" collapsed="false">
      <c r="A78" s="4" t="s">
        <v>370</v>
      </c>
      <c r="B78" s="4" t="s">
        <v>371</v>
      </c>
      <c r="C78" s="4"/>
      <c r="D78" s="4" t="s">
        <v>372</v>
      </c>
      <c r="E78" s="4"/>
      <c r="F78" s="4" t="s">
        <v>373</v>
      </c>
      <c r="G78" s="4"/>
      <c r="H78" s="4"/>
      <c r="I78" s="4"/>
      <c r="J78" s="4"/>
      <c r="K78" s="4"/>
      <c r="L78" s="4"/>
      <c r="M78" s="4"/>
      <c r="N78" s="4"/>
    </row>
    <row r="79" customFormat="false" ht="19.5" hidden="false" customHeight="true" outlineLevel="0" collapsed="false">
      <c r="A79" s="5" t="s">
        <v>374</v>
      </c>
      <c r="B79" s="93"/>
      <c r="C79" s="93"/>
      <c r="D79" s="202" t="n">
        <f aca="false">B63/(G37+G40)</f>
        <v>11.5517643076188</v>
      </c>
      <c r="E79" s="202"/>
      <c r="F79" s="56" t="s">
        <v>375</v>
      </c>
      <c r="G79" s="56"/>
      <c r="H79" s="56"/>
      <c r="I79" s="56"/>
      <c r="J79" s="56"/>
      <c r="K79" s="56"/>
      <c r="L79" s="56"/>
      <c r="M79" s="56"/>
      <c r="N79" s="56"/>
    </row>
    <row r="80" customFormat="false" ht="19.5" hidden="false" customHeight="true" outlineLevel="0" collapsed="false">
      <c r="A80" s="5" t="s">
        <v>376</v>
      </c>
      <c r="B80" s="93"/>
      <c r="C80" s="93"/>
      <c r="D80" s="202" t="n">
        <f aca="false">B63/G32</f>
        <v>8.28723571428572</v>
      </c>
      <c r="E80" s="202"/>
      <c r="F80" s="56" t="s">
        <v>377</v>
      </c>
      <c r="G80" s="56"/>
      <c r="H80" s="56"/>
      <c r="I80" s="56"/>
      <c r="J80" s="56"/>
      <c r="K80" s="56"/>
      <c r="L80" s="56"/>
      <c r="M80" s="56"/>
      <c r="N80" s="56"/>
    </row>
    <row r="81" customFormat="false" ht="19.5" hidden="false" customHeight="true" outlineLevel="0" collapsed="false">
      <c r="A81" s="5" t="s">
        <v>378</v>
      </c>
      <c r="B81" s="93"/>
      <c r="C81" s="93"/>
      <c r="D81" s="203" t="n">
        <f aca="false">B72/(F27/'00-三表与联动'!$B$9)</f>
        <v>22.0259914882157</v>
      </c>
      <c r="E81" s="203"/>
      <c r="F81" s="56" t="s">
        <v>379</v>
      </c>
      <c r="G81" s="56"/>
      <c r="H81" s="56"/>
      <c r="I81" s="56"/>
      <c r="J81" s="56"/>
      <c r="K81" s="56"/>
      <c r="L81" s="56"/>
      <c r="M81" s="56"/>
      <c r="N81" s="56"/>
    </row>
    <row r="82" customFormat="false" ht="19.5" hidden="false" customHeight="true" outlineLevel="0" collapsed="false">
      <c r="A82" s="5" t="s">
        <v>380</v>
      </c>
      <c r="B82" s="93"/>
      <c r="C82" s="93"/>
      <c r="D82" s="203" t="n">
        <f aca="false">'00-三表与联动'!$B$6/(F27/'00-三表与联动'!$B$9)</f>
        <v>8.12230944600811</v>
      </c>
      <c r="E82" s="203"/>
      <c r="F82" s="56" t="s">
        <v>381</v>
      </c>
      <c r="G82" s="56"/>
      <c r="H82" s="56"/>
      <c r="I82" s="56"/>
      <c r="J82" s="56"/>
      <c r="K82" s="56"/>
      <c r="L82" s="56"/>
      <c r="M82" s="56"/>
      <c r="N82" s="56"/>
    </row>
    <row r="83" customFormat="false" ht="19.5" hidden="false" customHeight="true" outlineLevel="0" collapsed="false">
      <c r="A83" s="5" t="s">
        <v>382</v>
      </c>
      <c r="B83" s="93"/>
      <c r="C83" s="93"/>
      <c r="D83" s="202" t="n">
        <f aca="false">'00-三表与联动'!$B$6*'00-三表与联动'!$B$9/B70</f>
        <v>0.36876021905092</v>
      </c>
      <c r="E83" s="202"/>
      <c r="F83" s="56" t="s">
        <v>383</v>
      </c>
      <c r="G83" s="56"/>
      <c r="H83" s="56"/>
      <c r="I83" s="56"/>
      <c r="J83" s="56"/>
      <c r="K83" s="56"/>
      <c r="L83" s="56"/>
      <c r="M83" s="56"/>
      <c r="N83" s="56"/>
    </row>
    <row r="85" customFormat="false" ht="24" hidden="false" customHeight="true" outlineLevel="0" collapsed="false">
      <c r="A85" s="194" t="s">
        <v>384</v>
      </c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</row>
    <row r="86" customFormat="false" ht="33" hidden="false" customHeight="true" outlineLevel="0" collapsed="false">
      <c r="A86" s="74" t="s">
        <v>385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customFormat="false" ht="33" hidden="false" customHeight="true" outlineLevel="0" collapsed="false">
      <c r="A87" s="30" t="s">
        <v>386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 customFormat="false" ht="33" hidden="false" customHeight="true" outlineLevel="0" collapsed="false">
      <c r="A88" s="30" t="s">
        <v>387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customFormat="false" ht="27" hidden="false" customHeight="true" outlineLevel="0" collapsed="false">
      <c r="A89" s="4" t="s">
        <v>388</v>
      </c>
      <c r="B89" s="13" t="s">
        <v>294</v>
      </c>
      <c r="C89" s="13" t="s">
        <v>295</v>
      </c>
      <c r="D89" s="13" t="s">
        <v>296</v>
      </c>
      <c r="E89" s="13" t="s">
        <v>297</v>
      </c>
      <c r="F89" s="13" t="s">
        <v>298</v>
      </c>
      <c r="G89" s="13" t="s">
        <v>299</v>
      </c>
      <c r="H89" s="4" t="s">
        <v>5</v>
      </c>
      <c r="I89" s="4"/>
      <c r="J89" s="4"/>
      <c r="K89" s="4"/>
      <c r="L89" s="4"/>
      <c r="M89" s="4"/>
      <c r="N89" s="4"/>
    </row>
    <row r="90" customFormat="false" ht="16.5" hidden="false" customHeight="true" outlineLevel="0" collapsed="false">
      <c r="A90" s="31" t="s">
        <v>389</v>
      </c>
      <c r="B90" s="32" t="n">
        <f aca="false">B45</f>
        <v>29396.1085529223</v>
      </c>
      <c r="C90" s="32" t="n">
        <f aca="false">C45</f>
        <v>33410.8253118361</v>
      </c>
      <c r="D90" s="32" t="n">
        <f aca="false">D45</f>
        <v>39169.3855934354</v>
      </c>
      <c r="E90" s="32" t="n">
        <f aca="false">E45</f>
        <v>45529.3768631179</v>
      </c>
      <c r="F90" s="32" t="n">
        <f aca="false">F45</f>
        <v>49927.3954995952</v>
      </c>
      <c r="G90" s="32" t="n">
        <f aca="false">G45</f>
        <v>53522.0217346783</v>
      </c>
      <c r="H90" s="56" t="s">
        <v>390</v>
      </c>
      <c r="I90" s="56"/>
      <c r="J90" s="56"/>
      <c r="K90" s="56"/>
      <c r="L90" s="56"/>
      <c r="M90" s="56"/>
      <c r="N90" s="56"/>
    </row>
    <row r="91" customFormat="false" ht="16.5" hidden="false" customHeight="true" outlineLevel="0" collapsed="false">
      <c r="A91" s="48" t="s">
        <v>391</v>
      </c>
      <c r="B91" s="43" t="n">
        <f aca="false">$B$133</f>
        <v>1</v>
      </c>
      <c r="C91" s="43" t="n">
        <f aca="false">$B$133</f>
        <v>1</v>
      </c>
      <c r="D91" s="43" t="n">
        <f aca="false">$B$133</f>
        <v>1</v>
      </c>
      <c r="E91" s="43" t="n">
        <f aca="false">$B$133</f>
        <v>1</v>
      </c>
      <c r="F91" s="43" t="n">
        <f aca="false">$B$133</f>
        <v>1</v>
      </c>
      <c r="G91" s="43" t="n">
        <f aca="false">$B$133</f>
        <v>1</v>
      </c>
      <c r="H91" s="56" t="s">
        <v>392</v>
      </c>
      <c r="I91" s="56"/>
      <c r="J91" s="56"/>
      <c r="K91" s="56"/>
      <c r="L91" s="56"/>
      <c r="M91" s="56"/>
      <c r="N91" s="56"/>
    </row>
    <row r="92" customFormat="false" ht="16.5" hidden="false" customHeight="true" outlineLevel="0" collapsed="false">
      <c r="A92" s="31" t="s">
        <v>393</v>
      </c>
      <c r="B92" s="32" t="n">
        <f aca="false">MAX(0,B90*B91)</f>
        <v>29396.1085529223</v>
      </c>
      <c r="C92" s="32" t="n">
        <f aca="false">MAX(0,C90*C91)</f>
        <v>33410.8253118361</v>
      </c>
      <c r="D92" s="32" t="n">
        <f aca="false">MAX(0,D90*D91)</f>
        <v>39169.3855934354</v>
      </c>
      <c r="E92" s="32" t="n">
        <f aca="false">MAX(0,E90*E91)</f>
        <v>45529.3768631179</v>
      </c>
      <c r="F92" s="32" t="n">
        <f aca="false">MAX(0,F90*F91)</f>
        <v>49927.3954995952</v>
      </c>
      <c r="G92" s="32" t="n">
        <f aca="false">MAX(0,G90*G91)</f>
        <v>53522.0217346783</v>
      </c>
      <c r="H92" s="56" t="s">
        <v>394</v>
      </c>
      <c r="I92" s="56"/>
      <c r="J92" s="56"/>
      <c r="K92" s="56"/>
      <c r="L92" s="56"/>
      <c r="M92" s="56"/>
      <c r="N92" s="56"/>
    </row>
    <row r="93" customFormat="false" ht="16.5" hidden="false" customHeight="true" outlineLevel="0" collapsed="false">
      <c r="A93" s="31" t="s">
        <v>395</v>
      </c>
      <c r="B93" s="96" t="n">
        <f aca="false">'00-三表与联动'!$B$6*$B$135*(1+$B$209)^0.5</f>
        <v>1576.9634053885</v>
      </c>
      <c r="C93" s="96" t="n">
        <f aca="false">'00-三表与联动'!$B$6*$B$135*(1+$B$209)^1.5</f>
        <v>1742.54456295429</v>
      </c>
      <c r="D93" s="96" t="n">
        <f aca="false">'00-三表与联动'!$B$6*$B$135*(1+$B$209)^2.5</f>
        <v>1925.5117420645</v>
      </c>
      <c r="E93" s="96" t="n">
        <f aca="false">'00-三表与联动'!$B$6*$B$135*(1+$B$209)^3.5</f>
        <v>2127.69047498127</v>
      </c>
      <c r="F93" s="96" t="n">
        <f aca="false">'00-三表与联动'!$B$6*$B$135*(1+$B$209)^4.5</f>
        <v>2351.0979748543</v>
      </c>
      <c r="G93" s="96" t="n">
        <f aca="false">'00-三表与联动'!$B$6*$B$135*(1+$B$209)^5.5</f>
        <v>2597.963262214</v>
      </c>
      <c r="H93" s="56" t="s">
        <v>396</v>
      </c>
      <c r="I93" s="56"/>
      <c r="J93" s="56"/>
      <c r="K93" s="56"/>
      <c r="L93" s="56"/>
      <c r="M93" s="56"/>
      <c r="N93" s="56"/>
    </row>
    <row r="94" customFormat="false" ht="16.5" hidden="false" customHeight="true" outlineLevel="0" collapsed="false">
      <c r="A94" s="31" t="s">
        <v>397</v>
      </c>
      <c r="B94" s="97" t="n">
        <f aca="false">B92/B93</f>
        <v>18.6409579654642</v>
      </c>
      <c r="C94" s="97" t="n">
        <f aca="false">C92/C93</f>
        <v>19.1735844363094</v>
      </c>
      <c r="D94" s="97" t="n">
        <f aca="false">D92/D93</f>
        <v>20.3423249714586</v>
      </c>
      <c r="E94" s="97" t="n">
        <f aca="false">E92/E93</f>
        <v>21.3984963501417</v>
      </c>
      <c r="F94" s="97" t="n">
        <f aca="false">F92/F93</f>
        <v>21.2357783612524</v>
      </c>
      <c r="G94" s="97" t="n">
        <f aca="false">G92/G93</f>
        <v>20.6015314046691</v>
      </c>
      <c r="H94" s="56" t="s">
        <v>398</v>
      </c>
      <c r="I94" s="56"/>
      <c r="J94" s="56"/>
      <c r="K94" s="56"/>
      <c r="L94" s="56"/>
      <c r="M94" s="56"/>
      <c r="N94" s="56"/>
    </row>
    <row r="95" customFormat="false" ht="16.5" hidden="false" customHeight="true" outlineLevel="0" collapsed="false">
      <c r="A95" s="31" t="s">
        <v>399</v>
      </c>
      <c r="B95" s="97" t="n">
        <f aca="false">B32*0.0115/B93</f>
        <v>0.358790726634489</v>
      </c>
      <c r="C95" s="97" t="n">
        <f aca="false">C32*0.0115/C93</f>
        <v>0.383143038397011</v>
      </c>
      <c r="D95" s="97" t="n">
        <f aca="false">D32*0.0115/D93</f>
        <v>0.40568086418507</v>
      </c>
      <c r="E95" s="97" t="n">
        <f aca="false">E32*0.0115/E93</f>
        <v>0.425873124393377</v>
      </c>
      <c r="F95" s="97" t="n">
        <f aca="false">F32*0.0115/F93</f>
        <v>0.431654207529939</v>
      </c>
      <c r="G95" s="97" t="n">
        <f aca="false">G32*0.0115/G93</f>
        <v>0.429701021070527</v>
      </c>
      <c r="H95" s="56" t="s">
        <v>400</v>
      </c>
      <c r="I95" s="56"/>
      <c r="J95" s="56"/>
      <c r="K95" s="56"/>
      <c r="L95" s="56"/>
      <c r="M95" s="56"/>
      <c r="N95" s="56"/>
    </row>
    <row r="96" customFormat="false" ht="16.5" hidden="false" customHeight="true" outlineLevel="0" collapsed="false">
      <c r="A96" s="31" t="s">
        <v>401</v>
      </c>
      <c r="B96" s="97" t="n">
        <f aca="false">'00-三表与联动'!$B$9</f>
        <v>155</v>
      </c>
      <c r="C96" s="97" t="n">
        <f aca="false">B97</f>
        <v>136.71783276117</v>
      </c>
      <c r="D96" s="97" t="n">
        <f aca="false">C97</f>
        <v>117.927391363258</v>
      </c>
      <c r="E96" s="97" t="n">
        <f aca="false">D97</f>
        <v>97.9907472559844</v>
      </c>
      <c r="F96" s="97" t="n">
        <f aca="false">E97</f>
        <v>77.0181240302361</v>
      </c>
      <c r="G96" s="97" t="n">
        <f aca="false">F97</f>
        <v>56.2139998765136</v>
      </c>
      <c r="H96" s="68" t="s">
        <v>402</v>
      </c>
      <c r="I96" s="68"/>
      <c r="J96" s="68"/>
      <c r="K96" s="68"/>
      <c r="L96" s="68"/>
      <c r="M96" s="68"/>
      <c r="N96" s="68"/>
    </row>
    <row r="97" customFormat="false" ht="16.5" hidden="false" customHeight="true" outlineLevel="0" collapsed="false">
      <c r="A97" s="35" t="s">
        <v>403</v>
      </c>
      <c r="B97" s="98" t="n">
        <f aca="false">MAX(20,B96-B94+B95)</f>
        <v>136.71783276117</v>
      </c>
      <c r="C97" s="98" t="n">
        <f aca="false">MAX(20,C96-C94+C95)</f>
        <v>117.927391363258</v>
      </c>
      <c r="D97" s="98" t="n">
        <f aca="false">MAX(20,D96-D94+D95)</f>
        <v>97.9907472559844</v>
      </c>
      <c r="E97" s="98" t="n">
        <f aca="false">MAX(20,E96-E94+E95)</f>
        <v>77.0181240302361</v>
      </c>
      <c r="F97" s="98" t="n">
        <f aca="false">MAX(20,F96-F94+F95)</f>
        <v>56.2139998765136</v>
      </c>
      <c r="G97" s="98" t="n">
        <f aca="false">MAX(20,G96-G94+G95)</f>
        <v>36.0421694929151</v>
      </c>
      <c r="H97" s="56" t="s">
        <v>404</v>
      </c>
      <c r="I97" s="56"/>
      <c r="J97" s="56"/>
      <c r="K97" s="56"/>
      <c r="L97" s="56"/>
      <c r="M97" s="56"/>
      <c r="N97" s="56"/>
    </row>
    <row r="98" customFormat="false" ht="16.5" hidden="false" customHeight="true" outlineLevel="0" collapsed="false">
      <c r="A98" s="31" t="s">
        <v>405</v>
      </c>
      <c r="B98" s="32" t="n">
        <f aca="false">('00-三表与联动'!$B$10+'00-三表与联动'!$B$11-'00-三表与联动'!$B$12)+B90-B92</f>
        <v>6539</v>
      </c>
      <c r="C98" s="32" t="n">
        <f aca="false">B98+C90-C92</f>
        <v>6539</v>
      </c>
      <c r="D98" s="32" t="n">
        <f aca="false">C98+D90-D92</f>
        <v>6539</v>
      </c>
      <c r="E98" s="32" t="n">
        <f aca="false">D98+E90-E92</f>
        <v>6539</v>
      </c>
      <c r="F98" s="32" t="n">
        <f aca="false">E98+F90-F92</f>
        <v>6539</v>
      </c>
      <c r="G98" s="32" t="n">
        <f aca="false">F98+G90-G92</f>
        <v>6539</v>
      </c>
      <c r="H98" s="56" t="s">
        <v>406</v>
      </c>
      <c r="I98" s="56"/>
      <c r="J98" s="56"/>
      <c r="K98" s="56"/>
      <c r="L98" s="56"/>
      <c r="M98" s="56"/>
      <c r="N98" s="56"/>
    </row>
    <row r="99" customFormat="false" ht="16.5" hidden="false" customHeight="true" outlineLevel="0" collapsed="false">
      <c r="A99" s="31" t="s">
        <v>307</v>
      </c>
      <c r="B99" s="32" t="n">
        <f aca="false">B39</f>
        <v>33380.4259084387</v>
      </c>
      <c r="C99" s="32" t="n">
        <f aca="false">C39</f>
        <v>37010.6899326277</v>
      </c>
      <c r="D99" s="32" t="n">
        <f aca="false">D39</f>
        <v>43302.5072211744</v>
      </c>
      <c r="E99" s="32" t="n">
        <f aca="false">E39</f>
        <v>50230.9083765623</v>
      </c>
      <c r="F99" s="32" t="n">
        <f aca="false">F39</f>
        <v>54758.3875849031</v>
      </c>
      <c r="G99" s="32" t="n">
        <f aca="false">G39</f>
        <v>58583.9735668621</v>
      </c>
      <c r="H99" s="56" t="s">
        <v>407</v>
      </c>
      <c r="I99" s="56"/>
      <c r="J99" s="56"/>
      <c r="K99" s="56"/>
      <c r="L99" s="56"/>
      <c r="M99" s="56"/>
      <c r="N99" s="56"/>
    </row>
    <row r="100" customFormat="false" ht="16.5" hidden="false" customHeight="true" outlineLevel="0" collapsed="false">
      <c r="A100" s="35" t="s">
        <v>408</v>
      </c>
      <c r="B100" s="99" t="n">
        <f aca="false">B99/B97</f>
        <v>244.155610385884</v>
      </c>
      <c r="C100" s="99" t="n">
        <f aca="false">C99/C97</f>
        <v>313.843030908924</v>
      </c>
      <c r="D100" s="99" t="n">
        <f aca="false">D99/D97</f>
        <v>441.904041287223</v>
      </c>
      <c r="E100" s="99" t="n">
        <f aca="false">E99/E97</f>
        <v>652.19594749987</v>
      </c>
      <c r="F100" s="99" t="n">
        <f aca="false">F99/F97</f>
        <v>974.105875852847</v>
      </c>
      <c r="G100" s="99" t="n">
        <f aca="false">G99/G97</f>
        <v>1625.42861295789</v>
      </c>
      <c r="H100" s="56" t="s">
        <v>409</v>
      </c>
      <c r="I100" s="56"/>
      <c r="J100" s="56"/>
      <c r="K100" s="56"/>
      <c r="L100" s="56"/>
      <c r="M100" s="56"/>
      <c r="N100" s="56"/>
    </row>
    <row r="101" customFormat="false" ht="16.5" hidden="false" customHeight="true" outlineLevel="0" collapsed="false">
      <c r="A101" s="31" t="s">
        <v>410</v>
      </c>
      <c r="B101" s="100" t="n">
        <f aca="false">B98/B97</f>
        <v>47.8284351641446</v>
      </c>
      <c r="C101" s="100" t="n">
        <f aca="false">C98/C97</f>
        <v>55.4493737579387</v>
      </c>
      <c r="D101" s="100" t="n">
        <f aca="false">D98/D97</f>
        <v>66.7307902338775</v>
      </c>
      <c r="E101" s="100" t="n">
        <f aca="false">E98/E97</f>
        <v>84.9020939205543</v>
      </c>
      <c r="F101" s="100" t="n">
        <f aca="false">F98/F97</f>
        <v>116.323336079346</v>
      </c>
      <c r="G101" s="100" t="n">
        <f aca="false">G98/G97</f>
        <v>181.426370609721</v>
      </c>
      <c r="H101" s="56" t="s">
        <v>411</v>
      </c>
      <c r="I101" s="56"/>
      <c r="J101" s="56"/>
      <c r="K101" s="56"/>
      <c r="L101" s="56"/>
      <c r="M101" s="56"/>
      <c r="N101" s="56"/>
    </row>
    <row r="102" customFormat="false" ht="16.5" hidden="false" customHeight="true" outlineLevel="0" collapsed="false">
      <c r="A102" s="35" t="s">
        <v>412</v>
      </c>
      <c r="B102" s="204" t="n">
        <f aca="false">$B$137</f>
        <v>12</v>
      </c>
      <c r="C102" s="204" t="n">
        <f aca="false">$B$139</f>
        <v>15</v>
      </c>
      <c r="D102" s="204" t="n">
        <f aca="false">$B$139+($B$141-$B$139)*1/4</f>
        <v>15.75</v>
      </c>
      <c r="E102" s="204" t="n">
        <f aca="false">$B$139+($B$141-$B$139)*2/4</f>
        <v>16.5</v>
      </c>
      <c r="F102" s="204" t="n">
        <f aca="false">$B$139+($B$141-$B$139)*3/4</f>
        <v>17.25</v>
      </c>
      <c r="G102" s="204" t="n">
        <f aca="false">$B$141</f>
        <v>18</v>
      </c>
      <c r="H102" s="68" t="s">
        <v>413</v>
      </c>
      <c r="I102" s="68"/>
      <c r="J102" s="68"/>
      <c r="K102" s="68"/>
      <c r="L102" s="68"/>
      <c r="M102" s="68"/>
      <c r="N102" s="68"/>
    </row>
    <row r="103" customFormat="false" ht="16.5" hidden="false" customHeight="true" outlineLevel="0" collapsed="false">
      <c r="A103" s="35" t="s">
        <v>414</v>
      </c>
      <c r="B103" s="205" t="n">
        <f aca="false">B100*B102+B101</f>
        <v>2977.69575979475</v>
      </c>
      <c r="C103" s="205" t="n">
        <f aca="false">C100*C102+C101</f>
        <v>4763.09483739179</v>
      </c>
      <c r="D103" s="205" t="n">
        <f aca="false">D100*D102+D101</f>
        <v>7026.71944050765</v>
      </c>
      <c r="E103" s="205" t="n">
        <f aca="false">E100*E102+E101</f>
        <v>10846.1352276684</v>
      </c>
      <c r="F103" s="205" t="n">
        <f aca="false">F100*F102+F101</f>
        <v>16919.6496945409</v>
      </c>
      <c r="G103" s="205" t="n">
        <f aca="false">G100*G102+G101</f>
        <v>29439.1414038517</v>
      </c>
      <c r="H103" s="56" t="s">
        <v>415</v>
      </c>
      <c r="I103" s="56"/>
      <c r="J103" s="56"/>
      <c r="K103" s="56"/>
      <c r="L103" s="56"/>
      <c r="M103" s="56"/>
      <c r="N103" s="56"/>
    </row>
    <row r="104" customFormat="false" ht="16.5" hidden="false" customHeight="true" outlineLevel="0" collapsed="false">
      <c r="A104" s="31" t="s">
        <v>416</v>
      </c>
      <c r="B104" s="103" t="n">
        <f aca="false">1/(1+$B$209)^1</f>
        <v>0.904977375565611</v>
      </c>
      <c r="C104" s="103" t="n">
        <f aca="false">1/(1+$B$209)^2</f>
        <v>0.818984050285621</v>
      </c>
      <c r="D104" s="103" t="n">
        <f aca="false">1/(1+$B$209)^3</f>
        <v>0.741162036457575</v>
      </c>
      <c r="E104" s="103" t="n">
        <f aca="false">1/(1+$B$209)^4</f>
        <v>0.67073487462224</v>
      </c>
      <c r="F104" s="103" t="n">
        <f aca="false">1/(1+$B$209)^5</f>
        <v>0.606999886535964</v>
      </c>
      <c r="G104" s="103" t="n">
        <f aca="false">1/(1+$B$209)^6</f>
        <v>0.54932116428594</v>
      </c>
      <c r="H104" s="56" t="s">
        <v>417</v>
      </c>
      <c r="I104" s="56"/>
      <c r="J104" s="56"/>
      <c r="K104" s="56"/>
      <c r="L104" s="56"/>
      <c r="M104" s="56"/>
      <c r="N104" s="56"/>
    </row>
    <row r="105" customFormat="false" ht="16.5" hidden="false" customHeight="true" outlineLevel="0" collapsed="false">
      <c r="A105" s="35" t="s">
        <v>418</v>
      </c>
      <c r="B105" s="205" t="n">
        <f aca="false">B103*B104</f>
        <v>2694.7472939319</v>
      </c>
      <c r="C105" s="205" t="n">
        <f aca="false">C103*C104</f>
        <v>3900.89870182166</v>
      </c>
      <c r="D105" s="205" t="n">
        <f aca="false">D103*D104</f>
        <v>5207.93769014268</v>
      </c>
      <c r="E105" s="205" t="n">
        <f aca="false">E103*E104</f>
        <v>7274.88115206603</v>
      </c>
      <c r="F105" s="205" t="n">
        <f aca="false">F103*F104</f>
        <v>10270.2254448146</v>
      </c>
      <c r="G105" s="205" t="n">
        <f aca="false">G103*G104</f>
        <v>16171.5434315423</v>
      </c>
      <c r="H105" s="56" t="s">
        <v>419</v>
      </c>
      <c r="I105" s="56"/>
      <c r="J105" s="56"/>
      <c r="K105" s="56"/>
      <c r="L105" s="56"/>
      <c r="M105" s="56"/>
      <c r="N105" s="56"/>
    </row>
    <row r="107" customFormat="false" ht="19.5" hidden="false" customHeight="true" outlineLevel="0" collapsed="false">
      <c r="A107" s="104" t="s">
        <v>420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</row>
    <row r="108" customFormat="false" ht="27" hidden="false" customHeight="true" outlineLevel="0" collapsed="false">
      <c r="A108" s="4" t="s">
        <v>421</v>
      </c>
      <c r="B108" s="4" t="s">
        <v>422</v>
      </c>
      <c r="C108" s="4" t="s">
        <v>410</v>
      </c>
      <c r="D108" s="4" t="s">
        <v>423</v>
      </c>
      <c r="E108" s="4" t="s">
        <v>424</v>
      </c>
      <c r="F108" s="4" t="s">
        <v>425</v>
      </c>
      <c r="G108" s="4" t="s">
        <v>418</v>
      </c>
      <c r="H108" s="4" t="s">
        <v>426</v>
      </c>
      <c r="I108" s="4" t="s">
        <v>427</v>
      </c>
      <c r="J108" s="4"/>
      <c r="K108" s="4"/>
      <c r="L108" s="4"/>
      <c r="M108" s="4"/>
      <c r="N108" s="4"/>
    </row>
    <row r="109" customFormat="false" ht="30" hidden="false" customHeight="true" outlineLevel="0" collapsed="false">
      <c r="A109" s="206" t="s">
        <v>428</v>
      </c>
      <c r="B109" s="106" t="n">
        <f aca="false">B100</f>
        <v>244.155610385884</v>
      </c>
      <c r="C109" s="106" t="n">
        <f aca="false">B101</f>
        <v>47.8284351641446</v>
      </c>
      <c r="D109" s="107" t="n">
        <f aca="false">B102</f>
        <v>12</v>
      </c>
      <c r="E109" s="25" t="n">
        <f aca="false">B103</f>
        <v>2977.69575979475</v>
      </c>
      <c r="F109" s="108" t="n">
        <v>1</v>
      </c>
      <c r="G109" s="25" t="n">
        <f aca="false">B103/(1+$B$209)^1</f>
        <v>2694.7472939319</v>
      </c>
      <c r="H109" s="26" t="n">
        <f aca="false">B103/(1+$B$209)^1/'00-三表与联动'!$B$6-1</f>
        <v>0.79629461589813</v>
      </c>
      <c r="I109" s="56" t="s">
        <v>429</v>
      </c>
      <c r="J109" s="56"/>
      <c r="K109" s="56"/>
      <c r="L109" s="56"/>
      <c r="M109" s="56"/>
      <c r="N109" s="56"/>
    </row>
    <row r="110" customFormat="false" ht="25.5" hidden="false" customHeight="true" outlineLevel="0" collapsed="false">
      <c r="A110" s="206" t="s">
        <v>430</v>
      </c>
      <c r="B110" s="106" t="n">
        <f aca="false">C100</f>
        <v>313.843030908924</v>
      </c>
      <c r="C110" s="106" t="n">
        <f aca="false">C101</f>
        <v>55.4493737579387</v>
      </c>
      <c r="D110" s="107" t="n">
        <f aca="false">C102</f>
        <v>15</v>
      </c>
      <c r="E110" s="25" t="n">
        <f aca="false">C103</f>
        <v>4763.09483739179</v>
      </c>
      <c r="F110" s="108" t="n">
        <v>2</v>
      </c>
      <c r="G110" s="25" t="n">
        <f aca="false">C103/(1+$B$209)^2</f>
        <v>3900.89870182166</v>
      </c>
      <c r="H110" s="26" t="n">
        <f aca="false">C103/(1+$B$209)^2/'00-三表与联动'!$B$6-1</f>
        <v>1.60030443337866</v>
      </c>
      <c r="I110" s="56" t="s">
        <v>431</v>
      </c>
      <c r="J110" s="56"/>
      <c r="K110" s="56"/>
      <c r="L110" s="56"/>
      <c r="M110" s="56"/>
      <c r="N110" s="56"/>
    </row>
    <row r="111" customFormat="false" ht="25.5" hidden="false" customHeight="true" outlineLevel="0" collapsed="false">
      <c r="A111" s="206" t="s">
        <v>432</v>
      </c>
      <c r="B111" s="106" t="n">
        <f aca="false">G100</f>
        <v>1625.42861295789</v>
      </c>
      <c r="C111" s="106" t="n">
        <f aca="false">G101</f>
        <v>181.426370609721</v>
      </c>
      <c r="D111" s="107" t="n">
        <f aca="false">G102</f>
        <v>18</v>
      </c>
      <c r="E111" s="25" t="n">
        <f aca="false">G103</f>
        <v>29439.1414038517</v>
      </c>
      <c r="F111" s="108" t="n">
        <v>6</v>
      </c>
      <c r="G111" s="25" t="n">
        <f aca="false">G103/(1+$B$209)^6</f>
        <v>16171.5434315423</v>
      </c>
      <c r="H111" s="26" t="n">
        <f aca="false">G103/(1+$B$209)^6/'00-三表与联动'!$B$6-1</f>
        <v>9.77980724287398</v>
      </c>
      <c r="I111" s="56" t="s">
        <v>433</v>
      </c>
      <c r="J111" s="56"/>
      <c r="K111" s="56"/>
      <c r="L111" s="56"/>
      <c r="M111" s="56"/>
      <c r="N111" s="56"/>
    </row>
    <row r="112" customFormat="false" ht="20.25" hidden="false" customHeight="true" outlineLevel="0" collapsed="false">
      <c r="A112" s="29" t="s">
        <v>434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4" customFormat="false" ht="19.5" hidden="false" customHeight="true" outlineLevel="0" collapsed="false">
      <c r="A114" s="104" t="s">
        <v>435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</row>
    <row r="115" customFormat="false" ht="27" hidden="false" customHeight="true" outlineLevel="0" collapsed="false">
      <c r="A115" s="4" t="s">
        <v>436</v>
      </c>
      <c r="B115" s="4" t="s">
        <v>4</v>
      </c>
      <c r="C115" s="4"/>
      <c r="D115" s="4" t="s">
        <v>196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8.75" hidden="false" customHeight="true" outlineLevel="0" collapsed="false">
      <c r="A116" s="70" t="s">
        <v>437</v>
      </c>
      <c r="B116" s="109" t="n">
        <f aca="false">B103</f>
        <v>2977.69575979475</v>
      </c>
      <c r="C116" s="109"/>
      <c r="D116" s="56" t="s">
        <v>438</v>
      </c>
      <c r="E116" s="56"/>
      <c r="F116" s="56"/>
      <c r="G116" s="56"/>
      <c r="H116" s="56"/>
      <c r="I116" s="56"/>
      <c r="J116" s="56"/>
      <c r="K116" s="56"/>
      <c r="L116" s="56"/>
      <c r="M116" s="56"/>
      <c r="N116" s="56"/>
    </row>
    <row r="117" customFormat="false" ht="25.5" hidden="false" customHeight="true" outlineLevel="0" collapsed="false">
      <c r="A117" s="207" t="s">
        <v>439</v>
      </c>
      <c r="B117" s="208" t="n">
        <f aca="false">G105</f>
        <v>16171.5434315423</v>
      </c>
      <c r="C117" s="208"/>
      <c r="D117" s="68" t="s">
        <v>440</v>
      </c>
      <c r="E117" s="68"/>
      <c r="F117" s="68"/>
      <c r="G117" s="68"/>
      <c r="H117" s="68"/>
      <c r="I117" s="68"/>
      <c r="J117" s="68"/>
      <c r="K117" s="68"/>
      <c r="L117" s="68"/>
      <c r="M117" s="68"/>
      <c r="N117" s="68"/>
    </row>
    <row r="118" customFormat="false" ht="18.75" hidden="false" customHeight="true" outlineLevel="0" collapsed="false">
      <c r="A118" s="70" t="s">
        <v>441</v>
      </c>
      <c r="B118" s="109" t="n">
        <f aca="false">B72</f>
        <v>4068.1448879193</v>
      </c>
      <c r="C118" s="109"/>
      <c r="D118" s="56" t="s">
        <v>442</v>
      </c>
      <c r="E118" s="56"/>
      <c r="F118" s="56"/>
      <c r="G118" s="56"/>
      <c r="H118" s="56"/>
      <c r="I118" s="56"/>
      <c r="J118" s="56"/>
      <c r="K118" s="56"/>
      <c r="L118" s="56"/>
      <c r="M118" s="56"/>
      <c r="N118" s="56"/>
    </row>
    <row r="119" customFormat="false" ht="18.75" hidden="false" customHeight="true" outlineLevel="0" collapsed="false">
      <c r="A119" s="63" t="s">
        <v>443</v>
      </c>
      <c r="B119" s="112" t="n">
        <f aca="false">B117/B118-1</f>
        <v>2.9751640802089</v>
      </c>
      <c r="C119" s="112"/>
      <c r="D119" s="56" t="s">
        <v>444</v>
      </c>
      <c r="E119" s="56"/>
      <c r="F119" s="56"/>
      <c r="G119" s="56"/>
      <c r="H119" s="56"/>
      <c r="I119" s="56"/>
      <c r="J119" s="56"/>
      <c r="K119" s="56"/>
      <c r="L119" s="56"/>
      <c r="M119" s="56"/>
      <c r="N119" s="56"/>
    </row>
    <row r="120" customFormat="false" ht="25.5" hidden="false" customHeight="true" outlineLevel="0" collapsed="false">
      <c r="A120" s="199" t="s">
        <v>445</v>
      </c>
      <c r="B120" s="209" t="n">
        <f aca="false">B63/G39</f>
        <v>13.7319564445497</v>
      </c>
      <c r="C120" s="209"/>
      <c r="D120" s="56" t="s">
        <v>446</v>
      </c>
      <c r="E120" s="56"/>
      <c r="F120" s="56"/>
      <c r="G120" s="56"/>
      <c r="H120" s="56"/>
      <c r="I120" s="56"/>
      <c r="J120" s="56"/>
      <c r="K120" s="56"/>
      <c r="L120" s="56"/>
      <c r="M120" s="56"/>
      <c r="N120" s="56"/>
    </row>
    <row r="121" customFormat="false" ht="18.75" hidden="false" customHeight="true" outlineLevel="0" collapsed="false">
      <c r="A121" s="63" t="s">
        <v>447</v>
      </c>
      <c r="B121" s="87" t="n">
        <f aca="false">SUM(B92:G92)</f>
        <v>250955.113555585</v>
      </c>
      <c r="C121" s="87"/>
      <c r="D121" s="56" t="s">
        <v>448</v>
      </c>
      <c r="E121" s="56"/>
      <c r="F121" s="56"/>
      <c r="G121" s="56"/>
      <c r="H121" s="56"/>
      <c r="I121" s="56"/>
      <c r="J121" s="56"/>
      <c r="K121" s="56"/>
      <c r="L121" s="56"/>
      <c r="M121" s="56"/>
      <c r="N121" s="56"/>
    </row>
    <row r="122" customFormat="false" ht="18.75" hidden="false" customHeight="true" outlineLevel="0" collapsed="false">
      <c r="A122" s="63" t="s">
        <v>449</v>
      </c>
      <c r="B122" s="88" t="n">
        <f aca="false">SUM(B94:G94)</f>
        <v>121.392673489295</v>
      </c>
      <c r="C122" s="88"/>
      <c r="D122" s="56" t="s">
        <v>450</v>
      </c>
      <c r="E122" s="56"/>
      <c r="F122" s="56"/>
      <c r="G122" s="56"/>
      <c r="H122" s="56"/>
      <c r="I122" s="56"/>
      <c r="J122" s="56"/>
      <c r="K122" s="56"/>
      <c r="L122" s="56"/>
      <c r="M122" s="56"/>
      <c r="N122" s="56"/>
    </row>
    <row r="123" customFormat="false" ht="18.75" hidden="false" customHeight="true" outlineLevel="0" collapsed="false">
      <c r="A123" s="70" t="s">
        <v>451</v>
      </c>
      <c r="B123" s="86" t="n">
        <f aca="false">G97/'00-三表与联动'!$B$9</f>
        <v>0.232530125760742</v>
      </c>
      <c r="C123" s="86"/>
      <c r="D123" s="56" t="s">
        <v>452</v>
      </c>
      <c r="E123" s="56"/>
      <c r="F123" s="56"/>
      <c r="G123" s="56"/>
      <c r="H123" s="56"/>
      <c r="I123" s="56"/>
      <c r="J123" s="56"/>
      <c r="K123" s="56"/>
      <c r="L123" s="56"/>
      <c r="M123" s="56"/>
      <c r="N123" s="56"/>
    </row>
    <row r="124" customFormat="false" ht="18.75" hidden="false" customHeight="true" outlineLevel="0" collapsed="false">
      <c r="A124" s="63" t="s">
        <v>453</v>
      </c>
      <c r="B124" s="109" t="n">
        <f aca="false">((G39/('00-三表与联动'!$B$9+SUM(B95:G95)))*$B$141+(('00-三表与联动'!$B$10+'00-三表与联动'!$B$11-'00-三表与联动'!$B$12)+SUM(B90:G90))/('00-三表与联动'!$B$9+SUM(B95:G95)))/(1+$B$209)^6</f>
        <v>4577.84598905457</v>
      </c>
      <c r="C124" s="109"/>
      <c r="D124" s="56" t="s">
        <v>454</v>
      </c>
      <c r="E124" s="56"/>
      <c r="F124" s="56"/>
      <c r="G124" s="56"/>
      <c r="H124" s="56"/>
      <c r="I124" s="56"/>
      <c r="J124" s="56"/>
      <c r="K124" s="56"/>
      <c r="L124" s="56"/>
      <c r="M124" s="56"/>
      <c r="N124" s="56"/>
    </row>
    <row r="125" customFormat="false" ht="25.5" hidden="false" customHeight="true" outlineLevel="0" collapsed="false">
      <c r="A125" s="199" t="s">
        <v>455</v>
      </c>
      <c r="B125" s="210" t="n">
        <f aca="false">B117-B124</f>
        <v>11593.6974424877</v>
      </c>
      <c r="C125" s="210"/>
      <c r="D125" s="56" t="s">
        <v>456</v>
      </c>
      <c r="E125" s="56"/>
      <c r="F125" s="56"/>
      <c r="G125" s="56"/>
      <c r="H125" s="56"/>
      <c r="I125" s="56"/>
      <c r="J125" s="56"/>
      <c r="K125" s="56"/>
      <c r="L125" s="56"/>
      <c r="M125" s="56"/>
      <c r="N125" s="56"/>
    </row>
    <row r="126" customFormat="false" ht="28.5" hidden="false" customHeight="true" outlineLevel="0" collapsed="false">
      <c r="A126" s="63" t="s">
        <v>457</v>
      </c>
      <c r="B126" s="115" t="n">
        <f aca="false">SUM(B92:G92)/('00-三表与联动'!$B$6*'00-三表与联动'!$B$8)</f>
        <v>1.14265334790101</v>
      </c>
      <c r="C126" s="115"/>
      <c r="D126" s="56" t="s">
        <v>458</v>
      </c>
      <c r="E126" s="56"/>
      <c r="F126" s="56"/>
      <c r="G126" s="56"/>
      <c r="H126" s="56"/>
      <c r="I126" s="56"/>
      <c r="J126" s="56"/>
      <c r="K126" s="56"/>
      <c r="L126" s="56"/>
      <c r="M126" s="56"/>
      <c r="N126" s="56"/>
    </row>
    <row r="127" customFormat="false" ht="18.75" hidden="false" customHeight="true" outlineLevel="0" collapsed="false">
      <c r="A127" s="63" t="s">
        <v>459</v>
      </c>
      <c r="B127" s="116" t="n">
        <f aca="false">B72/'00-三表与联动'!$B$6</f>
        <v>2.71178925583054</v>
      </c>
      <c r="C127" s="116"/>
      <c r="D127" s="56" t="s">
        <v>460</v>
      </c>
      <c r="E127" s="56"/>
      <c r="F127" s="56"/>
      <c r="G127" s="56"/>
      <c r="H127" s="56"/>
      <c r="I127" s="56"/>
      <c r="J127" s="56"/>
      <c r="K127" s="56"/>
      <c r="L127" s="56"/>
      <c r="M127" s="56"/>
      <c r="N127" s="56"/>
    </row>
    <row r="128" customFormat="false" ht="45.75" hidden="false" customHeight="true" outlineLevel="0" collapsed="false">
      <c r="A128" s="30" t="s">
        <v>461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30" customFormat="false" ht="24" hidden="false" customHeight="true" outlineLevel="0" collapsed="false">
      <c r="A130" s="117" t="s">
        <v>462</v>
      </c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</row>
    <row r="131" customFormat="false" ht="20.25" hidden="false" customHeight="true" outlineLevel="0" collapsed="false">
      <c r="A131" s="74" t="s">
        <v>463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</row>
    <row r="132" customFormat="false" ht="27" hidden="false" customHeight="true" outlineLevel="0" collapsed="false">
      <c r="A132" s="4" t="s">
        <v>325</v>
      </c>
      <c r="B132" s="4" t="s">
        <v>464</v>
      </c>
      <c r="C132" s="4" t="s">
        <v>465</v>
      </c>
      <c r="D132" s="4"/>
      <c r="E132" s="4"/>
      <c r="F132" s="4"/>
      <c r="G132" s="4"/>
      <c r="H132" s="4" t="s">
        <v>466</v>
      </c>
      <c r="I132" s="4" t="s">
        <v>467</v>
      </c>
      <c r="J132" s="4" t="s">
        <v>373</v>
      </c>
      <c r="K132" s="4"/>
      <c r="L132" s="4"/>
      <c r="M132" s="4"/>
      <c r="N132" s="4"/>
    </row>
    <row r="133" customFormat="false" ht="30" hidden="false" customHeight="true" outlineLevel="0" collapsed="false">
      <c r="A133" s="118" t="s">
        <v>468</v>
      </c>
      <c r="B133" s="211" t="n">
        <f aca="false">H133/1000</f>
        <v>1</v>
      </c>
      <c r="C133" s="120"/>
      <c r="D133" s="120"/>
      <c r="E133" s="120"/>
      <c r="F133" s="120"/>
      <c r="G133" s="120"/>
      <c r="H133" s="121" t="n">
        <v>1000</v>
      </c>
      <c r="I133" s="122" t="s">
        <v>469</v>
      </c>
      <c r="J133" s="123" t="s">
        <v>470</v>
      </c>
      <c r="K133" s="123"/>
      <c r="L133" s="123"/>
      <c r="M133" s="123"/>
      <c r="N133" s="123"/>
    </row>
    <row r="134" customFormat="false" ht="30" hidden="false" customHeight="true" outlineLevel="0" collapsed="false">
      <c r="A134" s="118"/>
      <c r="B134" s="211"/>
      <c r="C134" s="120"/>
      <c r="D134" s="120"/>
      <c r="E134" s="120"/>
      <c r="F134" s="120"/>
      <c r="G134" s="120"/>
      <c r="H134" s="121"/>
      <c r="I134" s="122"/>
      <c r="J134" s="122"/>
      <c r="K134" s="123"/>
      <c r="L134" s="123"/>
      <c r="M134" s="123"/>
      <c r="N134" s="123"/>
    </row>
    <row r="135" customFormat="false" ht="30" hidden="false" customHeight="true" outlineLevel="0" collapsed="false">
      <c r="A135" s="118" t="s">
        <v>471</v>
      </c>
      <c r="B135" s="212" t="n">
        <f aca="false">H135/100</f>
        <v>1</v>
      </c>
      <c r="C135" s="120"/>
      <c r="D135" s="120"/>
      <c r="E135" s="120"/>
      <c r="F135" s="120"/>
      <c r="G135" s="120"/>
      <c r="H135" s="121" t="n">
        <v>100</v>
      </c>
      <c r="I135" s="122" t="s">
        <v>472</v>
      </c>
      <c r="J135" s="123" t="s">
        <v>473</v>
      </c>
      <c r="K135" s="123"/>
      <c r="L135" s="123"/>
      <c r="M135" s="123"/>
      <c r="N135" s="123"/>
    </row>
    <row r="136" customFormat="false" ht="30" hidden="false" customHeight="true" outlineLevel="0" collapsed="false">
      <c r="A136" s="118"/>
      <c r="B136" s="212"/>
      <c r="C136" s="120"/>
      <c r="D136" s="120"/>
      <c r="E136" s="120"/>
      <c r="F136" s="120"/>
      <c r="G136" s="120"/>
      <c r="H136" s="121"/>
      <c r="I136" s="122"/>
      <c r="J136" s="122"/>
      <c r="K136" s="123"/>
      <c r="L136" s="123"/>
      <c r="M136" s="123"/>
      <c r="N136" s="123"/>
    </row>
    <row r="137" customFormat="false" ht="30" hidden="false" customHeight="true" outlineLevel="0" collapsed="false">
      <c r="A137" s="125" t="s">
        <v>474</v>
      </c>
      <c r="B137" s="213" t="n">
        <f aca="false">H137/10</f>
        <v>12</v>
      </c>
      <c r="C137" s="120"/>
      <c r="D137" s="120"/>
      <c r="E137" s="120"/>
      <c r="F137" s="120"/>
      <c r="G137" s="120"/>
      <c r="H137" s="121" t="n">
        <v>120</v>
      </c>
      <c r="I137" s="122" t="s">
        <v>475</v>
      </c>
      <c r="J137" s="123" t="s">
        <v>476</v>
      </c>
      <c r="K137" s="123"/>
      <c r="L137" s="123"/>
      <c r="M137" s="123"/>
      <c r="N137" s="123"/>
    </row>
    <row r="138" customFormat="false" ht="30" hidden="false" customHeight="true" outlineLevel="0" collapsed="false">
      <c r="A138" s="125"/>
      <c r="B138" s="213"/>
      <c r="C138" s="120"/>
      <c r="D138" s="120"/>
      <c r="E138" s="120"/>
      <c r="F138" s="120"/>
      <c r="G138" s="120"/>
      <c r="H138" s="121"/>
      <c r="I138" s="122"/>
      <c r="J138" s="122"/>
      <c r="K138" s="123"/>
      <c r="L138" s="123"/>
      <c r="M138" s="123"/>
      <c r="N138" s="123"/>
    </row>
    <row r="139" customFormat="false" ht="30" hidden="false" customHeight="true" outlineLevel="0" collapsed="false">
      <c r="A139" s="125" t="s">
        <v>477</v>
      </c>
      <c r="B139" s="213" t="n">
        <f aca="false">H139/10</f>
        <v>15</v>
      </c>
      <c r="C139" s="120"/>
      <c r="D139" s="120"/>
      <c r="E139" s="120"/>
      <c r="F139" s="120"/>
      <c r="G139" s="120"/>
      <c r="H139" s="121" t="n">
        <v>150</v>
      </c>
      <c r="I139" s="122" t="s">
        <v>475</v>
      </c>
      <c r="J139" s="123" t="s">
        <v>478</v>
      </c>
      <c r="K139" s="123"/>
      <c r="L139" s="123"/>
      <c r="M139" s="123"/>
      <c r="N139" s="123"/>
    </row>
    <row r="140" customFormat="false" ht="30" hidden="false" customHeight="true" outlineLevel="0" collapsed="false">
      <c r="A140" s="125"/>
      <c r="B140" s="213"/>
      <c r="C140" s="120"/>
      <c r="D140" s="120"/>
      <c r="E140" s="120"/>
      <c r="F140" s="120"/>
      <c r="G140" s="120"/>
      <c r="H140" s="121"/>
      <c r="I140" s="122"/>
      <c r="J140" s="122"/>
      <c r="K140" s="123"/>
      <c r="L140" s="123"/>
      <c r="M140" s="123"/>
      <c r="N140" s="123"/>
    </row>
    <row r="141" customFormat="false" ht="30" hidden="false" customHeight="true" outlineLevel="0" collapsed="false">
      <c r="A141" s="125" t="s">
        <v>479</v>
      </c>
      <c r="B141" s="213" t="n">
        <f aca="false">H141/10</f>
        <v>18</v>
      </c>
      <c r="C141" s="120"/>
      <c r="D141" s="120"/>
      <c r="E141" s="120"/>
      <c r="F141" s="120"/>
      <c r="G141" s="120"/>
      <c r="H141" s="121" t="n">
        <v>180</v>
      </c>
      <c r="I141" s="122" t="s">
        <v>475</v>
      </c>
      <c r="J141" s="123" t="s">
        <v>480</v>
      </c>
      <c r="K141" s="123"/>
      <c r="L141" s="123"/>
      <c r="M141" s="123"/>
      <c r="N141" s="123"/>
    </row>
    <row r="142" customFormat="false" ht="30" hidden="false" customHeight="true" outlineLevel="0" collapsed="false">
      <c r="A142" s="125"/>
      <c r="B142" s="213"/>
      <c r="C142" s="120"/>
      <c r="D142" s="120"/>
      <c r="E142" s="120"/>
      <c r="F142" s="120"/>
      <c r="G142" s="120"/>
      <c r="H142" s="121"/>
      <c r="I142" s="122"/>
      <c r="J142" s="122"/>
      <c r="K142" s="123"/>
      <c r="L142" s="123"/>
      <c r="M142" s="123"/>
      <c r="N142" s="123"/>
    </row>
    <row r="144" customFormat="false" ht="18.75" hidden="false" customHeight="true" outlineLevel="0" collapsed="false">
      <c r="A144" s="45" t="s">
        <v>481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</row>
    <row r="145" customFormat="false" ht="27.75" hidden="false" customHeight="true" outlineLevel="0" collapsed="false">
      <c r="A145" s="127" t="s">
        <v>482</v>
      </c>
      <c r="B145" s="128" t="n">
        <v>0</v>
      </c>
      <c r="C145" s="128" t="n">
        <v>0.25</v>
      </c>
      <c r="D145" s="128" t="n">
        <v>0.5</v>
      </c>
      <c r="E145" s="128" t="n">
        <v>0.75</v>
      </c>
      <c r="F145" s="128" t="n">
        <v>1</v>
      </c>
      <c r="G145" s="34"/>
      <c r="H145" s="34"/>
      <c r="I145" s="34"/>
      <c r="J145" s="34"/>
      <c r="K145" s="34"/>
      <c r="L145" s="34"/>
      <c r="M145" s="34"/>
      <c r="N145" s="34"/>
    </row>
    <row r="146" customFormat="false" ht="18.75" hidden="false" customHeight="true" outlineLevel="0" collapsed="false">
      <c r="A146" s="129" t="n">
        <f aca="false">MAX(1,$B$141+-4)</f>
        <v>14</v>
      </c>
      <c r="B146" s="96" t="n">
        <f aca="false">((G39/MAX(20,'00-三表与联动'!$B$9-B$145*SUMPRODUCT(B90:G90,1/B93:G93)+SUM(B95:G95)))*$A$146+(('00-三表与联动'!$B$10+'00-三表与联动'!$B$11-'00-三表与联动'!$B$12)+(1-B$145)*SUM(B90:G90))/MAX(20,'00-三表与联动'!$B$9-B$145*SUMPRODUCT(B90:G90,1/B93:G93)+SUM(B95:G95)))/(1+$B$209)^6</f>
        <v>3760.20191589646</v>
      </c>
      <c r="C146" s="96" t="n">
        <f aca="false">((G39/MAX(20,'00-三表与联动'!$B$9-C$145*SUMPRODUCT(B90:G90,1/B93:G93)+SUM(B95:G95)))*$A$146+(('00-三表与联动'!$B$10+'00-三表与联动'!$B$11-'00-三表与联动'!$B$12)+(1-C$145)*SUM(B90:G90))/MAX(20,'00-三表与联动'!$B$9-C$145*SUMPRODUCT(B90:G90,1/B93:G93)+SUM(B95:G95)))/(1+$B$209)^6</f>
        <v>4386.95135529755</v>
      </c>
      <c r="D146" s="96" t="n">
        <f aca="false">((G39/MAX(20,'00-三表与联动'!$B$9-D$145*SUMPRODUCT(B90:G90,1/B93:G93)+SUM(B95:G95)))*$A$146+(('00-三表与联动'!$B$10+'00-三表与联动'!$B$11-'00-三表与联动'!$B$12)+(1-D$145)*SUM(B90:G90))/MAX(20,'00-三表与联动'!$B$9-D$145*SUMPRODUCT(B90:G90,1/B93:G93)+SUM(B95:G95)))/(1+$B$209)^6</f>
        <v>5406.94022445567</v>
      </c>
      <c r="E146" s="96" t="n">
        <f aca="false">((G39/MAX(20,'00-三表与联动'!$B$9-E$145*SUMPRODUCT(B90:G90,1/B93:G93)+SUM(B95:G95)))*$A$146+(('00-三表与联动'!$B$10+'00-三表与联动'!$B$11-'00-三表与联动'!$B$12)+(1-E$145)*SUM(B90:G90))/MAX(20,'00-三表与联动'!$B$9-E$145*SUMPRODUCT(B90:G90,1/B93:G93)+SUM(B95:G95)))/(1+$B$209)^6</f>
        <v>7359.43809822046</v>
      </c>
      <c r="F146" s="96" t="n">
        <f aca="false">((G39/MAX(20,'00-三表与联动'!$B$9-F$145*SUMPRODUCT(B90:G90,1/B93:G93)+SUM(B95:G95)))*$A$146+(('00-三表与联动'!$B$10+'00-三表与联动'!$B$11-'00-三表与联动'!$B$12)+(1-F$145)*SUM(B90:G90))/MAX(20,'00-三表与联动'!$B$9-F$145*SUMPRODUCT(B90:G90,1/B93:G93)+SUM(B95:G95)))/(1+$B$209)^6</f>
        <v>12600.0140790074</v>
      </c>
      <c r="G146" s="93"/>
      <c r="H146" s="93"/>
      <c r="I146" s="93"/>
      <c r="J146" s="93"/>
      <c r="K146" s="93"/>
      <c r="L146" s="93"/>
      <c r="M146" s="93"/>
      <c r="N146" s="93"/>
    </row>
    <row r="147" customFormat="false" ht="18.75" hidden="false" customHeight="true" outlineLevel="0" collapsed="false">
      <c r="A147" s="129" t="n">
        <f aca="false">MAX(1,$B$141+-2)</f>
        <v>16</v>
      </c>
      <c r="B147" s="96" t="n">
        <f aca="false">((G39/MAX(20,'00-三表与联动'!$B$9-B$145*SUMPRODUCT(B90:G90,1/B93:G93)+SUM(B95:G95)))*$A$147+(('00-三表与联动'!$B$10+'00-三表与联动'!$B$11-'00-三表与联动'!$B$12)+(1-B$145)*SUM(B90:G90))/MAX(20,'00-三表与联动'!$B$9-B$145*SUMPRODUCT(B90:G90,1/B93:G93)+SUM(B95:G95)))/(1+$B$209)^6</f>
        <v>4169.02395247552</v>
      </c>
      <c r="C147" s="96" t="n">
        <f aca="false">((G39/MAX(20,'00-三表与联动'!$B$9-C$145*SUMPRODUCT(B90:G90,1/B93:G93)+SUM(B95:G95)))*$A$147+(('00-三表与联动'!$B$10+'00-三表与联动'!$B$11-'00-三表与联动'!$B$12)+(1-C$145)*SUM(B90:G90))/MAX(20,'00-三表与联动'!$B$9-C$145*SUMPRODUCT(B90:G90,1/B93:G93)+SUM(B95:G95)))/(1+$B$209)^6</f>
        <v>4893.39967754741</v>
      </c>
      <c r="D147" s="96" t="n">
        <f aca="false">((G39/MAX(20,'00-三表与联动'!$B$9-D$145*SUMPRODUCT(B90:G90,1/B93:G93)+SUM(B95:G95)))*$A$147+(('00-三表与联动'!$B$10+'00-三表与联动'!$B$11-'00-三表与联动'!$B$12)+(1-D$145)*SUM(B90:G90))/MAX(20,'00-三表与联动'!$B$9-D$145*SUMPRODUCT(B90:G90,1/B93:G93)+SUM(B95:G95)))/(1+$B$209)^6</f>
        <v>6072.26818577889</v>
      </c>
      <c r="E147" s="96" t="n">
        <f aca="false">((G39/MAX(20,'00-三表与联动'!$B$9-E$145*SUMPRODUCT(B90:G90,1/B93:G93)+SUM(B95:G95)))*$A$147+(('00-三表与联动'!$B$10+'00-三表与联动'!$B$11-'00-三表与联动'!$B$12)+(1-E$145)*SUM(B90:G90))/MAX(20,'00-三表与联动'!$B$9-E$145*SUMPRODUCT(B90:G90,1/B93:G93)+SUM(B95:G95)))/(1+$B$209)^6</f>
        <v>8328.89894457338</v>
      </c>
      <c r="F147" s="96" t="n">
        <f aca="false">((G39/MAX(20,'00-三表与联动'!$B$9-F$145*SUMPRODUCT(B90:G90,1/B93:G93)+SUM(B95:G95)))*$A$147+(('00-三表与联动'!$B$10+'00-三表与联动'!$B$11-'00-三表与联动'!$B$12)+(1-F$145)*SUM(B90:G90))/MAX(20,'00-三表与联动'!$B$9-F$145*SUMPRODUCT(B90:G90,1/B93:G93)+SUM(B95:G95)))/(1+$B$209)^6</f>
        <v>14385.7787552748</v>
      </c>
      <c r="G147" s="93"/>
      <c r="H147" s="93"/>
      <c r="I147" s="93"/>
      <c r="J147" s="93"/>
      <c r="K147" s="93"/>
      <c r="L147" s="93"/>
      <c r="M147" s="93"/>
      <c r="N147" s="93"/>
    </row>
    <row r="148" customFormat="false" ht="18.75" hidden="false" customHeight="true" outlineLevel="0" collapsed="false">
      <c r="A148" s="129" t="n">
        <f aca="false">MAX(1,$B$141+0)</f>
        <v>18</v>
      </c>
      <c r="B148" s="96" t="n">
        <f aca="false">((G39/MAX(20,'00-三表与联动'!$B$9-B$145*SUMPRODUCT(B90:G90,1/B93:G93)+SUM(B95:G95)))*$A$148+(('00-三表与联动'!$B$10+'00-三表与联动'!$B$11-'00-三表与联动'!$B$12)+(1-B$145)*SUM(B90:G90))/MAX(20,'00-三表与联动'!$B$9-B$145*SUMPRODUCT(B90:G90,1/B93:G93)+SUM(B95:G95)))/(1+$B$209)^6</f>
        <v>4577.84598905457</v>
      </c>
      <c r="C148" s="96" t="n">
        <f aca="false">((G39/MAX(20,'00-三表与联动'!$B$9-C$145*SUMPRODUCT(B90:G90,1/B93:G93)+SUM(B95:G95)))*$A$148+(('00-三表与联动'!$B$10+'00-三表与联动'!$B$11-'00-三表与联动'!$B$12)+(1-C$145)*SUM(B90:G90))/MAX(20,'00-三表与联动'!$B$9-C$145*SUMPRODUCT(B90:G90,1/B93:G93)+SUM(B95:G95)))/(1+$B$209)^6</f>
        <v>5399.84799979727</v>
      </c>
      <c r="D148" s="96" t="n">
        <f aca="false">((G39/MAX(20,'00-三表与联动'!$B$9-D$145*SUMPRODUCT(B90:G90,1/B93:G93)+SUM(B95:G95)))*$A$148+(('00-三表与联动'!$B$10+'00-三表与联动'!$B$11-'00-三表与联动'!$B$12)+(1-D$145)*SUM(B90:G90))/MAX(20,'00-三表与联动'!$B$9-D$145*SUMPRODUCT(B90:G90,1/B93:G93)+SUM(B95:G95)))/(1+$B$209)^6</f>
        <v>6737.59614710211</v>
      </c>
      <c r="E148" s="96" t="n">
        <f aca="false">((G39/MAX(20,'00-三表与联动'!$B$9-E$145*SUMPRODUCT(B90:G90,1/B93:G93)+SUM(B95:G95)))*$A$148+(('00-三表与联动'!$B$10+'00-三表与联动'!$B$11-'00-三表与联动'!$B$12)+(1-E$145)*SUM(B90:G90))/MAX(20,'00-三表与联动'!$B$9-E$145*SUMPRODUCT(B90:G90,1/B93:G93)+SUM(B95:G95)))/(1+$B$209)^6</f>
        <v>9298.3597909263</v>
      </c>
      <c r="F148" s="130" t="n">
        <f aca="false">((G39/MAX(20,'00-三表与联动'!$B$9-F$145*SUMPRODUCT(B90:G90,1/B93:G93)+SUM(B95:G95)))*$A$148+(('00-三表与联动'!$B$10+'00-三表与联动'!$B$11-'00-三表与联动'!$B$12)+(1-F$145)*SUM(B90:G90))/MAX(20,'00-三表与联动'!$B$9-F$145*SUMPRODUCT(B90:G90,1/B93:G93)+SUM(B95:G95)))/(1+$B$209)^6</f>
        <v>16171.5434315423</v>
      </c>
      <c r="G148" s="93"/>
      <c r="H148" s="93"/>
      <c r="I148" s="93"/>
      <c r="J148" s="93"/>
      <c r="K148" s="93"/>
      <c r="L148" s="93"/>
      <c r="M148" s="93"/>
      <c r="N148" s="93"/>
    </row>
    <row r="149" customFormat="false" ht="18.75" hidden="false" customHeight="true" outlineLevel="0" collapsed="false">
      <c r="A149" s="129" t="n">
        <f aca="false">MAX(1,$B$141+2)</f>
        <v>20</v>
      </c>
      <c r="B149" s="96" t="n">
        <f aca="false">((G39/MAX(20,'00-三表与联动'!$B$9-B$145*SUMPRODUCT(B90:G90,1/B93:G93)+SUM(B95:G95)))*$A$149+(('00-三表与联动'!$B$10+'00-三表与联动'!$B$11-'00-三表与联动'!$B$12)+(1-B$145)*SUM(B90:G90))/MAX(20,'00-三表与联动'!$B$9-B$145*SUMPRODUCT(B90:G90,1/B93:G93)+SUM(B95:G95)))/(1+$B$209)^6</f>
        <v>4986.66802563363</v>
      </c>
      <c r="C149" s="96" t="n">
        <f aca="false">((G39/MAX(20,'00-三表与联动'!$B$9-C$145*SUMPRODUCT(B90:G90,1/B93:G93)+SUM(B95:G95)))*$A$149+(('00-三表与联动'!$B$10+'00-三表与联动'!$B$11-'00-三表与联动'!$B$12)+(1-C$145)*SUM(B90:G90))/MAX(20,'00-三表与联动'!$B$9-C$145*SUMPRODUCT(B90:G90,1/B93:G93)+SUM(B95:G95)))/(1+$B$209)^6</f>
        <v>5906.29632204713</v>
      </c>
      <c r="D149" s="96" t="n">
        <f aca="false">((G39/MAX(20,'00-三表与联动'!$B$9-D$145*SUMPRODUCT(B90:G90,1/B93:G93)+SUM(B95:G95)))*$A$149+(('00-三表与联动'!$B$10+'00-三表与联动'!$B$11-'00-三表与联动'!$B$12)+(1-D$145)*SUM(B90:G90))/MAX(20,'00-三表与联动'!$B$9-D$145*SUMPRODUCT(B90:G90,1/B93:G93)+SUM(B95:G95)))/(1+$B$209)^6</f>
        <v>7402.92410842532</v>
      </c>
      <c r="E149" s="96" t="n">
        <f aca="false">((G39/MAX(20,'00-三表与联动'!$B$9-E$145*SUMPRODUCT(B90:G90,1/B93:G93)+SUM(B95:G95)))*$A$149+(('00-三表与联动'!$B$10+'00-三表与联动'!$B$11-'00-三表与联动'!$B$12)+(1-E$145)*SUM(B90:G90))/MAX(20,'00-三表与联动'!$B$9-E$145*SUMPRODUCT(B90:G90,1/B93:G93)+SUM(B95:G95)))/(1+$B$209)^6</f>
        <v>10267.8206372792</v>
      </c>
      <c r="F149" s="96" t="n">
        <f aca="false">((G39/MAX(20,'00-三表与联动'!$B$9-F$145*SUMPRODUCT(B90:G90,1/B93:G93)+SUM(B95:G95)))*$A$149+(('00-三表与联动'!$B$10+'00-三表与联动'!$B$11-'00-三表与联动'!$B$12)+(1-F$145)*SUM(B90:G90))/MAX(20,'00-三表与联动'!$B$9-F$145*SUMPRODUCT(B90:G90,1/B93:G93)+SUM(B95:G95)))/(1+$B$209)^6</f>
        <v>17957.3081078097</v>
      </c>
      <c r="G149" s="93"/>
      <c r="H149" s="93"/>
      <c r="I149" s="93"/>
      <c r="J149" s="93"/>
      <c r="K149" s="93"/>
      <c r="L149" s="93"/>
      <c r="M149" s="93"/>
      <c r="N149" s="93"/>
    </row>
    <row r="150" customFormat="false" ht="18.75" hidden="false" customHeight="true" outlineLevel="0" collapsed="false">
      <c r="A150" s="129" t="n">
        <f aca="false">MAX(1,$B$141+4)</f>
        <v>22</v>
      </c>
      <c r="B150" s="96" t="n">
        <f aca="false">((G39/MAX(20,'00-三表与联动'!$B$9-B$145*SUMPRODUCT(B90:G90,1/B93:G93)+SUM(B95:G95)))*$A$150+(('00-三表与联动'!$B$10+'00-三表与联动'!$B$11-'00-三表与联动'!$B$12)+(1-B$145)*SUM(B90:G90))/MAX(20,'00-三表与联动'!$B$9-B$145*SUMPRODUCT(B90:G90,1/B93:G93)+SUM(B95:G95)))/(1+$B$209)^6</f>
        <v>5395.49006221268</v>
      </c>
      <c r="C150" s="96" t="n">
        <f aca="false">((G39/MAX(20,'00-三表与联动'!$B$9-C$145*SUMPRODUCT(B90:G90,1/B93:G93)+SUM(B95:G95)))*$A$150+(('00-三表与联动'!$B$10+'00-三表与联动'!$B$11-'00-三表与联动'!$B$12)+(1-C$145)*SUM(B90:G90))/MAX(20,'00-三表与联动'!$B$9-C$145*SUMPRODUCT(B90:G90,1/B93:G93)+SUM(B95:G95)))/(1+$B$209)^6</f>
        <v>6412.74464429699</v>
      </c>
      <c r="D150" s="96" t="n">
        <f aca="false">((G39/MAX(20,'00-三表与联动'!$B$9-D$145*SUMPRODUCT(B90:G90,1/B93:G93)+SUM(B95:G95)))*$A$150+(('00-三表与联动'!$B$10+'00-三表与联动'!$B$11-'00-三表与联动'!$B$12)+(1-D$145)*SUM(B90:G90))/MAX(20,'00-三表与联动'!$B$9-D$145*SUMPRODUCT(B90:G90,1/B93:G93)+SUM(B95:G95)))/(1+$B$209)^6</f>
        <v>8068.25206974854</v>
      </c>
      <c r="E150" s="96" t="n">
        <f aca="false">((G39/MAX(20,'00-三表与联动'!$B$9-E$145*SUMPRODUCT(B90:G90,1/B93:G93)+SUM(B95:G95)))*$A$150+(('00-三表与联动'!$B$10+'00-三表与联动'!$B$11-'00-三表与联动'!$B$12)+(1-E$145)*SUM(B90:G90))/MAX(20,'00-三表与联动'!$B$9-E$145*SUMPRODUCT(B90:G90,1/B93:G93)+SUM(B95:G95)))/(1+$B$209)^6</f>
        <v>11237.2814836321</v>
      </c>
      <c r="F150" s="96" t="n">
        <f aca="false">((G39/MAX(20,'00-三表与联动'!$B$9-F$145*SUMPRODUCT(B90:G90,1/B93:G93)+SUM(B95:G95)))*$A$150+(('00-三表与联动'!$B$10+'00-三表与联动'!$B$11-'00-三表与联动'!$B$12)+(1-F$145)*SUM(B90:G90))/MAX(20,'00-三表与联动'!$B$9-F$145*SUMPRODUCT(B90:G90,1/B93:G93)+SUM(B95:G95)))/(1+$B$209)^6</f>
        <v>19743.0727840771</v>
      </c>
      <c r="G150" s="93"/>
      <c r="H150" s="93"/>
      <c r="I150" s="93"/>
      <c r="J150" s="93"/>
      <c r="K150" s="93"/>
      <c r="L150" s="93"/>
      <c r="M150" s="93"/>
      <c r="N150" s="93"/>
    </row>
    <row r="151" customFormat="false" ht="33" hidden="false" customHeight="true" outlineLevel="0" collapsed="false">
      <c r="A151" s="29" t="s">
        <v>483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</row>
    <row r="153" customFormat="false" ht="18.75" hidden="false" customHeight="true" outlineLevel="0" collapsed="false">
      <c r="A153" s="45" t="s">
        <v>484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</row>
    <row r="154" customFormat="false" ht="39.75" hidden="false" customHeight="true" outlineLevel="0" collapsed="false">
      <c r="A154" s="13" t="s">
        <v>485</v>
      </c>
      <c r="B154" s="13" t="s">
        <v>486</v>
      </c>
      <c r="C154" s="13" t="s">
        <v>487</v>
      </c>
      <c r="D154" s="13" t="s">
        <v>488</v>
      </c>
      <c r="E154" s="13" t="s">
        <v>489</v>
      </c>
      <c r="F154" s="13" t="s">
        <v>490</v>
      </c>
      <c r="G154" s="4" t="s">
        <v>491</v>
      </c>
      <c r="H154" s="4"/>
      <c r="I154" s="4"/>
      <c r="J154" s="4"/>
      <c r="K154" s="4"/>
      <c r="L154" s="4"/>
      <c r="M154" s="4"/>
      <c r="N154" s="4"/>
    </row>
    <row r="155" customFormat="false" ht="18.75" hidden="false" customHeight="true" outlineLevel="0" collapsed="false">
      <c r="A155" s="131" t="n">
        <v>6</v>
      </c>
      <c r="B155" s="132" t="n">
        <f aca="false">B100*$A$155+B101</f>
        <v>1512.76209747945</v>
      </c>
      <c r="C155" s="132" t="n">
        <f aca="false">(C100*$A$155+C101)/(1+$B$209)^2</f>
        <v>1587.60677235231</v>
      </c>
      <c r="D155" s="132" t="n">
        <f aca="false">(G100*$A$155+G101)/(1+$B$209)^6</f>
        <v>5456.95537393776</v>
      </c>
      <c r="E155" s="133" t="n">
        <f aca="false">B155/'00-三表与联动'!$B$6-1</f>
        <v>0.00839378035785643</v>
      </c>
      <c r="F155" s="133" t="n">
        <f aca="false">D155/'00-三表与联动'!$B$6-1</f>
        <v>2.63755799271933</v>
      </c>
      <c r="G155" s="93"/>
      <c r="H155" s="93"/>
      <c r="I155" s="93"/>
      <c r="J155" s="93"/>
      <c r="K155" s="93"/>
      <c r="L155" s="93"/>
      <c r="M155" s="93"/>
      <c r="N155" s="93"/>
    </row>
    <row r="156" customFormat="false" ht="18.75" hidden="false" customHeight="true" outlineLevel="0" collapsed="false">
      <c r="A156" s="131" t="n">
        <v>9</v>
      </c>
      <c r="B156" s="132" t="n">
        <f aca="false">B100*$A$156+B101</f>
        <v>2245.2289286371</v>
      </c>
      <c r="C156" s="132" t="n">
        <f aca="false">(C100*$A$156+C101)/(1+$B$209)^2</f>
        <v>2358.70408217543</v>
      </c>
      <c r="D156" s="132" t="n">
        <f aca="false">(G100*$A$156+G101)/(1+$B$209)^6</f>
        <v>8135.60238833888</v>
      </c>
      <c r="E156" s="133" t="n">
        <f aca="false">B156/'00-三表与联动'!$B$6-1</f>
        <v>0.496649665462645</v>
      </c>
      <c r="F156" s="133" t="n">
        <f aca="false">D156/'00-三表与联动'!$B$6-1</f>
        <v>4.42312030525799</v>
      </c>
      <c r="G156" s="93"/>
      <c r="H156" s="93"/>
      <c r="I156" s="93"/>
      <c r="J156" s="93"/>
      <c r="K156" s="93"/>
      <c r="L156" s="93"/>
      <c r="M156" s="93"/>
      <c r="N156" s="93"/>
    </row>
    <row r="157" customFormat="false" ht="18.75" hidden="false" customHeight="true" outlineLevel="0" collapsed="false">
      <c r="A157" s="131" t="n">
        <v>12</v>
      </c>
      <c r="B157" s="132" t="n">
        <f aca="false">B100*$A$157+B101</f>
        <v>2977.69575979475</v>
      </c>
      <c r="C157" s="132" t="n">
        <f aca="false">(C100*$A$157+C101)/(1+$B$209)^2</f>
        <v>3129.80139199854</v>
      </c>
      <c r="D157" s="132" t="n">
        <f aca="false">(G100*$A$157+G101)/(1+$B$209)^6</f>
        <v>10814.24940274</v>
      </c>
      <c r="E157" s="133" t="n">
        <f aca="false">B157/'00-三表与联动'!$B$6-1</f>
        <v>0.984905550567433</v>
      </c>
      <c r="F157" s="133" t="n">
        <f aca="false">D157/'00-三表与联动'!$B$6-1</f>
        <v>6.20868261779666</v>
      </c>
      <c r="G157" s="93"/>
      <c r="H157" s="93"/>
      <c r="I157" s="93"/>
      <c r="J157" s="93"/>
      <c r="K157" s="93"/>
      <c r="L157" s="93"/>
      <c r="M157" s="93"/>
      <c r="N157" s="93"/>
    </row>
    <row r="158" customFormat="false" ht="18.75" hidden="false" customHeight="true" outlineLevel="0" collapsed="false">
      <c r="A158" s="131" t="n">
        <v>15</v>
      </c>
      <c r="B158" s="132" t="n">
        <f aca="false">B100*$A$158+B101</f>
        <v>3710.1625909524</v>
      </c>
      <c r="C158" s="132" t="n">
        <f aca="false">(C100*$A$158+C101)/(1+$B$209)^2</f>
        <v>3900.89870182166</v>
      </c>
      <c r="D158" s="132" t="n">
        <f aca="false">(G100*$A$158+G101)/(1+$B$209)^6</f>
        <v>13492.8964171411</v>
      </c>
      <c r="E158" s="133" t="n">
        <f aca="false">B158/'00-三表与联动'!$B$6-1</f>
        <v>1.47316143567222</v>
      </c>
      <c r="F158" s="133" t="n">
        <f aca="false">D158/'00-三表与联动'!$B$6-1</f>
        <v>7.99424493033532</v>
      </c>
      <c r="G158" s="93"/>
      <c r="H158" s="93"/>
      <c r="I158" s="93"/>
      <c r="J158" s="93"/>
      <c r="K158" s="93"/>
      <c r="L158" s="93"/>
      <c r="M158" s="93"/>
      <c r="N158" s="93"/>
    </row>
    <row r="159" customFormat="false" ht="18.75" hidden="false" customHeight="true" outlineLevel="0" collapsed="false">
      <c r="A159" s="131" t="n">
        <v>18</v>
      </c>
      <c r="B159" s="132" t="n">
        <f aca="false">B100*$A$159+B101</f>
        <v>4442.62942211005</v>
      </c>
      <c r="C159" s="132" t="n">
        <f aca="false">(C100*$A$159+C101)/(1+$B$209)^2</f>
        <v>4671.99601164478</v>
      </c>
      <c r="D159" s="132" t="n">
        <f aca="false">(G100*$A$159+G101)/(1+$B$209)^6</f>
        <v>16171.5434315423</v>
      </c>
      <c r="E159" s="133" t="n">
        <f aca="false">B159/'00-三表与联动'!$B$6-1</f>
        <v>1.96141732077701</v>
      </c>
      <c r="F159" s="133" t="n">
        <f aca="false">D159/'00-三表与联动'!$B$6-1</f>
        <v>9.77980724287398</v>
      </c>
      <c r="G159" s="93"/>
      <c r="H159" s="93"/>
      <c r="I159" s="93"/>
      <c r="J159" s="93"/>
      <c r="K159" s="93"/>
      <c r="L159" s="93"/>
      <c r="M159" s="93"/>
      <c r="N159" s="93"/>
    </row>
    <row r="160" customFormat="false" ht="18.75" hidden="false" customHeight="true" outlineLevel="0" collapsed="false">
      <c r="A160" s="131" t="n">
        <v>21</v>
      </c>
      <c r="B160" s="132" t="n">
        <f aca="false">B100*$A$160+B101</f>
        <v>5175.0962532677</v>
      </c>
      <c r="C160" s="132" t="n">
        <f aca="false">(C100*$A$160+C101)/(1+$B$209)^2</f>
        <v>5443.0933214679</v>
      </c>
      <c r="D160" s="132" t="n">
        <f aca="false">(G100*$A$160+G101)/(1+$B$209)^6</f>
        <v>18850.1904459434</v>
      </c>
      <c r="E160" s="133" t="n">
        <f aca="false">B160/'00-三表与联动'!$B$6-1</f>
        <v>2.4496732058818</v>
      </c>
      <c r="F160" s="133" t="n">
        <f aca="false">D160/'00-三表与联动'!$B$6-1</f>
        <v>11.5653695554126</v>
      </c>
      <c r="G160" s="93"/>
      <c r="H160" s="93"/>
      <c r="I160" s="93"/>
      <c r="J160" s="93"/>
      <c r="K160" s="93"/>
      <c r="L160" s="93"/>
      <c r="M160" s="93"/>
      <c r="N160" s="93"/>
    </row>
    <row r="161" customFormat="false" ht="33" hidden="false" customHeight="true" outlineLevel="0" collapsed="false">
      <c r="A161" s="29" t="s">
        <v>492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</row>
    <row r="164" customFormat="false" ht="24" hidden="false" customHeight="true" outlineLevel="0" collapsed="false">
      <c r="A164" s="194" t="s">
        <v>493</v>
      </c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</row>
    <row r="165" customFormat="false" ht="33" hidden="false" customHeight="true" outlineLevel="0" collapsed="false">
      <c r="A165" s="44" t="s">
        <v>494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</row>
    <row r="166" customFormat="false" ht="18.75" hidden="false" customHeight="true" outlineLevel="0" collapsed="false">
      <c r="A166" s="45" t="s">
        <v>495</v>
      </c>
      <c r="B166" s="45"/>
      <c r="C166" s="45"/>
      <c r="D166" s="45"/>
      <c r="E166" s="45"/>
      <c r="F166" s="45"/>
      <c r="G166" s="45"/>
      <c r="H166" s="45" t="s">
        <v>496</v>
      </c>
      <c r="I166" s="45"/>
      <c r="J166" s="45"/>
      <c r="K166" s="45"/>
      <c r="L166" s="45"/>
      <c r="M166" s="45"/>
      <c r="N166" s="45"/>
    </row>
    <row r="167" customFormat="false" ht="27.75" hidden="false" customHeight="true" outlineLevel="0" collapsed="false">
      <c r="A167" s="127" t="s">
        <v>497</v>
      </c>
      <c r="B167" s="134" t="n">
        <f aca="false">$B$211+-0.01</f>
        <v>0.025</v>
      </c>
      <c r="C167" s="134" t="n">
        <f aca="false">$B$211+-0.005</f>
        <v>0.03</v>
      </c>
      <c r="D167" s="134" t="n">
        <f aca="false">$B$211+0</f>
        <v>0.035</v>
      </c>
      <c r="E167" s="134" t="n">
        <f aca="false">$B$211+0.005</f>
        <v>0.04</v>
      </c>
      <c r="F167" s="134" t="n">
        <f aca="false">$B$211+0.01</f>
        <v>0.045</v>
      </c>
      <c r="G167" s="34"/>
      <c r="H167" s="127" t="s">
        <v>498</v>
      </c>
      <c r="I167" s="134" t="n">
        <f aca="false">MAX(0.05,MIN(0.92,$B$195+-0.1))</f>
        <v>0.66</v>
      </c>
      <c r="J167" s="134" t="n">
        <f aca="false">MAX(0.05,MIN(0.92,$B$195+-0.05))</f>
        <v>0.71</v>
      </c>
      <c r="K167" s="134" t="n">
        <f aca="false">MAX(0.05,MIN(0.92,$B$195+0))</f>
        <v>0.76</v>
      </c>
      <c r="L167" s="134" t="n">
        <f aca="false">MAX(0.05,MIN(0.92,$B$195+0.05))</f>
        <v>0.81</v>
      </c>
      <c r="M167" s="134" t="n">
        <f aca="false">MAX(0.05,MIN(0.92,$B$195+0.1))</f>
        <v>0.86</v>
      </c>
      <c r="N167" s="34"/>
    </row>
    <row r="168" customFormat="false" ht="18.75" hidden="false" customHeight="true" outlineLevel="0" collapsed="false">
      <c r="A168" s="135" t="n">
        <f aca="false">$B$209+-0.02</f>
        <v>0.085</v>
      </c>
      <c r="B168" s="100" t="n">
        <f aca="false">IF($A$168&lt;=B$167,"n/a",($B$62*(1+$B$209)^3.5/(1+$A$168)^3.5+$G$45*(1+B$167)/($A$168-B$167)/(1+$A$168)^6)+('00-三表与联动'!$B$10+'00-三表与联动'!$B$11-'00-三表与联动'!$B$12))/'00-三表与联动'!$B$9</f>
        <v>4910.37250310546</v>
      </c>
      <c r="C168" s="100" t="n">
        <f aca="false">IF($A$168&lt;=C$167,"n/a",($B$62*(1+$B$209)^3.5/(1+$A$168)^3.5+$G$45*(1+C$167)/($A$168-C$167)/(1+$A$168)^6)+('00-三表与联动'!$B$10+'00-三表与联动'!$B$11-'00-三表与联动'!$B$12))/'00-三表与联动'!$B$9</f>
        <v>5258.31556859707</v>
      </c>
      <c r="D168" s="100" t="n">
        <f aca="false">IF($A$168&lt;=D$167,"n/a",($B$62*(1+$B$209)^3.5/(1+$A$168)^3.5+$G$45*(1+D$167)/($A$168-D$167)/(1+$A$168)^6)+('00-三表与联动'!$B$10+'00-三表与联动'!$B$11-'00-三表与联动'!$B$12))/'00-三表与联动'!$B$9</f>
        <v>5675.84724718701</v>
      </c>
      <c r="E168" s="100" t="n">
        <f aca="false">IF($A$168&lt;=E$167,"n/a",($B$62*(1+$B$209)^3.5/(1+$A$168)^3.5+$G$45*(1+E$167)/($A$168-E$167)/(1+$A$168)^6)+('00-三表与联动'!$B$10+'00-三表与联动'!$B$11-'00-三表与联动'!$B$12))/'00-三表与联动'!$B$9</f>
        <v>6186.16374324138</v>
      </c>
      <c r="F168" s="100" t="n">
        <f aca="false">IF($A$168&lt;=F$167,"n/a",($B$62*(1+$B$209)^3.5/(1+$A$168)^3.5+$G$45*(1+F$167)/($A$168-F$167)/(1+$A$168)^6)+('00-三表与联动'!$B$10+'00-三表与联动'!$B$11-'00-三表与联动'!$B$12))/'00-三表与联动'!$B$9</f>
        <v>6824.05936330933</v>
      </c>
      <c r="G168" s="34"/>
      <c r="H168" s="135" t="n">
        <f aca="false">$B$209+-0.02</f>
        <v>0.085</v>
      </c>
      <c r="I168" s="100" t="n">
        <f aca="false">IF($H$168&lt;=$B$211,"n/a",($B$62*(1+$B$209)^3.5/(1+$H$168)^3.5+(($G$32*I$167-$G$32*$B$199)*(1-$B$201)+$G$40+($G$41+$G$42)+$G$44)*(1+$B$211)/($H$168-$B$211)/(1+$H$168)^6)+('00-三表与联动'!$B$10+'00-三表与联动'!$B$11-'00-三表与联动'!$B$12))/'00-三表与联动'!$B$9</f>
        <v>5000.4167056251</v>
      </c>
      <c r="J168" s="100" t="n">
        <f aca="false">IF($H$168&lt;=$B$211,"n/a",($B$62*(1+$B$209)^3.5/(1+$H$168)^3.5+(($G$32*J$167-$G$32*$B$199)*(1-$B$201)+$G$40+($G$41+$G$42)+$G$44)*(1+$B$211)/($H$168-$B$211)/(1+$H$168)^6)+('00-三表与联动'!$B$10+'00-三表与联动'!$B$11-'00-三表与联动'!$B$12))/'00-三表与联动'!$B$9</f>
        <v>5338.13197640606</v>
      </c>
      <c r="K168" s="100" t="n">
        <f aca="false">IF($H$168&lt;=$B$211,"n/a",($B$62*(1+$B$209)^3.5/(1+$H$168)^3.5+(($G$32*K$167-$G$32*$B$199)*(1-$B$201)+$G$40+($G$41+$G$42)+$G$44)*(1+$B$211)/($H$168-$B$211)/(1+$H$168)^6)+('00-三表与联动'!$B$10+'00-三表与联动'!$B$11-'00-三表与联动'!$B$12))/'00-三表与联动'!$B$9</f>
        <v>5675.84724718701</v>
      </c>
      <c r="L168" s="100" t="n">
        <f aca="false">IF($H$168&lt;=$B$211,"n/a",($B$62*(1+$B$209)^3.5/(1+$H$168)^3.5+(($G$32*L$167-$G$32*$B$199)*(1-$B$201)+$G$40+($G$41+$G$42)+$G$44)*(1+$B$211)/($H$168-$B$211)/(1+$H$168)^6)+('00-三表与联动'!$B$10+'00-三表与联动'!$B$11-'00-三表与联动'!$B$12))/'00-三表与联动'!$B$9</f>
        <v>6013.56251796796</v>
      </c>
      <c r="M168" s="100" t="n">
        <f aca="false">IF($H$168&lt;=$B$211,"n/a",($B$62*(1+$B$209)^3.5/(1+$H$168)^3.5+(($G$32*M$167-$G$32*$B$199)*(1-$B$201)+$G$40+($G$41+$G$42)+$G$44)*(1+$B$211)/($H$168-$B$211)/(1+$H$168)^6)+('00-三表与联动'!$B$10+'00-三表与联动'!$B$11-'00-三表与联动'!$B$12))/'00-三表与联动'!$B$9</f>
        <v>6351.27778874892</v>
      </c>
      <c r="N168" s="34"/>
    </row>
    <row r="169" customFormat="false" ht="18.75" hidden="false" customHeight="true" outlineLevel="0" collapsed="false">
      <c r="A169" s="135" t="n">
        <f aca="false">$B$209+-0.01</f>
        <v>0.095</v>
      </c>
      <c r="B169" s="100" t="n">
        <f aca="false">IF($A$169&lt;=B$167,"n/a",($B$62*(1+$B$209)^3.5/(1+$A$169)^3.5+$G$45*(1+B$167)/($A$169-B$167)/(1+$A$169)^6)+('00-三表与联动'!$B$10+'00-三表与联动'!$B$11-'00-三表与联动'!$B$12))/'00-三表与联动'!$B$9</f>
        <v>4188.27427475472</v>
      </c>
      <c r="C169" s="100" t="n">
        <f aca="false">IF($A$169&lt;=C$167,"n/a",($B$62*(1+$B$209)^3.5/(1+$A$169)^3.5+$G$45*(1+C$167)/($A$169-C$167)/(1+$A$169)^6)+('00-三表与联动'!$B$10+'00-三表与联动'!$B$11-'00-三表与联动'!$B$12))/'00-三表与联动'!$B$9</f>
        <v>4429.3141110375</v>
      </c>
      <c r="D169" s="100" t="n">
        <f aca="false">IF($A$169&lt;=D$167,"n/a",($B$62*(1+$B$209)^3.5/(1+$A$169)^3.5+$G$45*(1+D$167)/($A$169-D$167)/(1+$A$169)^6)+('00-三表与联动'!$B$10+'00-三表与联动'!$B$11-'00-三表与联动'!$B$12))/'00-三表与联动'!$B$9</f>
        <v>4710.52725336739</v>
      </c>
      <c r="E169" s="100" t="n">
        <f aca="false">IF($A$169&lt;=E$167,"n/a",($B$62*(1+$B$209)^3.5/(1+$A$169)^3.5+$G$45*(1+E$167)/($A$169-E$167)/(1+$A$169)^6)+('00-三表与联动'!$B$10+'00-三表与联动'!$B$11-'00-三表与联动'!$B$12))/'00-三表与联动'!$B$9</f>
        <v>5042.87005793909</v>
      </c>
      <c r="F169" s="100" t="n">
        <f aca="false">IF($A$169&lt;=F$167,"n/a",($B$62*(1+$B$209)^3.5/(1+$A$169)^3.5+$G$45*(1+F$167)/($A$169-F$167)/(1+$A$169)^6)+('00-三表与联动'!$B$10+'00-三表与联动'!$B$11-'00-三表与联动'!$B$12))/'00-三表与联动'!$B$9</f>
        <v>5441.68142342513</v>
      </c>
      <c r="G169" s="34"/>
      <c r="H169" s="135" t="n">
        <f aca="false">$B$209+-0.01</f>
        <v>0.095</v>
      </c>
      <c r="I169" s="100" t="n">
        <f aca="false">IF($H$169&lt;=$B$211,"n/a",($B$62*(1+$B$209)^3.5/(1+$H$169)^3.5+(($G$32*I$167-$G$32*$B$199)*(1-$B$201)+$G$40+($G$41+$G$42)+$G$44)*(1+$B$211)/($H$169-$B$211)/(1+$H$169)^6)+('00-三表与联动'!$B$10+'00-三表与联动'!$B$11-'00-三表与联动'!$B$12))/'00-三表与联动'!$B$9</f>
        <v>4177.81441593256</v>
      </c>
      <c r="J169" s="100" t="n">
        <f aca="false">IF($H$169&lt;=$B$211,"n/a",($B$62*(1+$B$209)^3.5/(1+$H$169)^3.5+(($G$32*J$167-$G$32*$B$199)*(1-$B$201)+$G$40+($G$41+$G$42)+$G$44)*(1+$B$211)/($H$169-$B$211)/(1+$H$169)^6)+('00-三表与联动'!$B$10+'00-三表与联动'!$B$11-'00-三表与联动'!$B$12))/'00-三表与联动'!$B$9</f>
        <v>4444.17083464998</v>
      </c>
      <c r="K169" s="100" t="n">
        <f aca="false">IF($H$169&lt;=$B$211,"n/a",($B$62*(1+$B$209)^3.5/(1+$H$169)^3.5+(($G$32*K$167-$G$32*$B$199)*(1-$B$201)+$G$40+($G$41+$G$42)+$G$44)*(1+$B$211)/($H$169-$B$211)/(1+$H$169)^6)+('00-三表与联动'!$B$10+'00-三表与联动'!$B$11-'00-三表与联动'!$B$12))/'00-三表与联动'!$B$9</f>
        <v>4710.52725336739</v>
      </c>
      <c r="L169" s="100" t="n">
        <f aca="false">IF($H$169&lt;=$B$211,"n/a",($B$62*(1+$B$209)^3.5/(1+$H$169)^3.5+(($G$32*L$167-$G$32*$B$199)*(1-$B$201)+$G$40+($G$41+$G$42)+$G$44)*(1+$B$211)/($H$169-$B$211)/(1+$H$169)^6)+('00-三表与联动'!$B$10+'00-三表与联动'!$B$11-'00-三表与联动'!$B$12))/'00-三表与联动'!$B$9</f>
        <v>4976.88367208481</v>
      </c>
      <c r="M169" s="100" t="n">
        <f aca="false">IF($H$169&lt;=$B$211,"n/a",($B$62*(1+$B$209)^3.5/(1+$H$169)^3.5+(($G$32*M$167-$G$32*$B$199)*(1-$B$201)+$G$40+($G$41+$G$42)+$G$44)*(1+$B$211)/($H$169-$B$211)/(1+$H$169)^6)+('00-三表与联动'!$B$10+'00-三表与联动'!$B$11-'00-三表与联动'!$B$12))/'00-三表与联动'!$B$9</f>
        <v>5243.24009080223</v>
      </c>
      <c r="N169" s="34"/>
    </row>
    <row r="170" customFormat="false" ht="18.75" hidden="false" customHeight="true" outlineLevel="0" collapsed="false">
      <c r="A170" s="135" t="n">
        <f aca="false">$B$209+0</f>
        <v>0.105</v>
      </c>
      <c r="B170" s="100" t="n">
        <f aca="false">IF($A$170&lt;=B$167,"n/a",($B$62*(1+$B$209)^3.5/(1+$A$170)^3.5+$G$45*(1+B$167)/($A$170-B$167)/(1+$A$170)^6)+('00-三表与联动'!$B$10+'00-三表与联动'!$B$11-'00-三表与联动'!$B$12))/'00-三表与联动'!$B$9</f>
        <v>3647.39439803722</v>
      </c>
      <c r="C170" s="100" t="n">
        <f aca="false">IF($A$170&lt;=C$167,"n/a",($B$62*(1+$B$209)^3.5/(1+$A$170)^3.5+$G$45*(1+C$167)/($A$170-C$167)/(1+$A$170)^6)+('00-三表与联动'!$B$10+'00-三表与联动'!$B$11-'00-三表与联动'!$B$12))/'00-三表与联动'!$B$9</f>
        <v>3822.0603180379</v>
      </c>
      <c r="D170" s="136" t="n">
        <f aca="false">IF($A$170&lt;=D$167,"n/a",($B$62*(1+$B$209)^3.5/(1+$A$170)^3.5+$G$45*(1+D$167)/($A$170-D$167)/(1+$A$170)^6)+('00-三表与联动'!$B$10+'00-三表与联动'!$B$11-'00-三表与联动'!$B$12))/'00-三表与联动'!$B$9</f>
        <v>4021.67851232438</v>
      </c>
      <c r="E170" s="100" t="n">
        <f aca="false">IF($A$170&lt;=E$167,"n/a",($B$62*(1+$B$209)^3.5/(1+$A$170)^3.5+$G$45*(1+E$167)/($A$170-E$167)/(1+$A$170)^6)+('00-三表与联动'!$B$10+'00-三表与联动'!$B$11-'00-三表与联动'!$B$12))/'00-三表与联动'!$B$9</f>
        <v>4252.00719803955</v>
      </c>
      <c r="F170" s="100" t="n">
        <f aca="false">IF($A$170&lt;=F$167,"n/a",($B$62*(1+$B$209)^3.5/(1+$A$170)^3.5+$G$45*(1+F$167)/($A$170-F$167)/(1+$A$170)^6)+('00-三表与联动'!$B$10+'00-三表与联动'!$B$11-'00-三表与联动'!$B$12))/'00-三表与联动'!$B$9</f>
        <v>4520.72399804059</v>
      </c>
      <c r="G170" s="34"/>
      <c r="H170" s="135" t="n">
        <f aca="false">$B$209+0</f>
        <v>0.105</v>
      </c>
      <c r="I170" s="100" t="n">
        <f aca="false">IF($H$170&lt;=$B$211,"n/a",($B$62*(1+$B$209)^3.5/(1+$H$170)^3.5+(($G$32*I$167-$G$32*$B$199)*(1-$B$201)+$G$40+($G$41+$G$42)+$G$44)*(1+$B$211)/($H$170-$B$211)/(1+$H$170)^6)+('00-三表与联动'!$B$10+'00-三表与联动'!$B$11-'00-三表与联动'!$B$12))/'00-三表与联动'!$B$9</f>
        <v>3589.30665345329</v>
      </c>
      <c r="J170" s="100" t="n">
        <f aca="false">IF($H$170&lt;=$B$211,"n/a",($B$62*(1+$B$209)^3.5/(1+$H$170)^3.5+(($G$32*J$167-$G$32*$B$199)*(1-$B$201)+$G$40+($G$41+$G$42)+$G$44)*(1+$B$211)/($H$170-$B$211)/(1+$H$170)^6)+('00-三表与联动'!$B$10+'00-三表与联动'!$B$11-'00-三表与联动'!$B$12))/'00-三表与联动'!$B$9</f>
        <v>3805.49258288884</v>
      </c>
      <c r="K170" s="136" t="n">
        <f aca="false">IF($H$170&lt;=$B$211,"n/a",($B$62*(1+$B$209)^3.5/(1+$H$170)^3.5+(($G$32*K$167-$G$32*$B$199)*(1-$B$201)+$G$40+($G$41+$G$42)+$G$44)*(1+$B$211)/($H$170-$B$211)/(1+$H$170)^6)+('00-三表与联动'!$B$10+'00-三表与联动'!$B$11-'00-三表与联动'!$B$12))/'00-三表与联动'!$B$9</f>
        <v>4021.67851232438</v>
      </c>
      <c r="L170" s="100" t="n">
        <f aca="false">IF($H$170&lt;=$B$211,"n/a",($B$62*(1+$B$209)^3.5/(1+$H$170)^3.5+(($G$32*L$167-$G$32*$B$199)*(1-$B$201)+$G$40+($G$41+$G$42)+$G$44)*(1+$B$211)/($H$170-$B$211)/(1+$H$170)^6)+('00-三表与联动'!$B$10+'00-三表与联动'!$B$11-'00-三表与联动'!$B$12))/'00-三表与联动'!$B$9</f>
        <v>4237.86444175992</v>
      </c>
      <c r="M170" s="100" t="n">
        <f aca="false">IF($H$170&lt;=$B$211,"n/a",($B$62*(1+$B$209)^3.5/(1+$H$170)^3.5+(($G$32*M$167-$G$32*$B$199)*(1-$B$201)+$G$40+($G$41+$G$42)+$G$44)*(1+$B$211)/($H$170-$B$211)/(1+$H$170)^6)+('00-三表与联动'!$B$10+'00-三表与联动'!$B$11-'00-三表与联动'!$B$12))/'00-三表与联动'!$B$9</f>
        <v>4454.05037119546</v>
      </c>
      <c r="N170" s="34"/>
    </row>
    <row r="171" customFormat="false" ht="18.75" hidden="false" customHeight="true" outlineLevel="0" collapsed="false">
      <c r="A171" s="135" t="n">
        <f aca="false">$B$209+0.01</f>
        <v>0.115</v>
      </c>
      <c r="B171" s="100" t="n">
        <f aca="false">IF($A$171&lt;=B$167,"n/a",($B$62*(1+$B$209)^3.5/(1+$A$171)^3.5+$G$45*(1+B$167)/($A$171-B$167)/(1+$A$171)^6)+('00-三表与联动'!$B$10+'00-三表与联动'!$B$11-'00-三表与联动'!$B$12))/'00-三表与联动'!$B$9</f>
        <v>3227.21932106715</v>
      </c>
      <c r="C171" s="100" t="n">
        <f aca="false">IF($A$171&lt;=C$167,"n/a",($B$62*(1+$B$209)^3.5/(1+$A$171)^3.5+$G$45*(1+C$167)/($A$171-C$167)/(1+$A$171)^6)+('00-三表与联动'!$B$10+'00-三表与联动'!$B$11-'00-三表与联动'!$B$12))/'00-三表与联动'!$B$9</f>
        <v>3358.17822879373</v>
      </c>
      <c r="D171" s="100" t="n">
        <f aca="false">IF($A$171&lt;=D$167,"n/a",($B$62*(1+$B$209)^3.5/(1+$A$171)^3.5+$G$45*(1+D$167)/($A$171-D$167)/(1+$A$171)^6)+('00-三表与联动'!$B$10+'00-三表与联动'!$B$11-'00-三表与联动'!$B$12))/'00-三表与联动'!$B$9</f>
        <v>3505.50699998612</v>
      </c>
      <c r="E171" s="100" t="n">
        <f aca="false">IF($A$171&lt;=E$167,"n/a",($B$62*(1+$B$209)^3.5/(1+$A$171)^3.5+$G$45*(1+E$167)/($A$171-E$167)/(1+$A$171)^6)+('00-三表与联动'!$B$10+'00-三表与联动'!$B$11-'00-三表与联动'!$B$12))/'00-三表与联动'!$B$9</f>
        <v>3672.4796073375</v>
      </c>
      <c r="F171" s="100" t="n">
        <f aca="false">IF($A$171&lt;=F$167,"n/a",($B$62*(1+$B$209)^3.5/(1+$A$171)^3.5+$G$45*(1+F$167)/($A$171-F$167)/(1+$A$171)^6)+('00-三表与联动'!$B$10+'00-三表与联动'!$B$11-'00-三表与联动'!$B$12))/'00-三表与联动'!$B$9</f>
        <v>3863.3054443105</v>
      </c>
      <c r="G171" s="34"/>
      <c r="H171" s="135" t="n">
        <f aca="false">$B$209+0.01</f>
        <v>0.115</v>
      </c>
      <c r="I171" s="100" t="n">
        <f aca="false">IF($H$171&lt;=$B$211,"n/a",($B$62*(1+$B$209)^3.5/(1+$H$171)^3.5+(($G$32*I$167-$G$32*$B$199)*(1-$B$201)+$G$40+($G$41+$G$42)+$G$44)*(1+$B$211)/($H$171-$B$211)/(1+$H$171)^6)+('00-三表与联动'!$B$10+'00-三表与联动'!$B$11-'00-三表与联动'!$B$12))/'00-三表与联动'!$B$9</f>
        <v>3147.08889709403</v>
      </c>
      <c r="J171" s="100" t="n">
        <f aca="false">IF($H$171&lt;=$B$211,"n/a",($B$62*(1+$B$209)^3.5/(1+$H$171)^3.5+(($G$32*J$167-$G$32*$B$199)*(1-$B$201)+$G$40+($G$41+$G$42)+$G$44)*(1+$B$211)/($H$171-$B$211)/(1+$H$171)^6)+('00-三表与联动'!$B$10+'00-三表与联动'!$B$11-'00-三表与联动'!$B$12))/'00-三表与联动'!$B$9</f>
        <v>3326.29794854007</v>
      </c>
      <c r="K171" s="100" t="n">
        <f aca="false">IF($H$171&lt;=$B$211,"n/a",($B$62*(1+$B$209)^3.5/(1+$H$171)^3.5+(($G$32*K$167-$G$32*$B$199)*(1-$B$201)+$G$40+($G$41+$G$42)+$G$44)*(1+$B$211)/($H$171-$B$211)/(1+$H$171)^6)+('00-三表与联动'!$B$10+'00-三表与联动'!$B$11-'00-三表与联动'!$B$12))/'00-三表与联动'!$B$9</f>
        <v>3505.50699998612</v>
      </c>
      <c r="L171" s="100" t="n">
        <f aca="false">IF($H$171&lt;=$B$211,"n/a",($B$62*(1+$B$209)^3.5/(1+$H$171)^3.5+(($G$32*L$167-$G$32*$B$199)*(1-$B$201)+$G$40+($G$41+$G$42)+$G$44)*(1+$B$211)/($H$171-$B$211)/(1+$H$171)^6)+('00-三表与联动'!$B$10+'00-三表与联动'!$B$11-'00-三表与联动'!$B$12))/'00-三表与联动'!$B$9</f>
        <v>3684.71605143216</v>
      </c>
      <c r="M171" s="100" t="n">
        <f aca="false">IF($H$171&lt;=$B$211,"n/a",($B$62*(1+$B$209)^3.5/(1+$H$171)^3.5+(($G$32*M$167-$G$32*$B$199)*(1-$B$201)+$G$40+($G$41+$G$42)+$G$44)*(1+$B$211)/($H$171-$B$211)/(1+$H$171)^6)+('00-三表与联动'!$B$10+'00-三表与联动'!$B$11-'00-三表与联动'!$B$12))/'00-三表与联动'!$B$9</f>
        <v>3863.9251028782</v>
      </c>
      <c r="N171" s="34"/>
    </row>
    <row r="172" customFormat="false" ht="18.75" hidden="false" customHeight="true" outlineLevel="0" collapsed="false">
      <c r="A172" s="135" t="n">
        <f aca="false">$B$209+0.02</f>
        <v>0.125</v>
      </c>
      <c r="B172" s="100" t="n">
        <f aca="false">IF($A$172&lt;=B$167,"n/a",($B$62*(1+$B$209)^3.5/(1+$A$172)^3.5+$G$45*(1+B$167)/($A$172-B$167)/(1+$A$172)^6)+('00-三表与联动'!$B$10+'00-三表与联动'!$B$11-'00-三表与联动'!$B$12))/'00-三表与联动'!$B$9</f>
        <v>2891.45375691747</v>
      </c>
      <c r="C172" s="100" t="n">
        <f aca="false">IF($A$172&lt;=C$167,"n/a",($B$62*(1+$B$209)^3.5/(1+$A$172)^3.5+$G$45*(1+C$167)/($A$172-C$167)/(1+$A$172)^6)+('00-三表与联动'!$B$10+'00-三表与联动'!$B$11-'00-三表与联动'!$B$12))/'00-三表与联动'!$B$9</f>
        <v>2992.30577632042</v>
      </c>
      <c r="D172" s="100" t="n">
        <f aca="false">IF($A$172&lt;=D$167,"n/a",($B$62*(1+$B$209)^3.5/(1+$A$172)^3.5+$G$45*(1+D$167)/($A$172-D$167)/(1+$A$172)^6)+('00-三表与联动'!$B$10+'00-三表与联动'!$B$11-'00-三表与联动'!$B$12))/'00-三表与联动'!$B$9</f>
        <v>3104.36357565703</v>
      </c>
      <c r="E172" s="100" t="n">
        <f aca="false">IF($A$172&lt;=E$167,"n/a",($B$62*(1+$B$209)^3.5/(1+$A$172)^3.5+$G$45*(1+E$167)/($A$172-E$167)/(1+$A$172)^6)+('00-三表与联动'!$B$10+'00-三表与联动'!$B$11-'00-三表与联动'!$B$12))/'00-三表与联动'!$B$9</f>
        <v>3229.60464550383</v>
      </c>
      <c r="F172" s="100" t="n">
        <f aca="false">IF($A$172&lt;=F$167,"n/a",($B$62*(1+$B$209)^3.5/(1+$A$172)^3.5+$G$45*(1+F$167)/($A$172-F$167)/(1+$A$172)^6)+('00-三表与联动'!$B$10+'00-三表与联动'!$B$11-'00-三表与联动'!$B$12))/'00-三表与联动'!$B$9</f>
        <v>3370.50084908148</v>
      </c>
      <c r="G172" s="34"/>
      <c r="H172" s="135" t="n">
        <f aca="false">$B$209+0.02</f>
        <v>0.125</v>
      </c>
      <c r="I172" s="100" t="n">
        <f aca="false">IF($H$172&lt;=$B$211,"n/a",($B$62*(1+$B$209)^3.5/(1+$H$172)^3.5+(($G$32*I$167-$G$32*$B$199)*(1-$B$201)+$G$40+($G$41+$G$42)+$G$44)*(1+$B$211)/($H$172-$B$211)/(1+$H$172)^6)+('00-三表与联动'!$B$10+'00-三表与联动'!$B$11-'00-三表与联动'!$B$12))/'00-三表与联动'!$B$9</f>
        <v>2802.38823215628</v>
      </c>
      <c r="J172" s="100" t="n">
        <f aca="false">IF($H$172&lt;=$B$211,"n/a",($B$62*(1+$B$209)^3.5/(1+$H$172)^3.5+(($G$32*J$167-$G$32*$B$199)*(1-$B$201)+$G$40+($G$41+$G$42)+$G$44)*(1+$B$211)/($H$172-$B$211)/(1+$H$172)^6)+('00-三表与联动'!$B$10+'00-三表与联动'!$B$11-'00-三表与联动'!$B$12))/'00-三表与联动'!$B$9</f>
        <v>2953.37590390666</v>
      </c>
      <c r="K172" s="100" t="n">
        <f aca="false">IF($H$172&lt;=$B$211,"n/a",($B$62*(1+$B$209)^3.5/(1+$H$172)^3.5+(($G$32*K$167-$G$32*$B$199)*(1-$B$201)+$G$40+($G$41+$G$42)+$G$44)*(1+$B$211)/($H$172-$B$211)/(1+$H$172)^6)+('00-三表与联动'!$B$10+'00-三表与联动'!$B$11-'00-三表与联动'!$B$12))/'00-三表与联动'!$B$9</f>
        <v>3104.36357565703</v>
      </c>
      <c r="L172" s="100" t="n">
        <f aca="false">IF($H$172&lt;=$B$211,"n/a",($B$62*(1+$B$209)^3.5/(1+$H$172)^3.5+(($G$32*L$167-$G$32*$B$199)*(1-$B$201)+$G$40+($G$41+$G$42)+$G$44)*(1+$B$211)/($H$172-$B$211)/(1+$H$172)^6)+('00-三表与联动'!$B$10+'00-三表与联动'!$B$11-'00-三表与联动'!$B$12))/'00-三表与联动'!$B$9</f>
        <v>3255.35124740741</v>
      </c>
      <c r="M172" s="100" t="n">
        <f aca="false">IF($H$172&lt;=$B$211,"n/a",($B$62*(1+$B$209)^3.5/(1+$H$172)^3.5+(($G$32*M$167-$G$32*$B$199)*(1-$B$201)+$G$40+($G$41+$G$42)+$G$44)*(1+$B$211)/($H$172-$B$211)/(1+$H$172)^6)+('00-三表与联动'!$B$10+'00-三表与联动'!$B$11-'00-三表与联动'!$B$12))/'00-三表与联动'!$B$9</f>
        <v>3406.33891915778</v>
      </c>
      <c r="N172" s="34"/>
    </row>
    <row r="173" customFormat="false" ht="24" hidden="false" customHeight="true" outlineLevel="0" collapsed="false">
      <c r="A173" s="194" t="s">
        <v>499</v>
      </c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</row>
    <row r="174" customFormat="false" ht="33" hidden="false" customHeight="true" outlineLevel="0" collapsed="false">
      <c r="A174" s="137" t="s">
        <v>500</v>
      </c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</row>
    <row r="175" customFormat="false" ht="27" hidden="false" customHeight="true" outlineLevel="0" collapsed="false">
      <c r="A175" s="4" t="s">
        <v>501</v>
      </c>
      <c r="B175" s="4" t="s">
        <v>502</v>
      </c>
      <c r="C175" s="4" t="s">
        <v>503</v>
      </c>
      <c r="D175" s="4"/>
      <c r="E175" s="4" t="s">
        <v>504</v>
      </c>
      <c r="F175" s="4"/>
      <c r="G175" s="4"/>
      <c r="H175" s="4"/>
      <c r="I175" s="4"/>
      <c r="J175" s="4" t="s">
        <v>505</v>
      </c>
      <c r="K175" s="4"/>
      <c r="L175" s="4"/>
      <c r="M175" s="4"/>
      <c r="N175" s="4"/>
    </row>
    <row r="176" customFormat="false" ht="43.5" hidden="false" customHeight="true" outlineLevel="0" collapsed="false">
      <c r="A176" s="125" t="s">
        <v>506</v>
      </c>
      <c r="B176" s="214" t="s">
        <v>638</v>
      </c>
      <c r="C176" s="68" t="s">
        <v>639</v>
      </c>
      <c r="D176" s="68"/>
      <c r="E176" s="141" t="s">
        <v>640</v>
      </c>
      <c r="F176" s="141"/>
      <c r="G176" s="141"/>
      <c r="H176" s="141"/>
      <c r="I176" s="141"/>
      <c r="J176" s="142" t="s">
        <v>641</v>
      </c>
      <c r="K176" s="142"/>
      <c r="L176" s="142"/>
      <c r="M176" s="142"/>
      <c r="N176" s="142"/>
    </row>
    <row r="177" customFormat="false" ht="43.5" hidden="false" customHeight="true" outlineLevel="0" collapsed="false">
      <c r="A177" s="118" t="s">
        <v>642</v>
      </c>
      <c r="B177" s="214" t="s">
        <v>643</v>
      </c>
      <c r="C177" s="68" t="s">
        <v>644</v>
      </c>
      <c r="D177" s="68"/>
      <c r="E177" s="141" t="s">
        <v>645</v>
      </c>
      <c r="F177" s="141"/>
      <c r="G177" s="141"/>
      <c r="H177" s="141"/>
      <c r="I177" s="141"/>
      <c r="J177" s="142" t="s">
        <v>646</v>
      </c>
      <c r="K177" s="142"/>
      <c r="L177" s="142"/>
      <c r="M177" s="142"/>
      <c r="N177" s="142"/>
    </row>
    <row r="178" customFormat="false" ht="39.75" hidden="false" customHeight="true" outlineLevel="0" collapsed="false">
      <c r="A178" s="125" t="s">
        <v>647</v>
      </c>
      <c r="B178" s="215" t="s">
        <v>648</v>
      </c>
      <c r="C178" s="56" t="s">
        <v>518</v>
      </c>
      <c r="D178" s="56"/>
      <c r="E178" s="141" t="s">
        <v>649</v>
      </c>
      <c r="F178" s="141"/>
      <c r="G178" s="141"/>
      <c r="H178" s="141"/>
      <c r="I178" s="141"/>
      <c r="J178" s="142" t="s">
        <v>650</v>
      </c>
      <c r="K178" s="142"/>
      <c r="L178" s="142"/>
      <c r="M178" s="142"/>
      <c r="N178" s="142"/>
    </row>
    <row r="179" customFormat="false" ht="39.75" hidden="false" customHeight="true" outlineLevel="0" collapsed="false">
      <c r="A179" s="118" t="s">
        <v>651</v>
      </c>
      <c r="B179" s="215" t="s">
        <v>652</v>
      </c>
      <c r="C179" s="68" t="s">
        <v>523</v>
      </c>
      <c r="D179" s="68"/>
      <c r="E179" s="141" t="s">
        <v>653</v>
      </c>
      <c r="F179" s="141"/>
      <c r="G179" s="141"/>
      <c r="H179" s="141"/>
      <c r="I179" s="141"/>
      <c r="J179" s="142" t="s">
        <v>654</v>
      </c>
      <c r="K179" s="142"/>
      <c r="L179" s="142"/>
      <c r="M179" s="142"/>
      <c r="N179" s="142"/>
    </row>
    <row r="180" customFormat="false" ht="39.75" hidden="false" customHeight="true" outlineLevel="0" collapsed="false">
      <c r="A180" s="118" t="s">
        <v>655</v>
      </c>
      <c r="B180" s="215" t="s">
        <v>656</v>
      </c>
      <c r="C180" s="68" t="s">
        <v>528</v>
      </c>
      <c r="D180" s="68"/>
      <c r="E180" s="139" t="s">
        <v>657</v>
      </c>
      <c r="F180" s="139"/>
      <c r="G180" s="139"/>
      <c r="H180" s="139"/>
      <c r="I180" s="139"/>
      <c r="J180" s="142" t="s">
        <v>658</v>
      </c>
      <c r="K180" s="142"/>
      <c r="L180" s="142"/>
      <c r="M180" s="142"/>
      <c r="N180" s="142"/>
    </row>
    <row r="181" customFormat="false" ht="33" hidden="false" customHeight="true" outlineLevel="0" collapsed="false">
      <c r="A181" s="44" t="s">
        <v>531</v>
      </c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</row>
    <row r="183" customFormat="false" ht="33" hidden="false" customHeight="true" outlineLevel="0" collapsed="false">
      <c r="A183" s="44" t="s">
        <v>532</v>
      </c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</row>
    <row r="186" customFormat="false" ht="24" hidden="false" customHeight="true" outlineLevel="0" collapsed="false">
      <c r="A186" s="12" t="s">
        <v>659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33" hidden="false" customHeight="true" outlineLevel="0" collapsed="false">
      <c r="A187" s="74" t="s">
        <v>534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</row>
    <row r="188" customFormat="false" ht="27" hidden="false" customHeight="true" outlineLevel="0" collapsed="false">
      <c r="A188" s="4" t="s">
        <v>325</v>
      </c>
      <c r="B188" s="4" t="s">
        <v>464</v>
      </c>
      <c r="C188" s="4" t="s">
        <v>465</v>
      </c>
      <c r="D188" s="4"/>
      <c r="E188" s="4"/>
      <c r="F188" s="4"/>
      <c r="G188" s="4"/>
      <c r="H188" s="4" t="s">
        <v>466</v>
      </c>
      <c r="I188" s="4" t="s">
        <v>467</v>
      </c>
      <c r="J188" s="4" t="s">
        <v>373</v>
      </c>
      <c r="K188" s="4"/>
      <c r="L188" s="4"/>
      <c r="M188" s="4"/>
      <c r="N188" s="4"/>
    </row>
    <row r="189" customFormat="false" ht="30" hidden="false" customHeight="true" outlineLevel="0" collapsed="false">
      <c r="A189" s="125" t="s">
        <v>535</v>
      </c>
      <c r="B189" s="216" t="n">
        <f aca="false">H189*50</f>
        <v>10700</v>
      </c>
      <c r="C189" s="120"/>
      <c r="D189" s="120"/>
      <c r="E189" s="120"/>
      <c r="F189" s="120"/>
      <c r="G189" s="120"/>
      <c r="H189" s="121" t="n">
        <v>214</v>
      </c>
      <c r="I189" s="122" t="s">
        <v>536</v>
      </c>
      <c r="J189" s="123" t="s">
        <v>537</v>
      </c>
      <c r="K189" s="123"/>
      <c r="L189" s="123"/>
      <c r="M189" s="123"/>
      <c r="N189" s="123"/>
    </row>
    <row r="190" customFormat="false" ht="30" hidden="false" customHeight="true" outlineLevel="0" collapsed="false">
      <c r="A190" s="125"/>
      <c r="B190" s="216"/>
      <c r="C190" s="120"/>
      <c r="D190" s="120"/>
      <c r="E190" s="120"/>
      <c r="F190" s="120"/>
      <c r="G190" s="120"/>
      <c r="H190" s="121"/>
      <c r="I190" s="122"/>
      <c r="J190" s="122"/>
      <c r="K190" s="123"/>
      <c r="L190" s="123"/>
      <c r="M190" s="123"/>
      <c r="N190" s="123"/>
    </row>
    <row r="191" customFormat="false" ht="30" hidden="false" customHeight="true" outlineLevel="0" collapsed="false">
      <c r="A191" s="125" t="s">
        <v>538</v>
      </c>
      <c r="B191" s="217" t="n">
        <f aca="false">(H191-100)/1000</f>
        <v>0</v>
      </c>
      <c r="C191" s="120"/>
      <c r="D191" s="120"/>
      <c r="E191" s="120"/>
      <c r="F191" s="120"/>
      <c r="G191" s="120"/>
      <c r="H191" s="121" t="n">
        <v>100</v>
      </c>
      <c r="I191" s="122" t="s">
        <v>539</v>
      </c>
      <c r="J191" s="123" t="s">
        <v>540</v>
      </c>
      <c r="K191" s="123"/>
      <c r="L191" s="123"/>
      <c r="M191" s="123"/>
      <c r="N191" s="123"/>
    </row>
    <row r="192" customFormat="false" ht="30" hidden="false" customHeight="true" outlineLevel="0" collapsed="false">
      <c r="A192" s="125"/>
      <c r="B192" s="217"/>
      <c r="C192" s="120"/>
      <c r="D192" s="120"/>
      <c r="E192" s="120"/>
      <c r="F192" s="120"/>
      <c r="G192" s="120"/>
      <c r="H192" s="121"/>
      <c r="I192" s="122"/>
      <c r="J192" s="122"/>
      <c r="K192" s="123"/>
      <c r="L192" s="123"/>
      <c r="M192" s="123"/>
      <c r="N192" s="123"/>
    </row>
    <row r="193" customFormat="false" ht="30" hidden="false" customHeight="true" outlineLevel="0" collapsed="false">
      <c r="A193" s="118" t="s">
        <v>541</v>
      </c>
      <c r="B193" s="217" t="n">
        <f aca="false">(H193-150)/1000</f>
        <v>0</v>
      </c>
      <c r="C193" s="120"/>
      <c r="D193" s="120"/>
      <c r="E193" s="120"/>
      <c r="F193" s="120"/>
      <c r="G193" s="120"/>
      <c r="H193" s="121" t="n">
        <v>150</v>
      </c>
      <c r="I193" s="122" t="s">
        <v>542</v>
      </c>
      <c r="J193" s="123" t="s">
        <v>543</v>
      </c>
      <c r="K193" s="123"/>
      <c r="L193" s="123"/>
      <c r="M193" s="123"/>
      <c r="N193" s="123"/>
    </row>
    <row r="194" customFormat="false" ht="30" hidden="false" customHeight="true" outlineLevel="0" collapsed="false">
      <c r="A194" s="118"/>
      <c r="B194" s="217"/>
      <c r="C194" s="120"/>
      <c r="D194" s="120"/>
      <c r="E194" s="120"/>
      <c r="F194" s="120"/>
      <c r="G194" s="120"/>
      <c r="H194" s="121"/>
      <c r="I194" s="122"/>
      <c r="J194" s="122"/>
      <c r="K194" s="123"/>
      <c r="L194" s="123"/>
      <c r="M194" s="123"/>
      <c r="N194" s="123"/>
    </row>
    <row r="195" customFormat="false" ht="30" hidden="false" customHeight="true" outlineLevel="0" collapsed="false">
      <c r="A195" s="118" t="s">
        <v>544</v>
      </c>
      <c r="B195" s="211" t="n">
        <f aca="false">H195/1000</f>
        <v>0.76</v>
      </c>
      <c r="C195" s="120"/>
      <c r="D195" s="120"/>
      <c r="E195" s="120"/>
      <c r="F195" s="120"/>
      <c r="G195" s="120"/>
      <c r="H195" s="121" t="n">
        <v>760</v>
      </c>
      <c r="I195" s="122" t="s">
        <v>545</v>
      </c>
      <c r="J195" s="123" t="s">
        <v>546</v>
      </c>
      <c r="K195" s="123"/>
      <c r="L195" s="123"/>
      <c r="M195" s="123"/>
      <c r="N195" s="123"/>
    </row>
    <row r="196" customFormat="false" ht="30" hidden="false" customHeight="true" outlineLevel="0" collapsed="false">
      <c r="A196" s="118"/>
      <c r="B196" s="211"/>
      <c r="C196" s="120"/>
      <c r="D196" s="120"/>
      <c r="E196" s="120"/>
      <c r="F196" s="120"/>
      <c r="G196" s="120"/>
      <c r="H196" s="121"/>
      <c r="I196" s="122"/>
      <c r="J196" s="122"/>
      <c r="K196" s="123"/>
      <c r="L196" s="123"/>
      <c r="M196" s="123"/>
      <c r="N196" s="123"/>
    </row>
    <row r="197" customFormat="false" ht="30" hidden="false" customHeight="true" outlineLevel="0" collapsed="false">
      <c r="A197" s="125" t="s">
        <v>547</v>
      </c>
      <c r="B197" s="217" t="n">
        <f aca="false">(H197-100)/1000</f>
        <v>0</v>
      </c>
      <c r="C197" s="120"/>
      <c r="D197" s="120"/>
      <c r="E197" s="120"/>
      <c r="F197" s="120"/>
      <c r="G197" s="120"/>
      <c r="H197" s="121" t="n">
        <v>100</v>
      </c>
      <c r="I197" s="122" t="s">
        <v>548</v>
      </c>
      <c r="J197" s="123" t="s">
        <v>549</v>
      </c>
      <c r="K197" s="123"/>
      <c r="L197" s="123"/>
      <c r="M197" s="123"/>
      <c r="N197" s="123"/>
    </row>
    <row r="198" customFormat="false" ht="30" hidden="false" customHeight="true" outlineLevel="0" collapsed="false">
      <c r="A198" s="125"/>
      <c r="B198" s="217"/>
      <c r="C198" s="120"/>
      <c r="D198" s="120"/>
      <c r="E198" s="120"/>
      <c r="F198" s="120"/>
      <c r="G198" s="120"/>
      <c r="H198" s="121"/>
      <c r="I198" s="122"/>
      <c r="J198" s="122"/>
      <c r="K198" s="123"/>
      <c r="L198" s="123"/>
      <c r="M198" s="123"/>
      <c r="N198" s="123"/>
    </row>
    <row r="199" customFormat="false" ht="30" hidden="false" customHeight="true" outlineLevel="0" collapsed="false">
      <c r="A199" s="118" t="s">
        <v>550</v>
      </c>
      <c r="B199" s="211" t="n">
        <f aca="false">H199/1000</f>
        <v>0.05</v>
      </c>
      <c r="C199" s="120"/>
      <c r="D199" s="120"/>
      <c r="E199" s="120"/>
      <c r="F199" s="120"/>
      <c r="G199" s="120"/>
      <c r="H199" s="121" t="n">
        <v>50</v>
      </c>
      <c r="I199" s="122" t="s">
        <v>551</v>
      </c>
      <c r="J199" s="123" t="s">
        <v>552</v>
      </c>
      <c r="K199" s="123"/>
      <c r="L199" s="123"/>
      <c r="M199" s="123"/>
      <c r="N199" s="123"/>
    </row>
    <row r="200" customFormat="false" ht="30" hidden="false" customHeight="true" outlineLevel="0" collapsed="false">
      <c r="A200" s="118"/>
      <c r="B200" s="211"/>
      <c r="C200" s="120"/>
      <c r="D200" s="120"/>
      <c r="E200" s="120"/>
      <c r="F200" s="120"/>
      <c r="G200" s="120"/>
      <c r="H200" s="121"/>
      <c r="I200" s="122"/>
      <c r="J200" s="122"/>
      <c r="K200" s="123"/>
      <c r="L200" s="123"/>
      <c r="M200" s="123"/>
      <c r="N200" s="123"/>
    </row>
    <row r="201" customFormat="false" ht="30" hidden="false" customHeight="true" outlineLevel="0" collapsed="false">
      <c r="A201" s="118" t="s">
        <v>553</v>
      </c>
      <c r="B201" s="211" t="n">
        <f aca="false">H201/1000</f>
        <v>0.15</v>
      </c>
      <c r="C201" s="120"/>
      <c r="D201" s="120"/>
      <c r="E201" s="120"/>
      <c r="F201" s="120"/>
      <c r="G201" s="120"/>
      <c r="H201" s="121" t="n">
        <v>150</v>
      </c>
      <c r="I201" s="122" t="s">
        <v>554</v>
      </c>
      <c r="J201" s="146" t="s">
        <v>555</v>
      </c>
      <c r="K201" s="146"/>
      <c r="L201" s="146"/>
      <c r="M201" s="146"/>
      <c r="N201" s="146"/>
    </row>
    <row r="202" customFormat="false" ht="30" hidden="false" customHeight="true" outlineLevel="0" collapsed="false">
      <c r="A202" s="118"/>
      <c r="B202" s="211"/>
      <c r="C202" s="120"/>
      <c r="D202" s="120"/>
      <c r="E202" s="120"/>
      <c r="F202" s="120"/>
      <c r="G202" s="120"/>
      <c r="H202" s="121"/>
      <c r="I202" s="122"/>
      <c r="J202" s="122"/>
      <c r="K202" s="146"/>
      <c r="L202" s="146"/>
      <c r="M202" s="146"/>
      <c r="N202" s="146"/>
    </row>
    <row r="203" customFormat="false" ht="30" hidden="false" customHeight="true" outlineLevel="0" collapsed="false">
      <c r="A203" s="118" t="s">
        <v>556</v>
      </c>
      <c r="B203" s="211" t="n">
        <f aca="false">H203/1000</f>
        <v>0.017</v>
      </c>
      <c r="C203" s="120"/>
      <c r="D203" s="120"/>
      <c r="E203" s="120"/>
      <c r="F203" s="120"/>
      <c r="G203" s="120"/>
      <c r="H203" s="121" t="n">
        <v>17</v>
      </c>
      <c r="I203" s="122" t="s">
        <v>557</v>
      </c>
      <c r="J203" s="146" t="s">
        <v>558</v>
      </c>
      <c r="K203" s="146"/>
      <c r="L203" s="146"/>
      <c r="M203" s="146"/>
      <c r="N203" s="146"/>
    </row>
    <row r="204" customFormat="false" ht="30" hidden="false" customHeight="true" outlineLevel="0" collapsed="false">
      <c r="A204" s="118"/>
      <c r="B204" s="211"/>
      <c r="C204" s="120"/>
      <c r="D204" s="120"/>
      <c r="E204" s="120"/>
      <c r="F204" s="120"/>
      <c r="G204" s="120"/>
      <c r="H204" s="121"/>
      <c r="I204" s="122"/>
      <c r="J204" s="122"/>
      <c r="K204" s="146"/>
      <c r="L204" s="146"/>
      <c r="M204" s="146"/>
      <c r="N204" s="146"/>
    </row>
    <row r="205" customFormat="false" ht="30" hidden="false" customHeight="true" outlineLevel="0" collapsed="false">
      <c r="A205" s="125" t="s">
        <v>559</v>
      </c>
      <c r="B205" s="211" t="n">
        <f aca="false">H205/1000</f>
        <v>0.028</v>
      </c>
      <c r="C205" s="120"/>
      <c r="D205" s="120"/>
      <c r="E205" s="120"/>
      <c r="F205" s="120"/>
      <c r="G205" s="120"/>
      <c r="H205" s="121" t="n">
        <v>28</v>
      </c>
      <c r="I205" s="122" t="s">
        <v>560</v>
      </c>
      <c r="J205" s="146" t="s">
        <v>561</v>
      </c>
      <c r="K205" s="146"/>
      <c r="L205" s="146"/>
      <c r="M205" s="146"/>
      <c r="N205" s="146"/>
    </row>
    <row r="206" customFormat="false" ht="30" hidden="false" customHeight="true" outlineLevel="0" collapsed="false">
      <c r="A206" s="125"/>
      <c r="B206" s="211"/>
      <c r="C206" s="120"/>
      <c r="D206" s="120"/>
      <c r="E206" s="120"/>
      <c r="F206" s="120"/>
      <c r="G206" s="120"/>
      <c r="H206" s="121"/>
      <c r="I206" s="122"/>
      <c r="J206" s="122"/>
      <c r="K206" s="146"/>
      <c r="L206" s="146"/>
      <c r="M206" s="146"/>
      <c r="N206" s="146"/>
    </row>
    <row r="207" customFormat="false" ht="30" hidden="false" customHeight="true" outlineLevel="0" collapsed="false">
      <c r="A207" s="118" t="s">
        <v>562</v>
      </c>
      <c r="B207" s="211" t="n">
        <f aca="false">H207/1000</f>
        <v>0.16</v>
      </c>
      <c r="C207" s="120"/>
      <c r="D207" s="120"/>
      <c r="E207" s="120"/>
      <c r="F207" s="120"/>
      <c r="G207" s="120"/>
      <c r="H207" s="121" t="n">
        <v>160</v>
      </c>
      <c r="I207" s="122" t="s">
        <v>563</v>
      </c>
      <c r="J207" s="123" t="s">
        <v>564</v>
      </c>
      <c r="K207" s="123"/>
      <c r="L207" s="123"/>
      <c r="M207" s="123"/>
      <c r="N207" s="123"/>
    </row>
    <row r="208" customFormat="false" ht="30" hidden="false" customHeight="true" outlineLevel="0" collapsed="false">
      <c r="A208" s="118"/>
      <c r="B208" s="211"/>
      <c r="C208" s="120"/>
      <c r="D208" s="120"/>
      <c r="E208" s="120"/>
      <c r="F208" s="120"/>
      <c r="G208" s="120"/>
      <c r="H208" s="121"/>
      <c r="I208" s="122"/>
      <c r="J208" s="122"/>
      <c r="K208" s="123"/>
      <c r="L208" s="123"/>
      <c r="M208" s="123"/>
      <c r="N208" s="123"/>
    </row>
    <row r="209" customFormat="false" ht="30" hidden="false" customHeight="true" outlineLevel="0" collapsed="false">
      <c r="A209" s="118" t="s">
        <v>565</v>
      </c>
      <c r="B209" s="211" t="n">
        <f aca="false">H209/1000</f>
        <v>0.105</v>
      </c>
      <c r="C209" s="120"/>
      <c r="D209" s="120"/>
      <c r="E209" s="120"/>
      <c r="F209" s="120"/>
      <c r="G209" s="120"/>
      <c r="H209" s="121" t="n">
        <v>105</v>
      </c>
      <c r="I209" s="122" t="s">
        <v>566</v>
      </c>
      <c r="J209" s="123" t="s">
        <v>567</v>
      </c>
      <c r="K209" s="123"/>
      <c r="L209" s="123"/>
      <c r="M209" s="123"/>
      <c r="N209" s="123"/>
    </row>
    <row r="210" customFormat="false" ht="30" hidden="false" customHeight="true" outlineLevel="0" collapsed="false">
      <c r="A210" s="118"/>
      <c r="B210" s="211"/>
      <c r="C210" s="120"/>
      <c r="D210" s="120"/>
      <c r="E210" s="120"/>
      <c r="F210" s="120"/>
      <c r="G210" s="120"/>
      <c r="H210" s="121"/>
      <c r="I210" s="122"/>
      <c r="J210" s="122"/>
      <c r="K210" s="123"/>
      <c r="L210" s="123"/>
      <c r="M210" s="123"/>
      <c r="N210" s="123"/>
    </row>
    <row r="211" customFormat="false" ht="30" hidden="false" customHeight="true" outlineLevel="0" collapsed="false">
      <c r="A211" s="118" t="s">
        <v>568</v>
      </c>
      <c r="B211" s="211" t="n">
        <f aca="false">H211/1000</f>
        <v>0.035</v>
      </c>
      <c r="C211" s="120"/>
      <c r="D211" s="120"/>
      <c r="E211" s="120"/>
      <c r="F211" s="120"/>
      <c r="G211" s="120"/>
      <c r="H211" s="121" t="n">
        <v>35</v>
      </c>
      <c r="I211" s="122" t="s">
        <v>569</v>
      </c>
      <c r="J211" s="123" t="s">
        <v>570</v>
      </c>
      <c r="K211" s="123"/>
      <c r="L211" s="123"/>
      <c r="M211" s="123"/>
      <c r="N211" s="123"/>
    </row>
    <row r="212" customFormat="false" ht="30" hidden="false" customHeight="true" outlineLevel="0" collapsed="false">
      <c r="A212" s="118"/>
      <c r="B212" s="211"/>
      <c r="C212" s="120"/>
      <c r="D212" s="120"/>
      <c r="E212" s="120"/>
      <c r="F212" s="120"/>
      <c r="G212" s="120"/>
      <c r="H212" s="121"/>
      <c r="I212" s="122"/>
      <c r="J212" s="122"/>
      <c r="K212" s="123"/>
      <c r="L212" s="123"/>
      <c r="M212" s="123"/>
      <c r="N212" s="123"/>
    </row>
    <row r="213" customFormat="false" ht="24" hidden="false" customHeight="true" outlineLevel="0" collapsed="false">
      <c r="A213" s="194" t="s">
        <v>571</v>
      </c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</row>
    <row r="214" customFormat="false" ht="27" hidden="false" customHeight="true" outlineLevel="0" collapsed="false">
      <c r="A214" s="4" t="s">
        <v>26</v>
      </c>
      <c r="B214" s="4" t="s">
        <v>27</v>
      </c>
      <c r="C214" s="4" t="s">
        <v>572</v>
      </c>
      <c r="D214" s="4" t="s">
        <v>573</v>
      </c>
      <c r="E214" s="13" t="s">
        <v>29</v>
      </c>
      <c r="F214" s="13" t="s">
        <v>30</v>
      </c>
      <c r="G214" s="13" t="s">
        <v>574</v>
      </c>
      <c r="H214" s="13" t="s">
        <v>575</v>
      </c>
      <c r="I214" s="13" t="s">
        <v>576</v>
      </c>
      <c r="J214" s="13" t="s">
        <v>31</v>
      </c>
      <c r="K214" s="13" t="s">
        <v>577</v>
      </c>
      <c r="L214" s="4" t="s">
        <v>578</v>
      </c>
      <c r="M214" s="4"/>
      <c r="N214" s="4"/>
    </row>
    <row r="215" customFormat="false" ht="30" hidden="false" customHeight="true" outlineLevel="0" collapsed="false">
      <c r="A215" s="218" t="n">
        <f aca="false">B72</f>
        <v>4068.1448879193</v>
      </c>
      <c r="B215" s="219" t="n">
        <f aca="false">B74</f>
        <v>1.71178925583054</v>
      </c>
      <c r="C215" s="220" t="n">
        <f aca="false">B65</f>
        <v>0.708168587634816</v>
      </c>
      <c r="D215" s="221" t="n">
        <f aca="false">B66</f>
        <v>624023.457627491</v>
      </c>
      <c r="E215" s="221" t="n">
        <f aca="false">F13</f>
        <v>49199.986616986</v>
      </c>
      <c r="F215" s="222" t="n">
        <f aca="false">F16/F13</f>
        <v>0.848193089151927</v>
      </c>
      <c r="G215" s="221" t="n">
        <f aca="false">F18</f>
        <v>39271.0893040455</v>
      </c>
      <c r="H215" s="223" t="n">
        <f aca="false">F18*(1-$B$201)/'00-三表与联动'!$B$9</f>
        <v>215.357586506056</v>
      </c>
      <c r="I215" s="221" t="n">
        <f aca="false">G32</f>
        <v>97073.6927371369</v>
      </c>
      <c r="J215" s="222" t="n">
        <f aca="false">G34</f>
        <v>0.76</v>
      </c>
      <c r="K215" s="222" t="n">
        <f aca="false">G45/G32</f>
        <v>0.551354545454545</v>
      </c>
      <c r="L215" s="224" t="n">
        <f aca="false">B63/(G37+G40)</f>
        <v>11.5517643076188</v>
      </c>
      <c r="M215" s="34"/>
      <c r="N215" s="34"/>
    </row>
    <row r="217" customFormat="false" ht="24" hidden="false" customHeight="true" outlineLevel="0" collapsed="false">
      <c r="A217" s="225" t="s">
        <v>579</v>
      </c>
      <c r="B217" s="225"/>
      <c r="C217" s="225"/>
      <c r="D217" s="225"/>
      <c r="E217" s="225"/>
      <c r="F217" s="225"/>
      <c r="G217" s="225"/>
      <c r="H217" s="225"/>
      <c r="I217" s="225"/>
      <c r="J217" s="225"/>
      <c r="K217" s="225"/>
      <c r="L217" s="225"/>
      <c r="M217" s="225"/>
      <c r="N217" s="225"/>
    </row>
    <row r="218" customFormat="false" ht="33" hidden="false" customHeight="true" outlineLevel="0" collapsed="false">
      <c r="A218" s="44" t="s">
        <v>580</v>
      </c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</row>
    <row r="219" customFormat="false" ht="27" hidden="false" customHeight="true" outlineLevel="0" collapsed="false">
      <c r="A219" s="4" t="s">
        <v>581</v>
      </c>
      <c r="B219" s="4" t="s">
        <v>582</v>
      </c>
      <c r="C219" s="4"/>
      <c r="D219" s="4" t="s">
        <v>27</v>
      </c>
      <c r="E219" s="4" t="s">
        <v>373</v>
      </c>
      <c r="F219" s="4"/>
      <c r="G219" s="4"/>
      <c r="H219" s="4"/>
      <c r="I219" s="4"/>
      <c r="J219" s="4"/>
      <c r="K219" s="4"/>
      <c r="L219" s="4"/>
      <c r="M219" s="4"/>
      <c r="N219" s="4"/>
    </row>
    <row r="220" customFormat="false" ht="21.75" hidden="false" customHeight="true" outlineLevel="0" collapsed="false">
      <c r="A220" s="155" t="s">
        <v>583</v>
      </c>
      <c r="B220" s="226" t="n">
        <f aca="false">B72</f>
        <v>4068.1448879193</v>
      </c>
      <c r="C220" s="226"/>
      <c r="D220" s="157" t="n">
        <f aca="false">B220/'00-三表与联动'!$B$6-1</f>
        <v>1.71178925583054</v>
      </c>
      <c r="E220" s="56" t="s">
        <v>584</v>
      </c>
      <c r="F220" s="56"/>
      <c r="G220" s="56"/>
      <c r="H220" s="56"/>
      <c r="I220" s="56"/>
      <c r="J220" s="56"/>
      <c r="K220" s="56"/>
      <c r="L220" s="56"/>
      <c r="M220" s="56"/>
      <c r="N220" s="56"/>
    </row>
    <row r="221" customFormat="false" ht="21.75" hidden="false" customHeight="true" outlineLevel="0" collapsed="false">
      <c r="A221" s="155" t="s">
        <v>585</v>
      </c>
      <c r="B221" s="226" t="n">
        <f aca="false">G105</f>
        <v>16171.5434315423</v>
      </c>
      <c r="C221" s="226"/>
      <c r="D221" s="157" t="n">
        <f aca="false">B221/'00-三表与联动'!$B$6-1</f>
        <v>9.77980724287398</v>
      </c>
      <c r="E221" s="56" t="s">
        <v>586</v>
      </c>
      <c r="F221" s="56"/>
      <c r="G221" s="56"/>
      <c r="H221" s="56"/>
      <c r="I221" s="56"/>
      <c r="J221" s="56"/>
      <c r="K221" s="56"/>
      <c r="L221" s="56"/>
      <c r="M221" s="56"/>
      <c r="N221" s="56"/>
    </row>
    <row r="222" customFormat="false" ht="21.75" hidden="false" customHeight="true" outlineLevel="0" collapsed="false">
      <c r="A222" s="155" t="s">
        <v>587</v>
      </c>
      <c r="B222" s="226" t="n">
        <f aca="false">B103</f>
        <v>2977.69575979475</v>
      </c>
      <c r="C222" s="226"/>
      <c r="D222" s="157" t="n">
        <f aca="false">B222/'00-三表与联动'!$B$6-1</f>
        <v>0.984905550567433</v>
      </c>
      <c r="E222" s="68" t="s">
        <v>588</v>
      </c>
      <c r="F222" s="68"/>
      <c r="G222" s="68"/>
      <c r="H222" s="68"/>
      <c r="I222" s="68"/>
      <c r="J222" s="68"/>
      <c r="K222" s="68"/>
      <c r="L222" s="68"/>
      <c r="M222" s="68"/>
      <c r="N222" s="68"/>
    </row>
    <row r="223" customFormat="false" ht="21.75" hidden="false" customHeight="true" outlineLevel="0" collapsed="false">
      <c r="A223" s="5" t="s">
        <v>589</v>
      </c>
      <c r="B223" s="226" t="n">
        <f aca="false">'00-三表与联动'!$B$6</f>
        <v>1500.17</v>
      </c>
      <c r="C223" s="226"/>
      <c r="D223" s="157" t="n">
        <f aca="false">B223/'00-三表与联动'!$B$6-1</f>
        <v>0</v>
      </c>
      <c r="E223" s="68" t="s">
        <v>590</v>
      </c>
      <c r="F223" s="68"/>
      <c r="G223" s="68"/>
      <c r="H223" s="68"/>
      <c r="I223" s="68"/>
      <c r="J223" s="68"/>
      <c r="K223" s="68"/>
      <c r="L223" s="68"/>
      <c r="M223" s="68"/>
      <c r="N223" s="68"/>
    </row>
    <row r="224" customFormat="false" ht="21.75" hidden="false" customHeight="true" outlineLevel="0" collapsed="false">
      <c r="A224" s="5" t="s">
        <v>43</v>
      </c>
      <c r="B224" s="226" t="n">
        <f aca="false">2126</f>
        <v>2126</v>
      </c>
      <c r="C224" s="226"/>
      <c r="D224" s="157" t="n">
        <f aca="false">B224/'00-三表与联动'!$B$6-1</f>
        <v>0.417172720425018</v>
      </c>
      <c r="E224" s="68" t="s">
        <v>591</v>
      </c>
      <c r="F224" s="68"/>
      <c r="G224" s="68"/>
      <c r="H224" s="68"/>
      <c r="I224" s="68"/>
      <c r="J224" s="68"/>
      <c r="K224" s="68"/>
      <c r="L224" s="68"/>
      <c r="M224" s="68"/>
      <c r="N224" s="68"/>
    </row>
    <row r="226" customFormat="false" ht="24" hidden="false" customHeight="true" outlineLevel="0" collapsed="false">
      <c r="A226" s="158" t="s">
        <v>592</v>
      </c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</row>
    <row r="227" customFormat="false" ht="27" hidden="false" customHeight="true" outlineLevel="0" collapsed="false">
      <c r="A227" s="4" t="s">
        <v>216</v>
      </c>
      <c r="B227" s="13" t="s">
        <v>593</v>
      </c>
      <c r="C227" s="13" t="s">
        <v>294</v>
      </c>
      <c r="D227" s="13" t="s">
        <v>295</v>
      </c>
      <c r="E227" s="13" t="s">
        <v>296</v>
      </c>
      <c r="F227" s="13" t="s">
        <v>297</v>
      </c>
      <c r="G227" s="13" t="s">
        <v>298</v>
      </c>
      <c r="H227" s="13" t="s">
        <v>299</v>
      </c>
      <c r="I227" s="4"/>
      <c r="J227" s="4"/>
      <c r="K227" s="4"/>
      <c r="L227" s="4"/>
      <c r="M227" s="4"/>
      <c r="N227" s="4"/>
    </row>
    <row r="228" customFormat="false" ht="16.5" hidden="false" customHeight="true" outlineLevel="0" collapsed="false">
      <c r="A228" s="5" t="s">
        <v>262</v>
      </c>
      <c r="B228" s="159" t="n">
        <f aca="false">'00-三表与联动'!F28</f>
        <v>20248</v>
      </c>
      <c r="C228" s="32" t="n">
        <f aca="false">B32</f>
        <v>49199.986616986</v>
      </c>
      <c r="D228" s="32" t="n">
        <f aca="false">C32</f>
        <v>58055.9842080434</v>
      </c>
      <c r="E228" s="32" t="n">
        <f aca="false">D32</f>
        <v>67925.5015234108</v>
      </c>
      <c r="F228" s="32" t="n">
        <f aca="false">E32</f>
        <v>78793.5817671566</v>
      </c>
      <c r="G228" s="32" t="n">
        <f aca="false">F32</f>
        <v>88248.8115792153</v>
      </c>
      <c r="H228" s="32" t="n">
        <f aca="false">G32</f>
        <v>97073.6927371369</v>
      </c>
      <c r="I228" s="34"/>
      <c r="J228" s="34"/>
      <c r="K228" s="34"/>
      <c r="L228" s="34"/>
      <c r="M228" s="34"/>
      <c r="N228" s="34"/>
    </row>
    <row r="229" customFormat="false" ht="16.5" hidden="false" customHeight="true" outlineLevel="0" collapsed="false">
      <c r="A229" s="5" t="s">
        <v>268</v>
      </c>
      <c r="B229" s="159" t="n">
        <f aca="false">'00-三表与联动'!F30</f>
        <v>14472</v>
      </c>
      <c r="C229" s="32" t="n">
        <f aca="false">B35</f>
        <v>41731.0886348948</v>
      </c>
      <c r="D229" s="32" t="n">
        <f aca="false">C35</f>
        <v>46444.7873664348</v>
      </c>
      <c r="E229" s="32" t="n">
        <f aca="false">D35</f>
        <v>54340.4012187287</v>
      </c>
      <c r="F229" s="32" t="n">
        <f aca="false">E35</f>
        <v>63034.8654137252</v>
      </c>
      <c r="G229" s="32" t="n">
        <f aca="false">F35</f>
        <v>68834.073031788</v>
      </c>
      <c r="H229" s="32" t="n">
        <f aca="false">G35</f>
        <v>73776.006480224</v>
      </c>
      <c r="I229" s="34"/>
      <c r="J229" s="34"/>
      <c r="K229" s="34"/>
      <c r="L229" s="34"/>
      <c r="M229" s="34"/>
      <c r="N229" s="34"/>
    </row>
    <row r="230" customFormat="false" ht="16.5" hidden="false" customHeight="true" outlineLevel="0" collapsed="false">
      <c r="A230" s="5" t="s">
        <v>594</v>
      </c>
      <c r="B230" s="159" t="n">
        <f aca="false">'00-三表与联动'!F39</f>
        <v>12389</v>
      </c>
      <c r="C230" s="32" t="n">
        <f aca="false">B37</f>
        <v>39271.0893040455</v>
      </c>
      <c r="D230" s="32" t="n">
        <f aca="false">C37</f>
        <v>43541.9881560326</v>
      </c>
      <c r="E230" s="32" t="n">
        <f aca="false">D37</f>
        <v>50944.1261425581</v>
      </c>
      <c r="F230" s="32" t="n">
        <f aca="false">E37</f>
        <v>59095.1863253674</v>
      </c>
      <c r="G230" s="32" t="n">
        <f aca="false">F37</f>
        <v>64421.6324528272</v>
      </c>
      <c r="H230" s="32" t="n">
        <f aca="false">G37</f>
        <v>68922.3218433672</v>
      </c>
      <c r="I230" s="34"/>
      <c r="J230" s="34"/>
      <c r="K230" s="34"/>
      <c r="L230" s="34"/>
      <c r="M230" s="34"/>
      <c r="N230" s="34"/>
    </row>
    <row r="231" customFormat="false" ht="16.5" hidden="false" customHeight="true" outlineLevel="0" collapsed="false">
      <c r="A231" s="5" t="s">
        <v>595</v>
      </c>
      <c r="B231" s="159" t="n">
        <f aca="false">'00-三表与联动'!F47</f>
        <v>11433</v>
      </c>
      <c r="C231" s="32" t="n">
        <f aca="false">B39</f>
        <v>33380.4259084387</v>
      </c>
      <c r="D231" s="32" t="n">
        <f aca="false">C39</f>
        <v>37010.6899326277</v>
      </c>
      <c r="E231" s="32" t="n">
        <f aca="false">D39</f>
        <v>43302.5072211744</v>
      </c>
      <c r="F231" s="32" t="n">
        <f aca="false">E39</f>
        <v>50230.9083765623</v>
      </c>
      <c r="G231" s="32" t="n">
        <f aca="false">F39</f>
        <v>54758.3875849031</v>
      </c>
      <c r="H231" s="32" t="n">
        <f aca="false">G39</f>
        <v>58583.9735668621</v>
      </c>
      <c r="I231" s="34"/>
      <c r="J231" s="34"/>
      <c r="K231" s="34"/>
      <c r="L231" s="34"/>
      <c r="M231" s="34"/>
      <c r="N231" s="34"/>
    </row>
    <row r="232" customFormat="false" ht="16.5" hidden="false" customHeight="true" outlineLevel="0" collapsed="false">
      <c r="A232" s="5" t="s">
        <v>596</v>
      </c>
      <c r="B232" s="159" t="n">
        <f aca="false">'00-三表与联动'!F149</f>
        <v>11219</v>
      </c>
      <c r="C232" s="32" t="n">
        <f aca="false">B45</f>
        <v>29396.1085529223</v>
      </c>
      <c r="D232" s="32" t="n">
        <f aca="false">C45</f>
        <v>33410.8253118361</v>
      </c>
      <c r="E232" s="32" t="n">
        <f aca="false">D45</f>
        <v>39169.3855934354</v>
      </c>
      <c r="F232" s="32" t="n">
        <f aca="false">E45</f>
        <v>45529.3768631179</v>
      </c>
      <c r="G232" s="32" t="n">
        <f aca="false">F45</f>
        <v>49927.3954995952</v>
      </c>
      <c r="H232" s="32" t="n">
        <f aca="false">G45</f>
        <v>53522.0217346783</v>
      </c>
      <c r="I232" s="34"/>
      <c r="J232" s="34"/>
      <c r="K232" s="34"/>
      <c r="L232" s="34"/>
      <c r="M232" s="34"/>
      <c r="N232" s="34"/>
    </row>
    <row r="233" customFormat="false" ht="16.5" hidden="false" customHeight="true" outlineLevel="0" collapsed="false">
      <c r="A233" s="5" t="s">
        <v>266</v>
      </c>
      <c r="B233" s="160" t="n">
        <f aca="false">'00-三表与联动'!F30/'00-三表与联动'!F28</f>
        <v>0.71473725800079</v>
      </c>
      <c r="C233" s="43" t="n">
        <f aca="false">B34</f>
        <v>0.848193089151927</v>
      </c>
      <c r="D233" s="43" t="n">
        <f aca="false">C34</f>
        <v>0.8</v>
      </c>
      <c r="E233" s="43" t="n">
        <f aca="false">D34</f>
        <v>0.8</v>
      </c>
      <c r="F233" s="43" t="n">
        <f aca="false">E34</f>
        <v>0.8</v>
      </c>
      <c r="G233" s="43" t="n">
        <f aca="false">F34</f>
        <v>0.78</v>
      </c>
      <c r="H233" s="43" t="n">
        <f aca="false">G34</f>
        <v>0.76</v>
      </c>
      <c r="I233" s="34"/>
      <c r="J233" s="34"/>
      <c r="K233" s="34"/>
      <c r="L233" s="34"/>
      <c r="M233" s="34"/>
      <c r="N233" s="34"/>
    </row>
    <row r="234" customFormat="false" ht="16.5" hidden="false" customHeight="true" outlineLevel="0" collapsed="false">
      <c r="A234" s="5" t="s">
        <v>597</v>
      </c>
      <c r="B234" s="160" t="n">
        <f aca="false">'00-三表与联动'!F39/'00-三表与联动'!F28</f>
        <v>0.61186290003951</v>
      </c>
      <c r="C234" s="43" t="n">
        <f aca="false">B38</f>
        <v>0.798193089151927</v>
      </c>
      <c r="D234" s="43" t="n">
        <f aca="false">C38</f>
        <v>0.75</v>
      </c>
      <c r="E234" s="43" t="n">
        <f aca="false">D38</f>
        <v>0.75</v>
      </c>
      <c r="F234" s="43" t="n">
        <f aca="false">E38</f>
        <v>0.75</v>
      </c>
      <c r="G234" s="43" t="n">
        <f aca="false">F38</f>
        <v>0.73</v>
      </c>
      <c r="H234" s="43" t="n">
        <f aca="false">G38</f>
        <v>0.71</v>
      </c>
      <c r="I234" s="34"/>
      <c r="J234" s="34"/>
      <c r="K234" s="34"/>
      <c r="L234" s="34"/>
      <c r="M234" s="34"/>
      <c r="N234" s="34"/>
    </row>
    <row r="235" customFormat="false" ht="16.5" hidden="false" customHeight="true" outlineLevel="0" collapsed="false">
      <c r="A235" s="155" t="s">
        <v>598</v>
      </c>
      <c r="B235" s="160" t="n">
        <f aca="false">'00-三表与联动'!F149/'00-三表与联动'!F28</f>
        <v>0.554079415250889</v>
      </c>
      <c r="C235" s="43" t="n">
        <f aca="false">B46</f>
        <v>0.597482043679529</v>
      </c>
      <c r="D235" s="43" t="n">
        <f aca="false">C46</f>
        <v>0.575493220338983</v>
      </c>
      <c r="E235" s="43" t="n">
        <f aca="false">D46</f>
        <v>0.576652136752137</v>
      </c>
      <c r="F235" s="43" t="n">
        <f aca="false">E46</f>
        <v>0.577831034482759</v>
      </c>
      <c r="G235" s="43" t="n">
        <f aca="false">F46</f>
        <v>0.565757142857143</v>
      </c>
      <c r="H235" s="43" t="n">
        <f aca="false">G46</f>
        <v>0.551354545454545</v>
      </c>
      <c r="I235" s="34"/>
      <c r="J235" s="34"/>
      <c r="K235" s="34"/>
      <c r="L235" s="34"/>
      <c r="M235" s="34"/>
      <c r="N235" s="34"/>
    </row>
    <row r="236" customFormat="false" ht="16.5" hidden="false" customHeight="true" outlineLevel="0" collapsed="false">
      <c r="A236" s="5" t="s">
        <v>599</v>
      </c>
      <c r="B236" s="161" t="n">
        <f aca="false">'00-三表与联动'!F52</f>
        <v>73.76</v>
      </c>
      <c r="C236" s="100" t="n">
        <f aca="false">B37*(1-$B$201)/'00-三表与联动'!$B$9</f>
        <v>215.357586506056</v>
      </c>
      <c r="D236" s="100" t="n">
        <f aca="false">C37*(1-$B$201)/'00-三表与联动'!$B$9</f>
        <v>238.77864472663</v>
      </c>
      <c r="E236" s="100" t="n">
        <f aca="false">D37*(1-$B$201)/'00-三表与联动'!$B$9</f>
        <v>279.371014330157</v>
      </c>
      <c r="F236" s="100" t="n">
        <f aca="false">E37*(1-$B$201)/'00-三表与联动'!$B$9</f>
        <v>324.070376622983</v>
      </c>
      <c r="G236" s="100" t="n">
        <f aca="false">F37*(1-$B$201)/'00-三表与联动'!$B$9</f>
        <v>353.279919902601</v>
      </c>
      <c r="H236" s="100" t="n">
        <f aca="false">G37*(1-$B$201)/'00-三表与联动'!$B$9</f>
        <v>377.961119786207</v>
      </c>
      <c r="I236" s="34"/>
      <c r="J236" s="34"/>
      <c r="K236" s="34"/>
      <c r="L236" s="34"/>
      <c r="M236" s="34"/>
      <c r="N236" s="34"/>
    </row>
    <row r="237" customFormat="false" ht="16.5" hidden="false" customHeight="true" outlineLevel="0" collapsed="false">
      <c r="A237" s="5" t="s">
        <v>600</v>
      </c>
      <c r="B237" s="160" t="n">
        <f aca="false">'00-三表与联动'!F28/7355-1</f>
        <v>1.75295717199184</v>
      </c>
      <c r="C237" s="43" t="n">
        <f aca="false">B33</f>
        <v>1.42986895579741</v>
      </c>
      <c r="D237" s="43" t="n">
        <f aca="false">C33</f>
        <v>0.18</v>
      </c>
      <c r="E237" s="43" t="n">
        <f aca="false">D33</f>
        <v>0.17</v>
      </c>
      <c r="F237" s="43" t="n">
        <f aca="false">E33</f>
        <v>0.16</v>
      </c>
      <c r="G237" s="43" t="n">
        <f aca="false">F33</f>
        <v>0.12</v>
      </c>
      <c r="H237" s="43" t="n">
        <f aca="false">G33</f>
        <v>0.1</v>
      </c>
      <c r="I237" s="34"/>
      <c r="J237" s="34"/>
      <c r="K237" s="34"/>
      <c r="L237" s="34"/>
      <c r="M237" s="34"/>
      <c r="N237" s="34"/>
    </row>
    <row r="238" customFormat="false" ht="16.5" hidden="false" customHeight="true" outlineLevel="0" collapsed="false">
      <c r="A238" s="5" t="s">
        <v>403</v>
      </c>
      <c r="B238" s="162" t="n">
        <f aca="false">'00-三表与联动'!$B$9</f>
        <v>155</v>
      </c>
      <c r="C238" s="97" t="n">
        <f aca="false">B97</f>
        <v>136.71783276117</v>
      </c>
      <c r="D238" s="97" t="n">
        <f aca="false">C97</f>
        <v>117.927391363258</v>
      </c>
      <c r="E238" s="97" t="n">
        <f aca="false">D97</f>
        <v>97.9907472559844</v>
      </c>
      <c r="F238" s="97" t="n">
        <f aca="false">E97</f>
        <v>77.0181240302361</v>
      </c>
      <c r="G238" s="97" t="n">
        <f aca="false">F97</f>
        <v>56.2139998765136</v>
      </c>
      <c r="H238" s="97" t="n">
        <f aca="false">G97</f>
        <v>36.0421694929151</v>
      </c>
      <c r="I238" s="34"/>
      <c r="J238" s="34"/>
      <c r="K238" s="34"/>
      <c r="L238" s="34"/>
      <c r="M238" s="34"/>
      <c r="N238" s="34"/>
    </row>
    <row r="239" customFormat="false" ht="16.5" hidden="false" customHeight="true" outlineLevel="0" collapsed="false">
      <c r="A239" s="5" t="s">
        <v>601</v>
      </c>
      <c r="B239" s="161" t="n">
        <f aca="false">'00-三表与联动'!F52</f>
        <v>73.76</v>
      </c>
      <c r="C239" s="100" t="n">
        <f aca="false">B100</f>
        <v>244.155610385884</v>
      </c>
      <c r="D239" s="100" t="n">
        <f aca="false">C100</f>
        <v>313.843030908924</v>
      </c>
      <c r="E239" s="100" t="n">
        <f aca="false">D100</f>
        <v>441.904041287223</v>
      </c>
      <c r="F239" s="100" t="n">
        <f aca="false">E100</f>
        <v>652.19594749987</v>
      </c>
      <c r="G239" s="100" t="n">
        <f aca="false">F100</f>
        <v>974.105875852847</v>
      </c>
      <c r="H239" s="100" t="n">
        <f aca="false">G100</f>
        <v>1625.42861295789</v>
      </c>
      <c r="I239" s="34"/>
      <c r="J239" s="34"/>
      <c r="K239" s="34"/>
      <c r="L239" s="34"/>
      <c r="M239" s="34"/>
      <c r="N239" s="34"/>
    </row>
    <row r="240" customFormat="false" ht="20.25" hidden="false" customHeight="true" outlineLevel="0" collapsed="false">
      <c r="A240" s="163" t="s">
        <v>602</v>
      </c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</row>
    <row r="483" customFormat="false" ht="58.5" hidden="false" customHeight="true" outlineLevel="0" collapsed="false">
      <c r="A483" s="44" t="s">
        <v>603</v>
      </c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</row>
  </sheetData>
  <mergeCells count="314">
    <mergeCell ref="A1:N1"/>
    <mergeCell ref="A2:N2"/>
    <mergeCell ref="A4:N4"/>
    <mergeCell ref="A5:N5"/>
    <mergeCell ref="A6:N6"/>
    <mergeCell ref="A7:N7"/>
    <mergeCell ref="A8:N8"/>
    <mergeCell ref="A9:N9"/>
    <mergeCell ref="A11:N11"/>
    <mergeCell ref="G13:N13"/>
    <mergeCell ref="G14:N14"/>
    <mergeCell ref="G15:N15"/>
    <mergeCell ref="G16:N16"/>
    <mergeCell ref="G17:N17"/>
    <mergeCell ref="G18:N18"/>
    <mergeCell ref="G19:N19"/>
    <mergeCell ref="G20:N20"/>
    <mergeCell ref="G21:N21"/>
    <mergeCell ref="G22:N22"/>
    <mergeCell ref="G23:N23"/>
    <mergeCell ref="G24:N24"/>
    <mergeCell ref="G25:N25"/>
    <mergeCell ref="G26:N26"/>
    <mergeCell ref="G27:N27"/>
    <mergeCell ref="A28:N28"/>
    <mergeCell ref="A30:N30"/>
    <mergeCell ref="I32:N32"/>
    <mergeCell ref="I33:N33"/>
    <mergeCell ref="I34:N34"/>
    <mergeCell ref="I35:N35"/>
    <mergeCell ref="I36:N36"/>
    <mergeCell ref="I37:N37"/>
    <mergeCell ref="I38:N38"/>
    <mergeCell ref="I39:N39"/>
    <mergeCell ref="I40:N40"/>
    <mergeCell ref="I41:N41"/>
    <mergeCell ref="I42:N42"/>
    <mergeCell ref="I43:N43"/>
    <mergeCell ref="I44:N44"/>
    <mergeCell ref="I45:N45"/>
    <mergeCell ref="I46:N46"/>
    <mergeCell ref="I47:N47"/>
    <mergeCell ref="I48:N48"/>
    <mergeCell ref="I49:N49"/>
    <mergeCell ref="A51:N51"/>
    <mergeCell ref="B53:C53"/>
    <mergeCell ref="D53:N53"/>
    <mergeCell ref="B54:C54"/>
    <mergeCell ref="D54:N54"/>
    <mergeCell ref="B55:C55"/>
    <mergeCell ref="D55:N55"/>
    <mergeCell ref="B56:C56"/>
    <mergeCell ref="D56:N56"/>
    <mergeCell ref="B57:C57"/>
    <mergeCell ref="D57:N57"/>
    <mergeCell ref="B58:C58"/>
    <mergeCell ref="D58:N58"/>
    <mergeCell ref="A60:N60"/>
    <mergeCell ref="B62:C62"/>
    <mergeCell ref="D62:N62"/>
    <mergeCell ref="B63:C63"/>
    <mergeCell ref="D63:N63"/>
    <mergeCell ref="B64:C64"/>
    <mergeCell ref="D64:N64"/>
    <mergeCell ref="B65:C65"/>
    <mergeCell ref="D65:N65"/>
    <mergeCell ref="B66:C66"/>
    <mergeCell ref="D66:N66"/>
    <mergeCell ref="B67:C67"/>
    <mergeCell ref="D67:N67"/>
    <mergeCell ref="B68:C68"/>
    <mergeCell ref="D68:N68"/>
    <mergeCell ref="B69:C69"/>
    <mergeCell ref="D69:N69"/>
    <mergeCell ref="B70:C70"/>
    <mergeCell ref="D70:N70"/>
    <mergeCell ref="B71:C71"/>
    <mergeCell ref="D71:N71"/>
    <mergeCell ref="B72:C72"/>
    <mergeCell ref="D72:N72"/>
    <mergeCell ref="B73:C73"/>
    <mergeCell ref="D73:N73"/>
    <mergeCell ref="B74:C74"/>
    <mergeCell ref="D74:N74"/>
    <mergeCell ref="A75:N75"/>
    <mergeCell ref="A77:N77"/>
    <mergeCell ref="B79:C79"/>
    <mergeCell ref="D79:E79"/>
    <mergeCell ref="F79:N79"/>
    <mergeCell ref="B80:C80"/>
    <mergeCell ref="D80:E80"/>
    <mergeCell ref="F80:N80"/>
    <mergeCell ref="B81:C81"/>
    <mergeCell ref="D81:E81"/>
    <mergeCell ref="F81:N81"/>
    <mergeCell ref="B82:C82"/>
    <mergeCell ref="D82:E82"/>
    <mergeCell ref="F82:N82"/>
    <mergeCell ref="B83:C83"/>
    <mergeCell ref="D83:E83"/>
    <mergeCell ref="F83:N83"/>
    <mergeCell ref="A85:N85"/>
    <mergeCell ref="A86:N86"/>
    <mergeCell ref="A87:N87"/>
    <mergeCell ref="A88:N88"/>
    <mergeCell ref="H90:N90"/>
    <mergeCell ref="H91:N91"/>
    <mergeCell ref="H92:N92"/>
    <mergeCell ref="H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H102:N102"/>
    <mergeCell ref="H103:N103"/>
    <mergeCell ref="H104:N104"/>
    <mergeCell ref="H105:N105"/>
    <mergeCell ref="A107:N107"/>
    <mergeCell ref="I109:N109"/>
    <mergeCell ref="I110:N110"/>
    <mergeCell ref="I111:N111"/>
    <mergeCell ref="A112:N112"/>
    <mergeCell ref="A114:N114"/>
    <mergeCell ref="B116:C116"/>
    <mergeCell ref="D116:N116"/>
    <mergeCell ref="B117:C117"/>
    <mergeCell ref="D117:N117"/>
    <mergeCell ref="B118:C118"/>
    <mergeCell ref="D118:N118"/>
    <mergeCell ref="B119:C119"/>
    <mergeCell ref="D119:N119"/>
    <mergeCell ref="B120:C120"/>
    <mergeCell ref="D120:N120"/>
    <mergeCell ref="B121:C121"/>
    <mergeCell ref="D121:N121"/>
    <mergeCell ref="B122:C122"/>
    <mergeCell ref="D122:N122"/>
    <mergeCell ref="B123:C123"/>
    <mergeCell ref="D123:N123"/>
    <mergeCell ref="B124:C124"/>
    <mergeCell ref="D124:N124"/>
    <mergeCell ref="B125:C125"/>
    <mergeCell ref="D125:N125"/>
    <mergeCell ref="B126:C126"/>
    <mergeCell ref="D126:N126"/>
    <mergeCell ref="B127:C127"/>
    <mergeCell ref="D127:N127"/>
    <mergeCell ref="A128:N128"/>
    <mergeCell ref="A130:N130"/>
    <mergeCell ref="A131:N131"/>
    <mergeCell ref="C132:G132"/>
    <mergeCell ref="A133:A134"/>
    <mergeCell ref="B133:B134"/>
    <mergeCell ref="C133:G134"/>
    <mergeCell ref="H133:H134"/>
    <mergeCell ref="I133:I134"/>
    <mergeCell ref="J133:N134"/>
    <mergeCell ref="A135:A136"/>
    <mergeCell ref="B135:B136"/>
    <mergeCell ref="C135:G136"/>
    <mergeCell ref="H135:H136"/>
    <mergeCell ref="I135:I136"/>
    <mergeCell ref="J135:N136"/>
    <mergeCell ref="A137:A138"/>
    <mergeCell ref="B137:B138"/>
    <mergeCell ref="C137:G138"/>
    <mergeCell ref="H137:H138"/>
    <mergeCell ref="I137:I138"/>
    <mergeCell ref="J137:N138"/>
    <mergeCell ref="A139:A140"/>
    <mergeCell ref="B139:B140"/>
    <mergeCell ref="C139:G140"/>
    <mergeCell ref="H139:H140"/>
    <mergeCell ref="I139:I140"/>
    <mergeCell ref="J139:N140"/>
    <mergeCell ref="A141:A142"/>
    <mergeCell ref="B141:B142"/>
    <mergeCell ref="C141:G142"/>
    <mergeCell ref="H141:H142"/>
    <mergeCell ref="I141:I142"/>
    <mergeCell ref="J141:N142"/>
    <mergeCell ref="A144:N144"/>
    <mergeCell ref="G146:N146"/>
    <mergeCell ref="G147:N147"/>
    <mergeCell ref="G148:N148"/>
    <mergeCell ref="G149:N149"/>
    <mergeCell ref="G150:N150"/>
    <mergeCell ref="A151:N151"/>
    <mergeCell ref="A153:N153"/>
    <mergeCell ref="G155:N155"/>
    <mergeCell ref="G156:N156"/>
    <mergeCell ref="G157:N157"/>
    <mergeCell ref="G158:N158"/>
    <mergeCell ref="G159:N159"/>
    <mergeCell ref="G160:N160"/>
    <mergeCell ref="A161:N161"/>
    <mergeCell ref="A164:N164"/>
    <mergeCell ref="A165:N165"/>
    <mergeCell ref="A166:G166"/>
    <mergeCell ref="H166:N166"/>
    <mergeCell ref="A173:N173"/>
    <mergeCell ref="A174:N174"/>
    <mergeCell ref="C176:D176"/>
    <mergeCell ref="E176:I176"/>
    <mergeCell ref="J176:N176"/>
    <mergeCell ref="C177:D177"/>
    <mergeCell ref="E177:I177"/>
    <mergeCell ref="J177:N177"/>
    <mergeCell ref="C178:D178"/>
    <mergeCell ref="E178:I178"/>
    <mergeCell ref="J178:N178"/>
    <mergeCell ref="C179:D179"/>
    <mergeCell ref="E179:I179"/>
    <mergeCell ref="J179:N179"/>
    <mergeCell ref="C180:D180"/>
    <mergeCell ref="E180:I180"/>
    <mergeCell ref="J180:N180"/>
    <mergeCell ref="A181:N181"/>
    <mergeCell ref="A183:N183"/>
    <mergeCell ref="A186:N186"/>
    <mergeCell ref="A187:N187"/>
    <mergeCell ref="C188:G188"/>
    <mergeCell ref="A189:A190"/>
    <mergeCell ref="B189:B190"/>
    <mergeCell ref="C189:G190"/>
    <mergeCell ref="H189:H190"/>
    <mergeCell ref="I189:I190"/>
    <mergeCell ref="J189:N190"/>
    <mergeCell ref="A191:A192"/>
    <mergeCell ref="B191:B192"/>
    <mergeCell ref="C191:G192"/>
    <mergeCell ref="H191:H192"/>
    <mergeCell ref="I191:I192"/>
    <mergeCell ref="J191:N192"/>
    <mergeCell ref="A193:A194"/>
    <mergeCell ref="B193:B194"/>
    <mergeCell ref="C193:G194"/>
    <mergeCell ref="H193:H194"/>
    <mergeCell ref="I193:I194"/>
    <mergeCell ref="J193:N194"/>
    <mergeCell ref="A195:A196"/>
    <mergeCell ref="B195:B196"/>
    <mergeCell ref="C195:G196"/>
    <mergeCell ref="H195:H196"/>
    <mergeCell ref="I195:I196"/>
    <mergeCell ref="J195:N196"/>
    <mergeCell ref="A197:A198"/>
    <mergeCell ref="B197:B198"/>
    <mergeCell ref="C197:G198"/>
    <mergeCell ref="H197:H198"/>
    <mergeCell ref="I197:I198"/>
    <mergeCell ref="J197:N198"/>
    <mergeCell ref="A199:A200"/>
    <mergeCell ref="B199:B200"/>
    <mergeCell ref="C199:G200"/>
    <mergeCell ref="H199:H200"/>
    <mergeCell ref="I199:I200"/>
    <mergeCell ref="J199:N200"/>
    <mergeCell ref="A201:A202"/>
    <mergeCell ref="B201:B202"/>
    <mergeCell ref="C201:G202"/>
    <mergeCell ref="H201:H202"/>
    <mergeCell ref="I201:I202"/>
    <mergeCell ref="J201:N202"/>
    <mergeCell ref="A203:A204"/>
    <mergeCell ref="B203:B204"/>
    <mergeCell ref="C203:G204"/>
    <mergeCell ref="H203:H204"/>
    <mergeCell ref="I203:I204"/>
    <mergeCell ref="J203:N204"/>
    <mergeCell ref="A205:A206"/>
    <mergeCell ref="B205:B206"/>
    <mergeCell ref="C205:G206"/>
    <mergeCell ref="H205:H206"/>
    <mergeCell ref="I205:I206"/>
    <mergeCell ref="J205:N206"/>
    <mergeCell ref="A207:A208"/>
    <mergeCell ref="B207:B208"/>
    <mergeCell ref="C207:G208"/>
    <mergeCell ref="H207:H208"/>
    <mergeCell ref="I207:I208"/>
    <mergeCell ref="J207:N208"/>
    <mergeCell ref="A209:A210"/>
    <mergeCell ref="B209:B210"/>
    <mergeCell ref="C209:G210"/>
    <mergeCell ref="H209:H210"/>
    <mergeCell ref="I209:I210"/>
    <mergeCell ref="J209:N210"/>
    <mergeCell ref="A211:A212"/>
    <mergeCell ref="B211:B212"/>
    <mergeCell ref="C211:G212"/>
    <mergeCell ref="H211:H212"/>
    <mergeCell ref="I211:I212"/>
    <mergeCell ref="J211:N212"/>
    <mergeCell ref="A213:N213"/>
    <mergeCell ref="A217:N217"/>
    <mergeCell ref="A218:N218"/>
    <mergeCell ref="B220:C220"/>
    <mergeCell ref="E220:N220"/>
    <mergeCell ref="B221:C221"/>
    <mergeCell ref="E221:N221"/>
    <mergeCell ref="B222:C222"/>
    <mergeCell ref="E222:N222"/>
    <mergeCell ref="B223:C223"/>
    <mergeCell ref="E223:N223"/>
    <mergeCell ref="B224:C224"/>
    <mergeCell ref="E224:N224"/>
    <mergeCell ref="A226:N226"/>
    <mergeCell ref="A240:N240"/>
    <mergeCell ref="A483:N483"/>
  </mergeCells>
  <conditionalFormatting sqref="B74">
    <cfRule type="expression" priority="2" aboveAverage="0" equalAverage="0" bottom="0" percent="0" rank="0" text="" dxfId="2">
      <formula>$B$74&gt;0</formula>
    </cfRule>
    <cfRule type="expression" priority="3" aboveAverage="0" equalAverage="0" bottom="0" percent="0" rank="0" text="" dxfId="3">
      <formula>$B$74&lt;=0</formula>
    </cfRule>
  </conditionalFormatting>
  <conditionalFormatting sqref="I109">
    <cfRule type="expression" priority="4" aboveAverage="0" equalAverage="0" bottom="0" percent="0" rank="0" text="" dxfId="0">
      <formula>$I$109&gt;0</formula>
    </cfRule>
    <cfRule type="expression" priority="5" aboveAverage="0" equalAverage="0" bottom="0" percent="0" rank="0" text="" dxfId="1">
      <formula>$I$109&lt;=0</formula>
    </cfRule>
  </conditionalFormatting>
  <conditionalFormatting sqref="I110">
    <cfRule type="expression" priority="6" aboveAverage="0" equalAverage="0" bottom="0" percent="0" rank="0" text="" dxfId="0">
      <formula>$I$110&gt;0</formula>
    </cfRule>
    <cfRule type="expression" priority="7" aboveAverage="0" equalAverage="0" bottom="0" percent="0" rank="0" text="" dxfId="1">
      <formula>$I$110&lt;=0</formula>
    </cfRule>
  </conditionalFormatting>
  <conditionalFormatting sqref="I111">
    <cfRule type="expression" priority="8" aboveAverage="0" equalAverage="0" bottom="0" percent="0" rank="0" text="" dxfId="0">
      <formula>$I$111&gt;0</formula>
    </cfRule>
    <cfRule type="expression" priority="9" aboveAverage="0" equalAverage="0" bottom="0" percent="0" rank="0" text="" dxfId="1">
      <formula>$I$111&lt;=0</formula>
    </cfRule>
  </conditionalFormatting>
  <conditionalFormatting sqref="B125">
    <cfRule type="expression" priority="10" aboveAverage="0" equalAverage="0" bottom="0" percent="0" rank="0" text="" dxfId="2">
      <formula>$B$125&gt;0</formula>
    </cfRule>
    <cfRule type="expression" priority="11" aboveAverage="0" equalAverage="0" bottom="0" percent="0" rank="0" text="" dxfId="3">
      <formula>$B$125&lt;=0</formula>
    </cfRule>
  </conditionalFormatting>
  <conditionalFormatting sqref="B146:F150">
    <cfRule type="expression" priority="12" aboveAverage="0" equalAverage="0" bottom="0" percent="0" rank="0" text="" dxfId="4">
      <formula>AND(ISNUMBER(B146),B146&gt;'00-三表与联动'!$B$6)</formula>
    </cfRule>
    <cfRule type="expression" priority="13" aboveAverage="0" equalAverage="0" bottom="0" percent="0" rank="0" text="" dxfId="5">
      <formula>AND(ISNUMBER(B146),B146&lt;='00-三表与联动'!$B$6)</formula>
    </cfRule>
  </conditionalFormatting>
  <conditionalFormatting sqref="B155:D160">
    <cfRule type="expression" priority="14" aboveAverage="0" equalAverage="0" bottom="0" percent="0" rank="0" text="" dxfId="0">
      <formula>AND(ISNUMBER(B155),B155&gt;'00-三表与联动'!$B$6)</formula>
    </cfRule>
    <cfRule type="expression" priority="15" aboveAverage="0" equalAverage="0" bottom="0" percent="0" rank="0" text="" dxfId="1">
      <formula>AND(ISNUMBER(B155),B155&lt;='00-三表与联动'!$B$6)</formula>
    </cfRule>
  </conditionalFormatting>
  <conditionalFormatting sqref="B168:F172">
    <cfRule type="expression" priority="16" aboveAverage="0" equalAverage="0" bottom="0" percent="0" rank="0" text="" dxfId="4">
      <formula>AND(ISNUMBER(B168),B168&gt;'00-三表与联动'!$B$6)</formula>
    </cfRule>
    <cfRule type="expression" priority="17" aboveAverage="0" equalAverage="0" bottom="0" percent="0" rank="0" text="" dxfId="5">
      <formula>AND(ISNUMBER(B168),B168&lt;='00-三表与联动'!$B$6)</formula>
    </cfRule>
  </conditionalFormatting>
  <conditionalFormatting sqref="I168:M172">
    <cfRule type="expression" priority="18" aboveAverage="0" equalAverage="0" bottom="0" percent="0" rank="0" text="" dxfId="4">
      <formula>AND(ISNUMBER(B168),B168&gt;'00-三表与联动'!$B$6)</formula>
    </cfRule>
    <cfRule type="expression" priority="19" aboveAverage="0" equalAverage="0" bottom="0" percent="0" rank="0" text="" dxfId="5">
      <formula>AND(ISNUMBER(B168),B168&lt;='00-三表与联动'!$B$6)</formula>
    </cfRule>
  </conditionalFormatting>
  <conditionalFormatting sqref="B215">
    <cfRule type="expression" priority="20" aboveAverage="0" equalAverage="0" bottom="0" percent="0" rank="0" text="" dxfId="6">
      <formula>$B$215&gt;0</formula>
    </cfRule>
    <cfRule type="expression" priority="21" aboveAverage="0" equalAverage="0" bottom="0" percent="0" rank="0" text="" dxfId="7">
      <formula>$B$215&lt;=0</formula>
    </cfRule>
  </conditionalFormatting>
  <conditionalFormatting sqref="D220">
    <cfRule type="expression" priority="22" aboveAverage="0" equalAverage="0" bottom="0" percent="0" rank="0" text="" dxfId="0">
      <formula>$D$220&gt;0</formula>
    </cfRule>
    <cfRule type="expression" priority="23" aboveAverage="0" equalAverage="0" bottom="0" percent="0" rank="0" text="" dxfId="1">
      <formula>$D$220&lt;=0</formula>
    </cfRule>
  </conditionalFormatting>
  <conditionalFormatting sqref="D221">
    <cfRule type="expression" priority="24" aboveAverage="0" equalAverage="0" bottom="0" percent="0" rank="0" text="" dxfId="0">
      <formula>$D$221&gt;0</formula>
    </cfRule>
    <cfRule type="expression" priority="25" aboveAverage="0" equalAverage="0" bottom="0" percent="0" rank="0" text="" dxfId="1">
      <formula>$D$221&lt;=0</formula>
    </cfRule>
  </conditionalFormatting>
  <conditionalFormatting sqref="D222">
    <cfRule type="expression" priority="26" aboveAverage="0" equalAverage="0" bottom="0" percent="0" rank="0" text="" dxfId="0">
      <formula>$D$222&gt;0</formula>
    </cfRule>
    <cfRule type="expression" priority="27" aboveAverage="0" equalAverage="0" bottom="0" percent="0" rank="0" text="" dxfId="1">
      <formula>$D$222&lt;=0</formula>
    </cfRule>
  </conditionalFormatting>
  <conditionalFormatting sqref="D223">
    <cfRule type="expression" priority="28" aboveAverage="0" equalAverage="0" bottom="0" percent="0" rank="0" text="" dxfId="0">
      <formula>$D$223&gt;0</formula>
    </cfRule>
    <cfRule type="expression" priority="29" aboveAverage="0" equalAverage="0" bottom="0" percent="0" rank="0" text="" dxfId="1">
      <formula>$D$223&lt;=0</formula>
    </cfRule>
  </conditionalFormatting>
  <conditionalFormatting sqref="D224">
    <cfRule type="expression" priority="30" aboveAverage="0" equalAverage="0" bottom="0" percent="0" rank="0" text="" dxfId="0">
      <formula>$D$224&gt;0</formula>
    </cfRule>
    <cfRule type="expression" priority="31" aboveAverage="0" equalAverage="0" bottom="0" percent="0" rank="0" text="" dxfId="1">
      <formula>$D$224&lt;=0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xmlns:r="http://schemas.openxmlformats.org/officeDocument/2006/relationships" r:id="rId2"/>
  <mc:AlternateContent xmlns:mc="http://schemas.openxmlformats.org/markup-compatibility/2006">
    <mc:Choice xmlns:x14="http://schemas.microsoft.com/office/spreadsheetml/2009/9/main" xmlns:xdr="http://schemas.openxmlformats.org/drawingml/2006/spreadsheetDrawing" xmlns:r="http://schemas.openxmlformats.org/officeDocument/2006/relationships" Requires="x14">
      <controls>
        <mc:AlternateContent xmlns:mc="http://schemas.openxmlformats.org/markup-compatibility/2006">
          <mc:Choice Requires="x14">
            <control shapeId="1059" r:id="rId3" name="Scroll Bar 35">
              <controlPr defaultSize="0" autoLine="0" autoPict="0" altText="" linkedCell="'03-DCF-乐观'!$H$133" print="0">
                <anchor moveWithCells="1" sizeWithCells="0">
                  <from>
                    <xdr:col>2</xdr:col>
                    <xdr:colOff>19050</xdr:colOff>
                    <xdr:row>132</xdr:row>
                    <xdr:rowOff>25400</xdr:rowOff>
                  </from>
                  <to>
                    <xdr:col>7</xdr:col>
                    <xdr:colOff>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" name="Scroll Bar 36">
              <controlPr defaultSize="0" autoLine="0" autoPict="0" altText="" linkedCell="'03-DCF-乐观'!$H$135" print="0">
                <anchor moveWithCells="1" sizeWithCells="0">
                  <from>
                    <xdr:col>2</xdr:col>
                    <xdr:colOff>19050</xdr:colOff>
                    <xdr:row>134</xdr:row>
                    <xdr:rowOff>25400</xdr:rowOff>
                  </from>
                  <to>
                    <xdr:col>7</xdr:col>
                    <xdr:colOff>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5" name="Scroll Bar 37">
              <controlPr defaultSize="0" autoLine="0" autoPict="0" altText="" linkedCell="'03-DCF-乐观'!$H$137" print="0">
                <anchor moveWithCells="1" sizeWithCells="0">
                  <from>
                    <xdr:col>2</xdr:col>
                    <xdr:colOff>19050</xdr:colOff>
                    <xdr:row>136</xdr:row>
                    <xdr:rowOff>25400</xdr:rowOff>
                  </from>
                  <to>
                    <xdr:col>7</xdr:col>
                    <xdr:colOff>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6" name="Scroll Bar 38">
              <controlPr defaultSize="0" autoLine="0" autoPict="0" altText="" linkedCell="'03-DCF-乐观'!$H$139" print="0">
                <anchor moveWithCells="1" sizeWithCells="0">
                  <from>
                    <xdr:col>2</xdr:col>
                    <xdr:colOff>19050</xdr:colOff>
                    <xdr:row>138</xdr:row>
                    <xdr:rowOff>25400</xdr:rowOff>
                  </from>
                  <to>
                    <xdr:col>7</xdr:col>
                    <xdr:colOff>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7" name="Scroll Bar 39">
              <controlPr defaultSize="0" autoLine="0" autoPict="0" altText="" linkedCell="'03-DCF-乐观'!$H$141" print="0">
                <anchor moveWithCells="1" sizeWithCells="0">
                  <from>
                    <xdr:col>2</xdr:col>
                    <xdr:colOff>19050</xdr:colOff>
                    <xdr:row>140</xdr:row>
                    <xdr:rowOff>25400</xdr:rowOff>
                  </from>
                  <to>
                    <xdr:col>7</xdr:col>
                    <xdr:colOff>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8" name="Scroll Bar 40">
              <controlPr defaultSize="0" autoLine="0" autoPict="0" altText="" linkedCell="'03-DCF-乐观'!$H$189" print="0">
                <anchor moveWithCells="1" sizeWithCells="0">
                  <from>
                    <xdr:col>2</xdr:col>
                    <xdr:colOff>19050</xdr:colOff>
                    <xdr:row>188</xdr:row>
                    <xdr:rowOff>25400</xdr:rowOff>
                  </from>
                  <to>
                    <xdr:col>7</xdr:col>
                    <xdr:colOff>0</xdr:colOff>
                    <xdr:row>190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9" name="Scroll Bar 41">
              <controlPr defaultSize="0" autoLine="0" autoPict="0" altText="" linkedCell="'03-DCF-乐观'!$H$191" print="0">
                <anchor moveWithCells="1" sizeWithCells="0">
                  <from>
                    <xdr:col>2</xdr:col>
                    <xdr:colOff>19050</xdr:colOff>
                    <xdr:row>190</xdr:row>
                    <xdr:rowOff>25400</xdr:rowOff>
                  </from>
                  <to>
                    <xdr:col>7</xdr:col>
                    <xdr:colOff>0</xdr:colOff>
                    <xdr:row>192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0" name="Scroll Bar 42">
              <controlPr defaultSize="0" autoLine="0" autoPict="0" altText="" linkedCell="'03-DCF-乐观'!$H$193" print="0">
                <anchor moveWithCells="1" sizeWithCells="0">
                  <from>
                    <xdr:col>2</xdr:col>
                    <xdr:colOff>19050</xdr:colOff>
                    <xdr:row>192</xdr:row>
                    <xdr:rowOff>25400</xdr:rowOff>
                  </from>
                  <to>
                    <xdr:col>7</xdr:col>
                    <xdr:colOff>0</xdr:colOff>
                    <xdr:row>194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1" name="Scroll Bar 43">
              <controlPr defaultSize="0" autoLine="0" autoPict="0" altText="" linkedCell="'03-DCF-乐观'!$H$195" print="0">
                <anchor moveWithCells="1" sizeWithCells="0">
                  <from>
                    <xdr:col>2</xdr:col>
                    <xdr:colOff>19050</xdr:colOff>
                    <xdr:row>194</xdr:row>
                    <xdr:rowOff>25400</xdr:rowOff>
                  </from>
                  <to>
                    <xdr:col>7</xdr:col>
                    <xdr:colOff>0</xdr:colOff>
                    <xdr:row>196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2" name="Scroll Bar 44">
              <controlPr defaultSize="0" autoLine="0" autoPict="0" altText="" linkedCell="'03-DCF-乐观'!$H$197" print="0">
                <anchor moveWithCells="1" sizeWithCells="0">
                  <from>
                    <xdr:col>2</xdr:col>
                    <xdr:colOff>19050</xdr:colOff>
                    <xdr:row>196</xdr:row>
                    <xdr:rowOff>25400</xdr:rowOff>
                  </from>
                  <to>
                    <xdr:col>7</xdr:col>
                    <xdr:colOff>0</xdr:colOff>
                    <xdr:row>198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3" name="Scroll Bar 45">
              <controlPr defaultSize="0" autoLine="0" autoPict="0" altText="" linkedCell="'03-DCF-乐观'!$H$199" print="0">
                <anchor moveWithCells="1" sizeWithCells="0">
                  <from>
                    <xdr:col>2</xdr:col>
                    <xdr:colOff>19050</xdr:colOff>
                    <xdr:row>198</xdr:row>
                    <xdr:rowOff>25400</xdr:rowOff>
                  </from>
                  <to>
                    <xdr:col>7</xdr:col>
                    <xdr:colOff>0</xdr:colOff>
                    <xdr:row>200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4" name="Scroll Bar 46">
              <controlPr defaultSize="0" autoLine="0" autoPict="0" altText="" linkedCell="'03-DCF-乐观'!$H$201" print="0">
                <anchor moveWithCells="1" sizeWithCells="0">
                  <from>
                    <xdr:col>2</xdr:col>
                    <xdr:colOff>19050</xdr:colOff>
                    <xdr:row>200</xdr:row>
                    <xdr:rowOff>25400</xdr:rowOff>
                  </from>
                  <to>
                    <xdr:col>7</xdr:col>
                    <xdr:colOff>0</xdr:colOff>
                    <xdr:row>202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5" name="Scroll Bar 47">
              <controlPr defaultSize="0" autoLine="0" autoPict="0" altText="" linkedCell="'03-DCF-乐观'!$H$203" print="0">
                <anchor moveWithCells="1" sizeWithCells="0">
                  <from>
                    <xdr:col>2</xdr:col>
                    <xdr:colOff>19050</xdr:colOff>
                    <xdr:row>202</xdr:row>
                    <xdr:rowOff>25400</xdr:rowOff>
                  </from>
                  <to>
                    <xdr:col>7</xdr:col>
                    <xdr:colOff>0</xdr:colOff>
                    <xdr:row>204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6" name="Scroll Bar 48">
              <controlPr defaultSize="0" autoLine="0" autoPict="0" altText="" linkedCell="'03-DCF-乐观'!$H$205" print="0">
                <anchor moveWithCells="1" sizeWithCells="0">
                  <from>
                    <xdr:col>2</xdr:col>
                    <xdr:colOff>19050</xdr:colOff>
                    <xdr:row>204</xdr:row>
                    <xdr:rowOff>25400</xdr:rowOff>
                  </from>
                  <to>
                    <xdr:col>7</xdr:col>
                    <xdr:colOff>0</xdr:colOff>
                    <xdr:row>206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7" name="Scroll Bar 49">
              <controlPr defaultSize="0" autoLine="0" autoPict="0" altText="" linkedCell="'03-DCF-乐观'!$H$207" print="0">
                <anchor moveWithCells="1" sizeWithCells="0">
                  <from>
                    <xdr:col>2</xdr:col>
                    <xdr:colOff>19050</xdr:colOff>
                    <xdr:row>206</xdr:row>
                    <xdr:rowOff>25400</xdr:rowOff>
                  </from>
                  <to>
                    <xdr:col>7</xdr:col>
                    <xdr:colOff>0</xdr:colOff>
                    <xdr:row>208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8" name="Scroll Bar 50">
              <controlPr defaultSize="0" autoLine="0" autoPict="0" altText="" linkedCell="'03-DCF-乐观'!$H$209" print="0">
                <anchor moveWithCells="1" sizeWithCells="0">
                  <from>
                    <xdr:col>2</xdr:col>
                    <xdr:colOff>19050</xdr:colOff>
                    <xdr:row>208</xdr:row>
                    <xdr:rowOff>25400</xdr:rowOff>
                  </from>
                  <to>
                    <xdr:col>7</xdr:col>
                    <xdr:colOff>0</xdr:colOff>
                    <xdr:row>210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9" name="Scroll Bar 51">
              <controlPr defaultSize="0" autoLine="0" autoPict="0" altText="" linkedCell="'03-DCF-乐观'!$H$211" print="0">
                <anchor moveWithCells="1" sizeWithCells="0">
                  <from>
                    <xdr:col>2</xdr:col>
                    <xdr:colOff>19050</xdr:colOff>
                    <xdr:row>210</xdr:row>
                    <xdr:rowOff>25400</xdr:rowOff>
                  </from>
                  <to>
                    <xdr:col>7</xdr:col>
                    <xdr:colOff>0</xdr:colOff>
                    <xdr:row>212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2026-08-25T23:37:44Z</dcterms:created>
  <dc:creator>Oscar</dc:creator>
  <dc:description/>
  <dc:language>en-US</dc:language>
  <cp:lastModifiedBy/>
  <dcterms:modified xsi:type="dcterms:W3CDTF">2026-08-25T23:37:48Z</dcterms:modified>
  <cp:revision>1</cp:revision>
  <dc:subject/>
  <dc:title>SNDK 现金流折现模型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